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eu Drive\OBRAS JOÃO PESSOA\Burj Lavie\app.py\"/>
    </mc:Choice>
  </mc:AlternateContent>
  <bookViews>
    <workbookView xWindow="0" yWindow="0" windowWidth="19200" windowHeight="7188" tabRatio="861" firstSheet="3" activeTab="5"/>
  </bookViews>
  <sheets>
    <sheet name="ACM" sheetId="22" state="hidden" r:id="rId1"/>
    <sheet name="GUADA CORPO" sheetId="23" state="hidden" r:id="rId2"/>
    <sheet name="GRADIL" sheetId="10" state="hidden" r:id="rId3"/>
    <sheet name="PORTA E JANELA" sheetId="2" r:id="rId4"/>
    <sheet name="PELE DE VIDRO" sheetId="24" r:id="rId5"/>
    <sheet name="CONTROLE DE OBRA BURJ LAVIE" sheetId="7" r:id="rId6"/>
    <sheet name="1º MEDIÇÃO" sheetId="27" r:id="rId7"/>
    <sheet name="1º MEDIÇÃO (2)" sheetId="28" r:id="rId8"/>
    <sheet name="VALOR DO CONTRATO" sheetId="25" r:id="rId9"/>
    <sheet name="MEDIÇÃO OBRA BURJ LAVIE" sheetId="26" state="hidden" r:id="rId10"/>
  </sheets>
  <definedNames>
    <definedName name="_xlnm._FilterDatabase" localSheetId="5" hidden="1">'CONTROLE DE OBRA BURJ LAVIE'!$A$2:$Q$36</definedName>
    <definedName name="_xlnm._FilterDatabase" localSheetId="9" hidden="1">'MEDIÇÃO OBRA BURJ LAVIE'!$A$2:$P$35</definedName>
  </definedNames>
  <calcPr calcId="152511"/>
</workbook>
</file>

<file path=xl/calcChain.xml><?xml version="1.0" encoding="utf-8"?>
<calcChain xmlns="http://schemas.openxmlformats.org/spreadsheetml/2006/main">
  <c r="O36" i="7" l="1"/>
  <c r="D5" i="27"/>
  <c r="N3" i="7"/>
  <c r="N4" i="7"/>
  <c r="O4" i="7" s="1"/>
  <c r="U11" i="24"/>
  <c r="W3" i="24" l="1"/>
  <c r="A3" i="7"/>
  <c r="F7" i="27"/>
  <c r="F35" i="28"/>
  <c r="G35" i="28" s="1"/>
  <c r="F34" i="28"/>
  <c r="G34" i="28" s="1"/>
  <c r="F33" i="28"/>
  <c r="G33" i="28" s="1"/>
  <c r="F32" i="28"/>
  <c r="G32" i="28" s="1"/>
  <c r="F31" i="28"/>
  <c r="G31" i="28" s="1"/>
  <c r="F30" i="28"/>
  <c r="G30" i="28" s="1"/>
  <c r="F29" i="28"/>
  <c r="G29" i="28" s="1"/>
  <c r="F28" i="28"/>
  <c r="G28" i="28" s="1"/>
  <c r="F27" i="28"/>
  <c r="G27" i="28" s="1"/>
  <c r="F26" i="28"/>
  <c r="G26" i="28" s="1"/>
  <c r="F25" i="28"/>
  <c r="G25" i="28" s="1"/>
  <c r="F24" i="28"/>
  <c r="G24" i="28" s="1"/>
  <c r="F23" i="28"/>
  <c r="G23" i="28" s="1"/>
  <c r="F22" i="28"/>
  <c r="G22" i="28" s="1"/>
  <c r="F21" i="28"/>
  <c r="G21" i="28" s="1"/>
  <c r="F20" i="28"/>
  <c r="G20" i="28" s="1"/>
  <c r="F19" i="28"/>
  <c r="G19" i="28" s="1"/>
  <c r="F18" i="28"/>
  <c r="G18" i="28" s="1"/>
  <c r="F17" i="28"/>
  <c r="G17" i="28" s="1"/>
  <c r="F16" i="28"/>
  <c r="G16" i="28" s="1"/>
  <c r="F15" i="28"/>
  <c r="G15" i="28" s="1"/>
  <c r="F14" i="28"/>
  <c r="G14" i="28" s="1"/>
  <c r="F13" i="28"/>
  <c r="G13" i="28" s="1"/>
  <c r="F12" i="28"/>
  <c r="G12" i="28" s="1"/>
  <c r="F11" i="28"/>
  <c r="F10" i="28"/>
  <c r="G10" i="28" s="1"/>
  <c r="F9" i="28"/>
  <c r="F8" i="28"/>
  <c r="G8" i="28" s="1"/>
  <c r="F7" i="28"/>
  <c r="G7" i="28" s="1"/>
  <c r="D6" i="28"/>
  <c r="B6" i="28"/>
  <c r="D5" i="28"/>
  <c r="B5" i="28"/>
  <c r="G9" i="28" l="1"/>
  <c r="G11" i="28"/>
  <c r="D3" i="7" l="1"/>
  <c r="H3" i="7" s="1"/>
  <c r="D6" i="27"/>
  <c r="B6" i="27"/>
  <c r="K4" i="7"/>
  <c r="M4" i="7" s="1"/>
  <c r="E4" i="7"/>
  <c r="E3" i="7"/>
  <c r="F4" i="7"/>
  <c r="C3" i="7"/>
  <c r="C5" i="28" s="1"/>
  <c r="A4" i="7"/>
  <c r="A6" i="28" s="1"/>
  <c r="H3" i="24"/>
  <c r="H9" i="24"/>
  <c r="F3" i="7"/>
  <c r="D4" i="7"/>
  <c r="C4" i="7"/>
  <c r="C6" i="28" s="1"/>
  <c r="A5" i="28"/>
  <c r="B5" i="27"/>
  <c r="H8" i="24"/>
  <c r="H7" i="24"/>
  <c r="H6" i="24"/>
  <c r="I3" i="7" l="1"/>
  <c r="A5" i="27"/>
  <c r="C6" i="27"/>
  <c r="A6" i="27"/>
  <c r="H4" i="7"/>
  <c r="J3" i="7"/>
  <c r="G4" i="7"/>
  <c r="P4" i="7" s="1"/>
  <c r="B3" i="25"/>
  <c r="L4" i="7" l="1"/>
  <c r="J4" i="7"/>
  <c r="Q4" i="7"/>
  <c r="F6" i="28"/>
  <c r="I4" i="7"/>
  <c r="S4" i="24"/>
  <c r="S5" i="24"/>
  <c r="S3" i="24"/>
  <c r="W5" i="24"/>
  <c r="W4" i="24"/>
  <c r="T5" i="24"/>
  <c r="T4" i="24"/>
  <c r="T3" i="24"/>
  <c r="T6" i="24"/>
  <c r="T7" i="24"/>
  <c r="T8" i="24"/>
  <c r="T9" i="24"/>
  <c r="T10" i="24"/>
  <c r="K3" i="7" l="1"/>
  <c r="O3" i="7"/>
  <c r="H11" i="24"/>
  <c r="M3" i="7" l="1"/>
  <c r="L3" i="7"/>
  <c r="F5" i="28"/>
  <c r="F5" i="27"/>
  <c r="C5" i="27"/>
  <c r="F3" i="28" l="1"/>
  <c r="V3" i="24"/>
  <c r="F15" i="27" l="1"/>
  <c r="F16" i="27"/>
  <c r="F17" i="27"/>
  <c r="F18" i="27"/>
  <c r="F20" i="27"/>
  <c r="F21" i="27"/>
  <c r="F22" i="27"/>
  <c r="F23" i="27"/>
  <c r="F19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8" i="27"/>
  <c r="F9" i="27"/>
  <c r="F10" i="27"/>
  <c r="F11" i="27"/>
  <c r="F12" i="27"/>
  <c r="F13" i="27"/>
  <c r="F14" i="27"/>
  <c r="F6" i="27"/>
  <c r="G24" i="2"/>
  <c r="G15" i="2"/>
  <c r="O15" i="2"/>
  <c r="G17" i="27" l="1"/>
  <c r="F3" i="27"/>
  <c r="H19" i="26"/>
  <c r="I19" i="26" s="1"/>
  <c r="H20" i="26"/>
  <c r="I20" i="26" s="1"/>
  <c r="H13" i="26" l="1"/>
  <c r="I13" i="26" s="1"/>
  <c r="K13" i="26" s="1"/>
  <c r="G3" i="7"/>
  <c r="H9" i="26"/>
  <c r="I9" i="26" s="1"/>
  <c r="K9" i="26" s="1"/>
  <c r="H15" i="26"/>
  <c r="I15" i="26" s="1"/>
  <c r="K15" i="26" s="1"/>
  <c r="H10" i="26"/>
  <c r="I10" i="26" s="1"/>
  <c r="K10" i="26" s="1"/>
  <c r="H14" i="26"/>
  <c r="I14" i="26" s="1"/>
  <c r="K14" i="26" s="1"/>
  <c r="H12" i="26"/>
  <c r="I12" i="26" s="1"/>
  <c r="K12" i="26" s="1"/>
  <c r="H11" i="26"/>
  <c r="I11" i="26" s="1"/>
  <c r="K11" i="26" s="1"/>
  <c r="H16" i="26"/>
  <c r="I16" i="26" s="1"/>
  <c r="K16" i="26" s="1"/>
  <c r="H18" i="26"/>
  <c r="I18" i="26" s="1"/>
  <c r="K18" i="26" s="1"/>
  <c r="H17" i="26"/>
  <c r="S6" i="26"/>
  <c r="M9" i="26"/>
  <c r="L9" i="26" s="1"/>
  <c r="E100" i="26"/>
  <c r="R99" i="26"/>
  <c r="P99" i="26"/>
  <c r="Q99" i="26" s="1"/>
  <c r="S99" i="26" s="1"/>
  <c r="M99" i="26"/>
  <c r="L99" i="26"/>
  <c r="H99" i="26"/>
  <c r="I99" i="26" s="1"/>
  <c r="K99" i="26" s="1"/>
  <c r="R98" i="26"/>
  <c r="P98" i="26"/>
  <c r="M98" i="26"/>
  <c r="Q98" i="26" s="1"/>
  <c r="S98" i="26" s="1"/>
  <c r="L98" i="26"/>
  <c r="H98" i="26"/>
  <c r="I98" i="26" s="1"/>
  <c r="K98" i="26" s="1"/>
  <c r="R97" i="26"/>
  <c r="P97" i="26"/>
  <c r="M97" i="26"/>
  <c r="Q97" i="26" s="1"/>
  <c r="S97" i="26" s="1"/>
  <c r="L97" i="26"/>
  <c r="H97" i="26"/>
  <c r="I97" i="26" s="1"/>
  <c r="K97" i="26" s="1"/>
  <c r="R96" i="26"/>
  <c r="P96" i="26"/>
  <c r="M96" i="26"/>
  <c r="Q96" i="26" s="1"/>
  <c r="S96" i="26" s="1"/>
  <c r="L96" i="26"/>
  <c r="H96" i="26"/>
  <c r="I96" i="26" s="1"/>
  <c r="K96" i="26" s="1"/>
  <c r="R95" i="26"/>
  <c r="P95" i="26"/>
  <c r="Q95" i="26" s="1"/>
  <c r="S95" i="26" s="1"/>
  <c r="M95" i="26"/>
  <c r="L95" i="26"/>
  <c r="H95" i="26"/>
  <c r="I95" i="26" s="1"/>
  <c r="K95" i="26" s="1"/>
  <c r="R94" i="26"/>
  <c r="P94" i="26"/>
  <c r="M94" i="26"/>
  <c r="Q94" i="26" s="1"/>
  <c r="S94" i="26" s="1"/>
  <c r="L94" i="26"/>
  <c r="H94" i="26"/>
  <c r="I94" i="26" s="1"/>
  <c r="K94" i="26" s="1"/>
  <c r="R93" i="26"/>
  <c r="P93" i="26"/>
  <c r="M93" i="26"/>
  <c r="Q93" i="26" s="1"/>
  <c r="S93" i="26" s="1"/>
  <c r="L93" i="26"/>
  <c r="H93" i="26"/>
  <c r="I93" i="26" s="1"/>
  <c r="K93" i="26" s="1"/>
  <c r="R92" i="26"/>
  <c r="P92" i="26"/>
  <c r="M92" i="26"/>
  <c r="Q92" i="26" s="1"/>
  <c r="S92" i="26" s="1"/>
  <c r="L92" i="26"/>
  <c r="H92" i="26"/>
  <c r="I92" i="26" s="1"/>
  <c r="K92" i="26" s="1"/>
  <c r="R91" i="26"/>
  <c r="P91" i="26"/>
  <c r="Q91" i="26" s="1"/>
  <c r="S91" i="26" s="1"/>
  <c r="M91" i="26"/>
  <c r="L91" i="26"/>
  <c r="H91" i="26"/>
  <c r="I91" i="26" s="1"/>
  <c r="K91" i="26" s="1"/>
  <c r="R90" i="26"/>
  <c r="P90" i="26"/>
  <c r="Q90" i="26" s="1"/>
  <c r="S90" i="26" s="1"/>
  <c r="M90" i="26"/>
  <c r="L90" i="26"/>
  <c r="H90" i="26"/>
  <c r="I90" i="26" s="1"/>
  <c r="K90" i="26" s="1"/>
  <c r="R89" i="26"/>
  <c r="P89" i="26"/>
  <c r="M89" i="26"/>
  <c r="Q89" i="26" s="1"/>
  <c r="S89" i="26" s="1"/>
  <c r="L89" i="26"/>
  <c r="H89" i="26"/>
  <c r="I89" i="26" s="1"/>
  <c r="K89" i="26" s="1"/>
  <c r="R88" i="26"/>
  <c r="P88" i="26"/>
  <c r="M88" i="26"/>
  <c r="Q88" i="26" s="1"/>
  <c r="S88" i="26" s="1"/>
  <c r="L88" i="26"/>
  <c r="H88" i="26"/>
  <c r="I88" i="26" s="1"/>
  <c r="K88" i="26" s="1"/>
  <c r="R87" i="26"/>
  <c r="P87" i="26"/>
  <c r="Q87" i="26" s="1"/>
  <c r="S87" i="26" s="1"/>
  <c r="M87" i="26"/>
  <c r="L87" i="26"/>
  <c r="H87" i="26"/>
  <c r="I87" i="26" s="1"/>
  <c r="K87" i="26" s="1"/>
  <c r="R86" i="26"/>
  <c r="P86" i="26"/>
  <c r="M86" i="26"/>
  <c r="Q86" i="26" s="1"/>
  <c r="L86" i="26"/>
  <c r="H86" i="26"/>
  <c r="I86" i="26" s="1"/>
  <c r="K86" i="26" s="1"/>
  <c r="R85" i="26"/>
  <c r="P85" i="26"/>
  <c r="Q85" i="26" s="1"/>
  <c r="S85" i="26" s="1"/>
  <c r="M85" i="26"/>
  <c r="L85" i="26"/>
  <c r="H85" i="26"/>
  <c r="I85" i="26" s="1"/>
  <c r="K85" i="26" s="1"/>
  <c r="R84" i="26"/>
  <c r="P84" i="26"/>
  <c r="M84" i="26"/>
  <c r="Q84" i="26" s="1"/>
  <c r="S84" i="26" s="1"/>
  <c r="L84" i="26"/>
  <c r="H84" i="26"/>
  <c r="I84" i="26" s="1"/>
  <c r="K84" i="26" s="1"/>
  <c r="R83" i="26"/>
  <c r="P83" i="26"/>
  <c r="M83" i="26"/>
  <c r="L83" i="26"/>
  <c r="H83" i="26"/>
  <c r="I83" i="26" s="1"/>
  <c r="K83" i="26" s="1"/>
  <c r="R82" i="26"/>
  <c r="P82" i="26"/>
  <c r="M82" i="26"/>
  <c r="L82" i="26" s="1"/>
  <c r="H82" i="26"/>
  <c r="I82" i="26" s="1"/>
  <c r="K82" i="26" s="1"/>
  <c r="R81" i="26"/>
  <c r="P81" i="26"/>
  <c r="M81" i="26"/>
  <c r="Q81" i="26" s="1"/>
  <c r="S81" i="26" s="1"/>
  <c r="L81" i="26"/>
  <c r="H81" i="26"/>
  <c r="I81" i="26" s="1"/>
  <c r="K81" i="26" s="1"/>
  <c r="R80" i="26"/>
  <c r="P80" i="26"/>
  <c r="M80" i="26"/>
  <c r="Q80" i="26" s="1"/>
  <c r="S80" i="26" s="1"/>
  <c r="L80" i="26"/>
  <c r="H80" i="26"/>
  <c r="I80" i="26" s="1"/>
  <c r="K80" i="26" s="1"/>
  <c r="R79" i="26"/>
  <c r="P79" i="26"/>
  <c r="Q79" i="26" s="1"/>
  <c r="S79" i="26" s="1"/>
  <c r="M79" i="26"/>
  <c r="L79" i="26"/>
  <c r="I79" i="26"/>
  <c r="K79" i="26" s="1"/>
  <c r="H79" i="26"/>
  <c r="R78" i="26"/>
  <c r="P78" i="26"/>
  <c r="M78" i="26"/>
  <c r="Q78" i="26" s="1"/>
  <c r="S78" i="26" s="1"/>
  <c r="L78" i="26"/>
  <c r="H78" i="26"/>
  <c r="I78" i="26" s="1"/>
  <c r="K78" i="26" s="1"/>
  <c r="R77" i="26"/>
  <c r="P77" i="26"/>
  <c r="Q77" i="26" s="1"/>
  <c r="S77" i="26" s="1"/>
  <c r="M77" i="26"/>
  <c r="L77" i="26" s="1"/>
  <c r="H77" i="26"/>
  <c r="I77" i="26" s="1"/>
  <c r="K77" i="26" s="1"/>
  <c r="R76" i="26"/>
  <c r="P76" i="26"/>
  <c r="M76" i="26"/>
  <c r="Q76" i="26" s="1"/>
  <c r="S76" i="26" s="1"/>
  <c r="L76" i="26"/>
  <c r="H76" i="26"/>
  <c r="I76" i="26" s="1"/>
  <c r="K76" i="26" s="1"/>
  <c r="R75" i="26"/>
  <c r="P75" i="26"/>
  <c r="Q75" i="26" s="1"/>
  <c r="M75" i="26"/>
  <c r="L75" i="26"/>
  <c r="H75" i="26"/>
  <c r="I75" i="26" s="1"/>
  <c r="K75" i="26" s="1"/>
  <c r="R74" i="26"/>
  <c r="P74" i="26"/>
  <c r="M74" i="26"/>
  <c r="L74" i="26" s="1"/>
  <c r="H74" i="26"/>
  <c r="I74" i="26" s="1"/>
  <c r="K74" i="26" s="1"/>
  <c r="R73" i="26"/>
  <c r="P73" i="26"/>
  <c r="M73" i="26"/>
  <c r="Q73" i="26" s="1"/>
  <c r="S73" i="26" s="1"/>
  <c r="L73" i="26"/>
  <c r="H73" i="26"/>
  <c r="I73" i="26" s="1"/>
  <c r="K73" i="26" s="1"/>
  <c r="R72" i="26"/>
  <c r="P72" i="26"/>
  <c r="M72" i="26"/>
  <c r="Q72" i="26" s="1"/>
  <c r="L72" i="26"/>
  <c r="H72" i="26"/>
  <c r="I72" i="26" s="1"/>
  <c r="K72" i="26" s="1"/>
  <c r="R71" i="26"/>
  <c r="P71" i="26"/>
  <c r="Q71" i="26" s="1"/>
  <c r="S71" i="26" s="1"/>
  <c r="M71" i="26"/>
  <c r="L71" i="26"/>
  <c r="H71" i="26"/>
  <c r="I71" i="26" s="1"/>
  <c r="K71" i="26" s="1"/>
  <c r="R70" i="26"/>
  <c r="P70" i="26"/>
  <c r="M70" i="26"/>
  <c r="Q70" i="26" s="1"/>
  <c r="L70" i="26"/>
  <c r="H70" i="26"/>
  <c r="I70" i="26" s="1"/>
  <c r="K70" i="26" s="1"/>
  <c r="R69" i="26"/>
  <c r="P69" i="26"/>
  <c r="M69" i="26"/>
  <c r="L69" i="26" s="1"/>
  <c r="H69" i="26"/>
  <c r="I69" i="26" s="1"/>
  <c r="K69" i="26" s="1"/>
  <c r="R68" i="26"/>
  <c r="P68" i="26"/>
  <c r="M68" i="26"/>
  <c r="Q68" i="26" s="1"/>
  <c r="S68" i="26" s="1"/>
  <c r="L68" i="26"/>
  <c r="H68" i="26"/>
  <c r="I68" i="26" s="1"/>
  <c r="K68" i="26" s="1"/>
  <c r="R67" i="26"/>
  <c r="P67" i="26"/>
  <c r="Q67" i="26" s="1"/>
  <c r="M67" i="26"/>
  <c r="L67" i="26"/>
  <c r="H67" i="26"/>
  <c r="I67" i="26" s="1"/>
  <c r="K67" i="26" s="1"/>
  <c r="R66" i="26"/>
  <c r="P66" i="26"/>
  <c r="M66" i="26"/>
  <c r="L66" i="26" s="1"/>
  <c r="H66" i="26"/>
  <c r="I66" i="26" s="1"/>
  <c r="K66" i="26" s="1"/>
  <c r="R65" i="26"/>
  <c r="P65" i="26"/>
  <c r="M65" i="26"/>
  <c r="Q65" i="26" s="1"/>
  <c r="L65" i="26"/>
  <c r="H65" i="26"/>
  <c r="I65" i="26" s="1"/>
  <c r="K65" i="26" s="1"/>
  <c r="R64" i="26"/>
  <c r="P64" i="26"/>
  <c r="M64" i="26"/>
  <c r="Q64" i="26" s="1"/>
  <c r="S64" i="26" s="1"/>
  <c r="H64" i="26"/>
  <c r="I64" i="26" s="1"/>
  <c r="K64" i="26" s="1"/>
  <c r="R63" i="26"/>
  <c r="P63" i="26"/>
  <c r="Q63" i="26" s="1"/>
  <c r="S63" i="26" s="1"/>
  <c r="M63" i="26"/>
  <c r="L63" i="26"/>
  <c r="I63" i="26"/>
  <c r="K63" i="26" s="1"/>
  <c r="H63" i="26"/>
  <c r="R62" i="26"/>
  <c r="P62" i="26"/>
  <c r="M62" i="26"/>
  <c r="Q62" i="26" s="1"/>
  <c r="S62" i="26" s="1"/>
  <c r="L62" i="26"/>
  <c r="H62" i="26"/>
  <c r="I62" i="26" s="1"/>
  <c r="K62" i="26" s="1"/>
  <c r="R61" i="26"/>
  <c r="P61" i="26"/>
  <c r="Q61" i="26" s="1"/>
  <c r="S61" i="26" s="1"/>
  <c r="M61" i="26"/>
  <c r="L61" i="26" s="1"/>
  <c r="H61" i="26"/>
  <c r="I61" i="26" s="1"/>
  <c r="K61" i="26" s="1"/>
  <c r="R60" i="26"/>
  <c r="P60" i="26"/>
  <c r="M60" i="26"/>
  <c r="Q60" i="26" s="1"/>
  <c r="S60" i="26" s="1"/>
  <c r="L60" i="26"/>
  <c r="H60" i="26"/>
  <c r="I60" i="26" s="1"/>
  <c r="K60" i="26" s="1"/>
  <c r="R59" i="26"/>
  <c r="P59" i="26"/>
  <c r="Q59" i="26" s="1"/>
  <c r="M59" i="26"/>
  <c r="L59" i="26"/>
  <c r="H59" i="26"/>
  <c r="I59" i="26" s="1"/>
  <c r="K59" i="26" s="1"/>
  <c r="R58" i="26"/>
  <c r="P58" i="26"/>
  <c r="M58" i="26"/>
  <c r="L58" i="26" s="1"/>
  <c r="H58" i="26"/>
  <c r="I58" i="26" s="1"/>
  <c r="K58" i="26" s="1"/>
  <c r="R57" i="26"/>
  <c r="P57" i="26"/>
  <c r="M57" i="26"/>
  <c r="Q57" i="26" s="1"/>
  <c r="S57" i="26" s="1"/>
  <c r="L57" i="26"/>
  <c r="H57" i="26"/>
  <c r="I57" i="26" s="1"/>
  <c r="K57" i="26" s="1"/>
  <c r="R56" i="26"/>
  <c r="P56" i="26"/>
  <c r="M56" i="26"/>
  <c r="Q56" i="26" s="1"/>
  <c r="H56" i="26"/>
  <c r="I56" i="26" s="1"/>
  <c r="K56" i="26" s="1"/>
  <c r="R55" i="26"/>
  <c r="P55" i="26"/>
  <c r="Q55" i="26" s="1"/>
  <c r="S55" i="26" s="1"/>
  <c r="M55" i="26"/>
  <c r="L55" i="26"/>
  <c r="H55" i="26"/>
  <c r="I55" i="26" s="1"/>
  <c r="K55" i="26" s="1"/>
  <c r="R54" i="26"/>
  <c r="P54" i="26"/>
  <c r="M54" i="26"/>
  <c r="Q54" i="26" s="1"/>
  <c r="S54" i="26" s="1"/>
  <c r="L54" i="26"/>
  <c r="H54" i="26"/>
  <c r="I54" i="26" s="1"/>
  <c r="K54" i="26" s="1"/>
  <c r="R53" i="26"/>
  <c r="P53" i="26"/>
  <c r="Q53" i="26" s="1"/>
  <c r="S53" i="26" s="1"/>
  <c r="M53" i="26"/>
  <c r="L53" i="26" s="1"/>
  <c r="H53" i="26"/>
  <c r="I53" i="26" s="1"/>
  <c r="K53" i="26" s="1"/>
  <c r="R52" i="26"/>
  <c r="P52" i="26"/>
  <c r="M52" i="26"/>
  <c r="Q52" i="26" s="1"/>
  <c r="S52" i="26" s="1"/>
  <c r="L52" i="26"/>
  <c r="H52" i="26"/>
  <c r="I52" i="26" s="1"/>
  <c r="K52" i="26" s="1"/>
  <c r="R51" i="26"/>
  <c r="P51" i="26"/>
  <c r="Q51" i="26" s="1"/>
  <c r="S51" i="26" s="1"/>
  <c r="M51" i="26"/>
  <c r="L51" i="26"/>
  <c r="H51" i="26"/>
  <c r="I51" i="26" s="1"/>
  <c r="K51" i="26" s="1"/>
  <c r="R50" i="26"/>
  <c r="P50" i="26"/>
  <c r="M50" i="26"/>
  <c r="L50" i="26" s="1"/>
  <c r="H50" i="26"/>
  <c r="I50" i="26" s="1"/>
  <c r="K50" i="26" s="1"/>
  <c r="R49" i="26"/>
  <c r="P49" i="26"/>
  <c r="M49" i="26"/>
  <c r="Q49" i="26" s="1"/>
  <c r="L49" i="26"/>
  <c r="H49" i="26"/>
  <c r="I49" i="26" s="1"/>
  <c r="K49" i="26" s="1"/>
  <c r="R48" i="26"/>
  <c r="P48" i="26"/>
  <c r="M48" i="26"/>
  <c r="Q48" i="26" s="1"/>
  <c r="S48" i="26" s="1"/>
  <c r="H48" i="26"/>
  <c r="I48" i="26" s="1"/>
  <c r="K48" i="26" s="1"/>
  <c r="R47" i="26"/>
  <c r="P47" i="26"/>
  <c r="Q47" i="26" s="1"/>
  <c r="S47" i="26" s="1"/>
  <c r="M47" i="26"/>
  <c r="L47" i="26"/>
  <c r="H47" i="26"/>
  <c r="I47" i="26" s="1"/>
  <c r="K47" i="26" s="1"/>
  <c r="R46" i="26"/>
  <c r="P46" i="26"/>
  <c r="M46" i="26"/>
  <c r="Q46" i="26" s="1"/>
  <c r="S46" i="26" s="1"/>
  <c r="L46" i="26"/>
  <c r="H46" i="26"/>
  <c r="I46" i="26" s="1"/>
  <c r="K46" i="26" s="1"/>
  <c r="R45" i="26"/>
  <c r="P45" i="26"/>
  <c r="M45" i="26"/>
  <c r="L45" i="26" s="1"/>
  <c r="H45" i="26"/>
  <c r="I45" i="26" s="1"/>
  <c r="K45" i="26" s="1"/>
  <c r="R44" i="26"/>
  <c r="P44" i="26"/>
  <c r="M44" i="26"/>
  <c r="Q44" i="26" s="1"/>
  <c r="L44" i="26"/>
  <c r="H44" i="26"/>
  <c r="I44" i="26" s="1"/>
  <c r="K44" i="26" s="1"/>
  <c r="R43" i="26"/>
  <c r="P43" i="26"/>
  <c r="Q43" i="26" s="1"/>
  <c r="M43" i="26"/>
  <c r="L43" i="26"/>
  <c r="H43" i="26"/>
  <c r="I43" i="26" s="1"/>
  <c r="K43" i="26" s="1"/>
  <c r="R42" i="26"/>
  <c r="P42" i="26"/>
  <c r="M42" i="26"/>
  <c r="L42" i="26" s="1"/>
  <c r="H42" i="26"/>
  <c r="I42" i="26" s="1"/>
  <c r="K42" i="26" s="1"/>
  <c r="R41" i="26"/>
  <c r="P41" i="26"/>
  <c r="M41" i="26"/>
  <c r="Q41" i="26" s="1"/>
  <c r="L41" i="26"/>
  <c r="H41" i="26"/>
  <c r="I41" i="26" s="1"/>
  <c r="K41" i="26" s="1"/>
  <c r="R40" i="26"/>
  <c r="P40" i="26"/>
  <c r="M40" i="26"/>
  <c r="Q40" i="26" s="1"/>
  <c r="S40" i="26" s="1"/>
  <c r="H40" i="26"/>
  <c r="I40" i="26" s="1"/>
  <c r="K40" i="26" s="1"/>
  <c r="R39" i="26"/>
  <c r="P39" i="26"/>
  <c r="Q39" i="26" s="1"/>
  <c r="M39" i="26"/>
  <c r="L39" i="26"/>
  <c r="H39" i="26"/>
  <c r="I39" i="26" s="1"/>
  <c r="K39" i="26" s="1"/>
  <c r="R38" i="26"/>
  <c r="P38" i="26"/>
  <c r="M38" i="26"/>
  <c r="Q38" i="26" s="1"/>
  <c r="S38" i="26" s="1"/>
  <c r="L38" i="26"/>
  <c r="H38" i="26"/>
  <c r="I38" i="26" s="1"/>
  <c r="K38" i="26" s="1"/>
  <c r="R37" i="26"/>
  <c r="P37" i="26"/>
  <c r="Q37" i="26" s="1"/>
  <c r="S37" i="26" s="1"/>
  <c r="M37" i="26"/>
  <c r="L37" i="26" s="1"/>
  <c r="H37" i="26"/>
  <c r="I37" i="26" s="1"/>
  <c r="K37" i="26" s="1"/>
  <c r="R36" i="26"/>
  <c r="P36" i="26"/>
  <c r="M36" i="26"/>
  <c r="Q36" i="26" s="1"/>
  <c r="S36" i="26" s="1"/>
  <c r="L36" i="26"/>
  <c r="H36" i="26"/>
  <c r="I36" i="26" s="1"/>
  <c r="K36" i="26" s="1"/>
  <c r="R35" i="26"/>
  <c r="P35" i="26"/>
  <c r="Q35" i="26" s="1"/>
  <c r="M35" i="26"/>
  <c r="L35" i="26"/>
  <c r="H35" i="26"/>
  <c r="I35" i="26" s="1"/>
  <c r="K35" i="26" s="1"/>
  <c r="R34" i="26"/>
  <c r="P34" i="26"/>
  <c r="M34" i="26"/>
  <c r="L34" i="26" s="1"/>
  <c r="H34" i="26"/>
  <c r="I34" i="26" s="1"/>
  <c r="K34" i="26" s="1"/>
  <c r="R33" i="26"/>
  <c r="P33" i="26"/>
  <c r="M33" i="26"/>
  <c r="Q33" i="26" s="1"/>
  <c r="S33" i="26" s="1"/>
  <c r="L33" i="26"/>
  <c r="H33" i="26"/>
  <c r="I33" i="26" s="1"/>
  <c r="K33" i="26" s="1"/>
  <c r="R32" i="26"/>
  <c r="P32" i="26"/>
  <c r="M32" i="26"/>
  <c r="Q32" i="26" s="1"/>
  <c r="S32" i="26" s="1"/>
  <c r="H32" i="26"/>
  <c r="I32" i="26" s="1"/>
  <c r="K32" i="26" s="1"/>
  <c r="R31" i="26"/>
  <c r="P31" i="26"/>
  <c r="Q31" i="26" s="1"/>
  <c r="S31" i="26" s="1"/>
  <c r="M31" i="26"/>
  <c r="L31" i="26"/>
  <c r="H31" i="26"/>
  <c r="I31" i="26" s="1"/>
  <c r="K31" i="26" s="1"/>
  <c r="R30" i="26"/>
  <c r="P30" i="26"/>
  <c r="M30" i="26"/>
  <c r="Q30" i="26" s="1"/>
  <c r="S30" i="26" s="1"/>
  <c r="L30" i="26"/>
  <c r="H30" i="26"/>
  <c r="I30" i="26" s="1"/>
  <c r="K30" i="26" s="1"/>
  <c r="R29" i="26"/>
  <c r="P29" i="26"/>
  <c r="Q29" i="26" s="1"/>
  <c r="M29" i="26"/>
  <c r="L29" i="26" s="1"/>
  <c r="H29" i="26"/>
  <c r="I29" i="26" s="1"/>
  <c r="K29" i="26" s="1"/>
  <c r="R28" i="26"/>
  <c r="P28" i="26"/>
  <c r="M28" i="26"/>
  <c r="Q28" i="26" s="1"/>
  <c r="S28" i="26" s="1"/>
  <c r="L28" i="26"/>
  <c r="H28" i="26"/>
  <c r="I28" i="26" s="1"/>
  <c r="K28" i="26" s="1"/>
  <c r="R27" i="26"/>
  <c r="Q27" i="26"/>
  <c r="P27" i="26"/>
  <c r="M27" i="26"/>
  <c r="L27" i="26"/>
  <c r="H27" i="26"/>
  <c r="I27" i="26" s="1"/>
  <c r="K27" i="26" s="1"/>
  <c r="R26" i="26"/>
  <c r="P26" i="26"/>
  <c r="M26" i="26"/>
  <c r="L26" i="26" s="1"/>
  <c r="H26" i="26"/>
  <c r="I26" i="26" s="1"/>
  <c r="K26" i="26" s="1"/>
  <c r="R25" i="26"/>
  <c r="P25" i="26"/>
  <c r="M25" i="26"/>
  <c r="Q25" i="26" s="1"/>
  <c r="S25" i="26" s="1"/>
  <c r="L25" i="26"/>
  <c r="H25" i="26"/>
  <c r="I25" i="26" s="1"/>
  <c r="K25" i="26" s="1"/>
  <c r="R24" i="26"/>
  <c r="P24" i="26"/>
  <c r="M24" i="26"/>
  <c r="Q24" i="26" s="1"/>
  <c r="S24" i="26" s="1"/>
  <c r="H24" i="26"/>
  <c r="I24" i="26" s="1"/>
  <c r="K24" i="26" s="1"/>
  <c r="R23" i="26"/>
  <c r="P23" i="26"/>
  <c r="Q23" i="26" s="1"/>
  <c r="S23" i="26" s="1"/>
  <c r="M23" i="26"/>
  <c r="L23" i="26"/>
  <c r="H23" i="26"/>
  <c r="I23" i="26" s="1"/>
  <c r="K23" i="26" s="1"/>
  <c r="R22" i="26"/>
  <c r="P22" i="26"/>
  <c r="M22" i="26"/>
  <c r="Q22" i="26" s="1"/>
  <c r="S22" i="26" s="1"/>
  <c r="L22" i="26"/>
  <c r="H22" i="26"/>
  <c r="I22" i="26" s="1"/>
  <c r="K22" i="26" s="1"/>
  <c r="R21" i="26"/>
  <c r="P21" i="26"/>
  <c r="M21" i="26"/>
  <c r="L21" i="26" s="1"/>
  <c r="H21" i="26"/>
  <c r="I21" i="26" s="1"/>
  <c r="K21" i="26" s="1"/>
  <c r="R20" i="26"/>
  <c r="P20" i="26"/>
  <c r="M20" i="26"/>
  <c r="Q20" i="26" s="1"/>
  <c r="S20" i="26" s="1"/>
  <c r="K20" i="26"/>
  <c r="R19" i="26"/>
  <c r="P19" i="26"/>
  <c r="M19" i="26"/>
  <c r="Q19" i="26" s="1"/>
  <c r="L19" i="26"/>
  <c r="K19" i="26"/>
  <c r="R18" i="26"/>
  <c r="P18" i="26"/>
  <c r="M18" i="26"/>
  <c r="L18" i="26" s="1"/>
  <c r="P17" i="26"/>
  <c r="M17" i="26"/>
  <c r="L17" i="26"/>
  <c r="R16" i="26"/>
  <c r="P16" i="26"/>
  <c r="M16" i="26"/>
  <c r="Q16" i="26" s="1"/>
  <c r="R15" i="26"/>
  <c r="P15" i="26"/>
  <c r="M15" i="26"/>
  <c r="L15" i="26" s="1"/>
  <c r="R14" i="26"/>
  <c r="P14" i="26"/>
  <c r="M14" i="26"/>
  <c r="Q14" i="26" s="1"/>
  <c r="L14" i="26"/>
  <c r="R13" i="26"/>
  <c r="P13" i="26"/>
  <c r="M13" i="26"/>
  <c r="L13" i="26" s="1"/>
  <c r="R12" i="26"/>
  <c r="P12" i="26"/>
  <c r="M12" i="26"/>
  <c r="Q12" i="26" s="1"/>
  <c r="S12" i="26" s="1"/>
  <c r="L12" i="26"/>
  <c r="R11" i="26"/>
  <c r="P11" i="26"/>
  <c r="M11" i="26"/>
  <c r="Q11" i="26" s="1"/>
  <c r="L11" i="26"/>
  <c r="R10" i="26"/>
  <c r="P10" i="26"/>
  <c r="M10" i="26"/>
  <c r="L10" i="26" s="1"/>
  <c r="R9" i="26"/>
  <c r="P9" i="26"/>
  <c r="B5" i="25"/>
  <c r="P3" i="7" l="1"/>
  <c r="Q3" i="7"/>
  <c r="I17" i="26"/>
  <c r="I100" i="26" s="1"/>
  <c r="S14" i="26"/>
  <c r="S16" i="26"/>
  <c r="Q83" i="26"/>
  <c r="S83" i="26" s="1"/>
  <c r="M100" i="26"/>
  <c r="S27" i="26"/>
  <c r="S75" i="26"/>
  <c r="S35" i="26"/>
  <c r="S59" i="26"/>
  <c r="S43" i="26"/>
  <c r="S67" i="26"/>
  <c r="Q17" i="26"/>
  <c r="Q13" i="26"/>
  <c r="S13" i="26" s="1"/>
  <c r="Q15" i="26"/>
  <c r="S15" i="26" s="1"/>
  <c r="S41" i="26"/>
  <c r="S11" i="26"/>
  <c r="S19" i="26"/>
  <c r="L20" i="26"/>
  <c r="S29" i="26"/>
  <c r="S65" i="26"/>
  <c r="S72" i="26"/>
  <c r="S86" i="26"/>
  <c r="S39" i="26"/>
  <c r="S44" i="26"/>
  <c r="S49" i="26"/>
  <c r="S56" i="26"/>
  <c r="S70" i="26"/>
  <c r="Q10" i="26"/>
  <c r="S10" i="26" s="1"/>
  <c r="Q34" i="26"/>
  <c r="S34" i="26" s="1"/>
  <c r="Q58" i="26"/>
  <c r="S58" i="26" s="1"/>
  <c r="Q21" i="26"/>
  <c r="S21" i="26" s="1"/>
  <c r="Q45" i="26"/>
  <c r="S45" i="26" s="1"/>
  <c r="Q69" i="26"/>
  <c r="S69" i="26" s="1"/>
  <c r="Q82" i="26"/>
  <c r="S82" i="26" s="1"/>
  <c r="Q26" i="26"/>
  <c r="S26" i="26" s="1"/>
  <c r="Q50" i="26"/>
  <c r="S50" i="26" s="1"/>
  <c r="Q74" i="26"/>
  <c r="S74" i="26" s="1"/>
  <c r="Q18" i="26"/>
  <c r="S18" i="26" s="1"/>
  <c r="Q42" i="26"/>
  <c r="S42" i="26" s="1"/>
  <c r="Q66" i="26"/>
  <c r="S66" i="26" s="1"/>
  <c r="L16" i="26"/>
  <c r="L24" i="26"/>
  <c r="L32" i="26"/>
  <c r="L40" i="26"/>
  <c r="L48" i="26"/>
  <c r="L56" i="26"/>
  <c r="L64" i="26"/>
  <c r="Q9" i="26"/>
  <c r="K17" i="26" l="1"/>
  <c r="K100" i="26" s="1"/>
  <c r="R17" i="26"/>
  <c r="S17" i="26" s="1"/>
  <c r="L100" i="26"/>
  <c r="U109" i="26"/>
  <c r="Q100" i="26"/>
  <c r="S9" i="26"/>
  <c r="S100" i="26" l="1"/>
  <c r="U114" i="26" s="1"/>
  <c r="S8" i="26" l="1"/>
  <c r="S9" i="23" l="1"/>
  <c r="R9" i="23"/>
  <c r="P9" i="23"/>
  <c r="O9" i="23"/>
  <c r="H9" i="23"/>
  <c r="S8" i="23"/>
  <c r="R8" i="23"/>
  <c r="P8" i="23"/>
  <c r="O8" i="23"/>
  <c r="H8" i="23"/>
  <c r="S7" i="23"/>
  <c r="R7" i="23"/>
  <c r="P7" i="23"/>
  <c r="O7" i="23"/>
  <c r="H7" i="23"/>
  <c r="S6" i="23"/>
  <c r="R6" i="23"/>
  <c r="P6" i="23"/>
  <c r="O6" i="23"/>
  <c r="H6" i="23"/>
  <c r="S5" i="23"/>
  <c r="R5" i="23"/>
  <c r="P5" i="23"/>
  <c r="O5" i="23"/>
  <c r="H5" i="23"/>
  <c r="S4" i="23"/>
  <c r="R4" i="23"/>
  <c r="P4" i="23"/>
  <c r="O4" i="23"/>
  <c r="H4" i="23"/>
  <c r="S3" i="23"/>
  <c r="R3" i="23"/>
  <c r="P3" i="23"/>
  <c r="O3" i="23"/>
  <c r="H3" i="23"/>
  <c r="Q3" i="2"/>
  <c r="Q14" i="2"/>
  <c r="Q16" i="2"/>
  <c r="Q17" i="2"/>
  <c r="Q18" i="2"/>
  <c r="Q19" i="2"/>
  <c r="Q20" i="2"/>
  <c r="Q21" i="2"/>
  <c r="Q22" i="2"/>
  <c r="Q23" i="2"/>
  <c r="Q11" i="2"/>
  <c r="Q12" i="2"/>
  <c r="Q13" i="2"/>
  <c r="Q10" i="2"/>
  <c r="Q4" i="2"/>
  <c r="Q5" i="2"/>
  <c r="Q6" i="2"/>
  <c r="Q7" i="2"/>
  <c r="Q8" i="2"/>
  <c r="Q9" i="2"/>
  <c r="Q24" i="2" l="1"/>
  <c r="N24" i="2"/>
  <c r="N5" i="2"/>
  <c r="N6" i="2"/>
  <c r="N7" i="2"/>
  <c r="N8" i="2"/>
  <c r="N9" i="2"/>
  <c r="N10" i="2"/>
  <c r="N11" i="2"/>
  <c r="N12" i="2"/>
  <c r="N13" i="2"/>
  <c r="N14" i="2"/>
  <c r="N16" i="2"/>
  <c r="N17" i="2"/>
  <c r="N18" i="2"/>
  <c r="N19" i="2"/>
  <c r="N20" i="2"/>
  <c r="N21" i="2"/>
  <c r="N22" i="2"/>
  <c r="N23" i="2"/>
  <c r="N4" i="2"/>
  <c r="N3" i="2"/>
  <c r="G5" i="2"/>
  <c r="G6" i="2"/>
  <c r="G7" i="2"/>
  <c r="G9" i="27" s="1"/>
  <c r="G8" i="2"/>
  <c r="G10" i="27" s="1"/>
  <c r="G9" i="2"/>
  <c r="G11" i="27" s="1"/>
  <c r="G10" i="2"/>
  <c r="G12" i="27" s="1"/>
  <c r="G11" i="2"/>
  <c r="G12" i="2"/>
  <c r="G14" i="27" s="1"/>
  <c r="G13" i="2"/>
  <c r="G15" i="27" s="1"/>
  <c r="G14" i="2"/>
  <c r="G16" i="27" s="1"/>
  <c r="G16" i="2"/>
  <c r="G18" i="27" s="1"/>
  <c r="G17" i="2"/>
  <c r="G19" i="27" s="1"/>
  <c r="G18" i="2"/>
  <c r="G20" i="27" s="1"/>
  <c r="G19" i="2"/>
  <c r="G21" i="27" s="1"/>
  <c r="G20" i="2"/>
  <c r="G22" i="27" s="1"/>
  <c r="G21" i="2"/>
  <c r="G23" i="27" s="1"/>
  <c r="G22" i="2"/>
  <c r="G24" i="27" s="1"/>
  <c r="G23" i="2"/>
  <c r="G4" i="2"/>
  <c r="G3" i="2"/>
  <c r="O10" i="2"/>
  <c r="R10" i="2"/>
  <c r="G7" i="27" l="1"/>
  <c r="G8" i="27"/>
  <c r="G25" i="27"/>
  <c r="G13" i="27"/>
  <c r="O3" i="2"/>
  <c r="O4" i="2"/>
  <c r="R4" i="2"/>
  <c r="O5" i="2"/>
  <c r="R5" i="2"/>
  <c r="O6" i="2"/>
  <c r="R6" i="2"/>
  <c r="O7" i="2"/>
  <c r="R7" i="2"/>
  <c r="O8" i="2"/>
  <c r="R8" i="2"/>
  <c r="O9" i="2"/>
  <c r="R9" i="2"/>
  <c r="O11" i="2"/>
  <c r="R11" i="2"/>
  <c r="O12" i="2"/>
  <c r="R12" i="2"/>
  <c r="O13" i="2"/>
  <c r="R13" i="2"/>
  <c r="O14" i="2"/>
  <c r="R14" i="2"/>
  <c r="O16" i="2"/>
  <c r="R16" i="2"/>
  <c r="O17" i="2"/>
  <c r="R17" i="2"/>
  <c r="O18" i="2"/>
  <c r="R18" i="2"/>
  <c r="O19" i="2"/>
  <c r="R19" i="2"/>
  <c r="O20" i="2"/>
  <c r="R20" i="2"/>
  <c r="O21" i="2"/>
  <c r="R21" i="2"/>
  <c r="O22" i="2"/>
  <c r="R22" i="2"/>
  <c r="O23" i="2"/>
  <c r="R23" i="2"/>
  <c r="O24" i="2"/>
  <c r="R24" i="2"/>
  <c r="W10" i="24" l="1"/>
  <c r="V10" i="24"/>
  <c r="H10" i="24"/>
  <c r="W9" i="24"/>
  <c r="V9" i="24"/>
  <c r="W8" i="24"/>
  <c r="V8" i="24"/>
  <c r="W7" i="24"/>
  <c r="V7" i="24"/>
  <c r="W6" i="24"/>
  <c r="V6" i="24"/>
  <c r="V5" i="24"/>
  <c r="H5" i="24"/>
  <c r="V4" i="24"/>
  <c r="H4" i="24"/>
  <c r="V11" i="24" l="1"/>
  <c r="E6" i="28"/>
  <c r="E5" i="28"/>
  <c r="E5" i="27"/>
  <c r="E6" i="27"/>
  <c r="G6" i="27" l="1"/>
  <c r="G5" i="27"/>
  <c r="E36" i="28"/>
  <c r="B2" i="28"/>
  <c r="G5" i="28"/>
  <c r="G6" i="28"/>
  <c r="E36" i="27"/>
  <c r="B2" i="27"/>
  <c r="J5" i="27" s="1"/>
  <c r="Q3" i="10"/>
  <c r="R10" i="23"/>
  <c r="R11" i="23"/>
  <c r="R12" i="23"/>
  <c r="R13" i="23"/>
  <c r="R14" i="23"/>
  <c r="R15" i="23"/>
  <c r="H23" i="28" l="1"/>
  <c r="I30" i="28"/>
  <c r="H26" i="28"/>
  <c r="H22" i="28"/>
  <c r="H18" i="28"/>
  <c r="H14" i="28"/>
  <c r="H10" i="28"/>
  <c r="J20" i="28"/>
  <c r="J16" i="28"/>
  <c r="J12" i="28"/>
  <c r="J8" i="28"/>
  <c r="I26" i="28"/>
  <c r="I18" i="28"/>
  <c r="I10" i="28"/>
  <c r="H30" i="28"/>
  <c r="J34" i="28"/>
  <c r="H34" i="28"/>
  <c r="K34" i="28" s="1"/>
  <c r="J24" i="28"/>
  <c r="I28" i="28"/>
  <c r="I24" i="28"/>
  <c r="I20" i="28"/>
  <c r="I16" i="28"/>
  <c r="I12" i="28"/>
  <c r="I8" i="28"/>
  <c r="H24" i="28"/>
  <c r="H20" i="28"/>
  <c r="H16" i="28"/>
  <c r="H12" i="28"/>
  <c r="H8" i="28"/>
  <c r="H32" i="28"/>
  <c r="J26" i="28"/>
  <c r="J22" i="28"/>
  <c r="J18" i="28"/>
  <c r="J14" i="28"/>
  <c r="J10" i="28"/>
  <c r="I22" i="28"/>
  <c r="I14" i="28"/>
  <c r="H28" i="28"/>
  <c r="I32" i="28"/>
  <c r="J11" i="28"/>
  <c r="H15" i="28"/>
  <c r="I23" i="28"/>
  <c r="J25" i="28"/>
  <c r="J32" i="28"/>
  <c r="K32" i="28" s="1"/>
  <c r="H25" i="28"/>
  <c r="K25" i="28" s="1"/>
  <c r="I7" i="28"/>
  <c r="I33" i="28"/>
  <c r="H31" i="28"/>
  <c r="K31" i="28" s="1"/>
  <c r="H33" i="28"/>
  <c r="H35" i="28"/>
  <c r="J7" i="28"/>
  <c r="J13" i="28"/>
  <c r="I21" i="28"/>
  <c r="J9" i="28"/>
  <c r="H17" i="28"/>
  <c r="I25" i="28"/>
  <c r="J27" i="28"/>
  <c r="H7" i="28"/>
  <c r="K7" i="28" s="1"/>
  <c r="I27" i="28"/>
  <c r="J29" i="28"/>
  <c r="H13" i="28"/>
  <c r="I34" i="28"/>
  <c r="J31" i="28"/>
  <c r="J33" i="28"/>
  <c r="H27" i="28"/>
  <c r="J35" i="28"/>
  <c r="I11" i="28"/>
  <c r="I13" i="28"/>
  <c r="J15" i="28"/>
  <c r="I15" i="28"/>
  <c r="H19" i="28"/>
  <c r="J19" i="28"/>
  <c r="I19" i="28"/>
  <c r="H9" i="28"/>
  <c r="J23" i="28"/>
  <c r="H21" i="28"/>
  <c r="I29" i="28"/>
  <c r="I31" i="28"/>
  <c r="I9" i="28"/>
  <c r="H29" i="28"/>
  <c r="I35" i="28"/>
  <c r="H11" i="28"/>
  <c r="K11" i="28" s="1"/>
  <c r="J17" i="28"/>
  <c r="I17" i="28"/>
  <c r="J30" i="28"/>
  <c r="J21" i="28"/>
  <c r="J28" i="28"/>
  <c r="J6" i="28"/>
  <c r="I6" i="28"/>
  <c r="I5" i="28"/>
  <c r="J5" i="28"/>
  <c r="H6" i="27"/>
  <c r="H6" i="28"/>
  <c r="K6" i="28" s="1"/>
  <c r="H5" i="28"/>
  <c r="K5" i="28" s="1"/>
  <c r="H5" i="27"/>
  <c r="K5" i="27" s="1"/>
  <c r="R3" i="10"/>
  <c r="Q4" i="10"/>
  <c r="O3" i="10"/>
  <c r="H3" i="10"/>
  <c r="H16" i="23"/>
  <c r="S15" i="23"/>
  <c r="P15" i="23"/>
  <c r="O15" i="23"/>
  <c r="H15" i="23"/>
  <c r="S14" i="23"/>
  <c r="P14" i="23"/>
  <c r="O14" i="23"/>
  <c r="H14" i="23"/>
  <c r="S13" i="23"/>
  <c r="P13" i="23"/>
  <c r="O13" i="23"/>
  <c r="H13" i="23"/>
  <c r="S12" i="23"/>
  <c r="P12" i="23"/>
  <c r="O12" i="23"/>
  <c r="H12" i="23"/>
  <c r="S11" i="23"/>
  <c r="P11" i="23"/>
  <c r="O11" i="23"/>
  <c r="H11" i="23"/>
  <c r="S10" i="23"/>
  <c r="P10" i="23"/>
  <c r="O10" i="23"/>
  <c r="H10" i="23"/>
  <c r="K13" i="28" l="1"/>
  <c r="K33" i="28"/>
  <c r="K19" i="28"/>
  <c r="K29" i="28"/>
  <c r="K10" i="28"/>
  <c r="K8" i="28"/>
  <c r="K14" i="28"/>
  <c r="K27" i="28"/>
  <c r="K22" i="28"/>
  <c r="K17" i="28"/>
  <c r="K15" i="28"/>
  <c r="K18" i="28"/>
  <c r="K21" i="28"/>
  <c r="K12" i="28"/>
  <c r="K28" i="28"/>
  <c r="K23" i="28"/>
  <c r="K16" i="28"/>
  <c r="K30" i="28"/>
  <c r="K26" i="28"/>
  <c r="H3" i="28"/>
  <c r="K9" i="28"/>
  <c r="K35" i="28"/>
  <c r="K20" i="28"/>
  <c r="K24" i="28"/>
  <c r="F10" i="22"/>
  <c r="F9" i="22"/>
  <c r="F8" i="22"/>
  <c r="O9" i="22"/>
  <c r="O10" i="22"/>
  <c r="O11" i="22"/>
  <c r="R9" i="22"/>
  <c r="R10" i="22"/>
  <c r="R11" i="22"/>
  <c r="R8" i="22"/>
  <c r="S8" i="22"/>
  <c r="S9" i="22"/>
  <c r="S10" i="22"/>
  <c r="S11" i="22"/>
  <c r="P9" i="22"/>
  <c r="P10" i="22"/>
  <c r="P11" i="22"/>
  <c r="P12" i="22"/>
  <c r="P13" i="22"/>
  <c r="P5" i="22"/>
  <c r="G26" i="27" l="1"/>
  <c r="H36" i="7"/>
  <c r="F5" i="22"/>
  <c r="F4" i="22"/>
  <c r="F11" i="22"/>
  <c r="S97" i="22"/>
  <c r="P97" i="22"/>
  <c r="O97" i="22"/>
  <c r="S96" i="22"/>
  <c r="R96" i="22"/>
  <c r="P96" i="22"/>
  <c r="O96" i="22"/>
  <c r="S95" i="22"/>
  <c r="R95" i="22"/>
  <c r="P95" i="22"/>
  <c r="O95" i="22"/>
  <c r="S94" i="22"/>
  <c r="R94" i="22"/>
  <c r="P94" i="22"/>
  <c r="O94" i="22"/>
  <c r="S93" i="22"/>
  <c r="R93" i="22"/>
  <c r="P93" i="22"/>
  <c r="O93" i="22"/>
  <c r="S92" i="22"/>
  <c r="R92" i="22"/>
  <c r="P92" i="22"/>
  <c r="O92" i="22"/>
  <c r="S91" i="22"/>
  <c r="R91" i="22"/>
  <c r="P91" i="22"/>
  <c r="O91" i="22"/>
  <c r="S90" i="22"/>
  <c r="R90" i="22"/>
  <c r="P90" i="22"/>
  <c r="O90" i="22"/>
  <c r="S89" i="22"/>
  <c r="R89" i="22"/>
  <c r="P89" i="22"/>
  <c r="O89" i="22"/>
  <c r="S88" i="22"/>
  <c r="R88" i="22"/>
  <c r="P88" i="22"/>
  <c r="O88" i="22"/>
  <c r="S87" i="22"/>
  <c r="R87" i="22"/>
  <c r="P87" i="22"/>
  <c r="O87" i="22"/>
  <c r="S86" i="22"/>
  <c r="R86" i="22"/>
  <c r="P86" i="22"/>
  <c r="O86" i="22"/>
  <c r="S85" i="22"/>
  <c r="R85" i="22"/>
  <c r="P85" i="22"/>
  <c r="O85" i="22"/>
  <c r="S84" i="22"/>
  <c r="R84" i="22"/>
  <c r="P84" i="22"/>
  <c r="O84" i="22"/>
  <c r="S83" i="22"/>
  <c r="R83" i="22"/>
  <c r="P83" i="22"/>
  <c r="O83" i="22"/>
  <c r="S82" i="22"/>
  <c r="R82" i="22"/>
  <c r="P82" i="22"/>
  <c r="O82" i="22"/>
  <c r="S81" i="22"/>
  <c r="R81" i="22"/>
  <c r="P81" i="22"/>
  <c r="O81" i="22"/>
  <c r="S80" i="22"/>
  <c r="R80" i="22"/>
  <c r="P80" i="22"/>
  <c r="O80" i="22"/>
  <c r="S79" i="22"/>
  <c r="R79" i="22"/>
  <c r="P79" i="22"/>
  <c r="O79" i="22"/>
  <c r="S78" i="22"/>
  <c r="R78" i="22"/>
  <c r="P78" i="22"/>
  <c r="O78" i="22"/>
  <c r="S77" i="22"/>
  <c r="R77" i="22"/>
  <c r="P77" i="22"/>
  <c r="O77" i="22"/>
  <c r="S76" i="22"/>
  <c r="R76" i="22"/>
  <c r="P76" i="22"/>
  <c r="O76" i="22"/>
  <c r="S75" i="22"/>
  <c r="R75" i="22"/>
  <c r="P75" i="22"/>
  <c r="O75" i="22"/>
  <c r="S74" i="22"/>
  <c r="R74" i="22"/>
  <c r="P74" i="22"/>
  <c r="O74" i="22"/>
  <c r="S73" i="22"/>
  <c r="R73" i="22"/>
  <c r="P73" i="22"/>
  <c r="O73" i="22"/>
  <c r="S72" i="22"/>
  <c r="R72" i="22"/>
  <c r="P72" i="22"/>
  <c r="O72" i="22"/>
  <c r="S71" i="22"/>
  <c r="R71" i="22"/>
  <c r="P71" i="22"/>
  <c r="O71" i="22"/>
  <c r="S70" i="22"/>
  <c r="R70" i="22"/>
  <c r="P70" i="22"/>
  <c r="O70" i="22"/>
  <c r="S69" i="22"/>
  <c r="R69" i="22"/>
  <c r="P69" i="22"/>
  <c r="O69" i="22"/>
  <c r="S68" i="22"/>
  <c r="R68" i="22"/>
  <c r="P68" i="22"/>
  <c r="O68" i="22"/>
  <c r="S67" i="22"/>
  <c r="R67" i="22"/>
  <c r="P67" i="22"/>
  <c r="O67" i="22"/>
  <c r="S66" i="22"/>
  <c r="R66" i="22"/>
  <c r="P66" i="22"/>
  <c r="O66" i="22"/>
  <c r="S65" i="22"/>
  <c r="R65" i="22"/>
  <c r="P65" i="22"/>
  <c r="O65" i="22"/>
  <c r="S64" i="22"/>
  <c r="R64" i="22"/>
  <c r="P64" i="22"/>
  <c r="O64" i="22"/>
  <c r="S63" i="22"/>
  <c r="R63" i="22"/>
  <c r="P63" i="22"/>
  <c r="O63" i="22"/>
  <c r="S62" i="22"/>
  <c r="R62" i="22"/>
  <c r="P62" i="22"/>
  <c r="O62" i="22"/>
  <c r="S61" i="22"/>
  <c r="R61" i="22"/>
  <c r="P61" i="22"/>
  <c r="O61" i="22"/>
  <c r="S60" i="22"/>
  <c r="R60" i="22"/>
  <c r="P60" i="22"/>
  <c r="O60" i="22"/>
  <c r="S59" i="22"/>
  <c r="R59" i="22"/>
  <c r="P59" i="22"/>
  <c r="O59" i="22"/>
  <c r="S58" i="22"/>
  <c r="R58" i="22"/>
  <c r="P58" i="22"/>
  <c r="O58" i="22"/>
  <c r="S57" i="22"/>
  <c r="R57" i="22"/>
  <c r="P57" i="22"/>
  <c r="O57" i="22"/>
  <c r="F57" i="22"/>
  <c r="S56" i="22"/>
  <c r="R56" i="22"/>
  <c r="P56" i="22"/>
  <c r="O56" i="22"/>
  <c r="F56" i="22"/>
  <c r="S55" i="22"/>
  <c r="R55" i="22"/>
  <c r="P55" i="22"/>
  <c r="O55" i="22"/>
  <c r="F55" i="22"/>
  <c r="S54" i="22"/>
  <c r="R54" i="22"/>
  <c r="P54" i="22"/>
  <c r="O54" i="22"/>
  <c r="F54" i="22"/>
  <c r="S53" i="22"/>
  <c r="R53" i="22"/>
  <c r="P53" i="22"/>
  <c r="O53" i="22"/>
  <c r="F53" i="22"/>
  <c r="S52" i="22"/>
  <c r="R52" i="22"/>
  <c r="P52" i="22"/>
  <c r="O52" i="22"/>
  <c r="F52" i="22"/>
  <c r="S51" i="22"/>
  <c r="R51" i="22"/>
  <c r="P51" i="22"/>
  <c r="O51" i="22"/>
  <c r="F51" i="22"/>
  <c r="S50" i="22"/>
  <c r="R50" i="22"/>
  <c r="P50" i="22"/>
  <c r="O50" i="22"/>
  <c r="F50" i="22"/>
  <c r="S49" i="22"/>
  <c r="R49" i="22"/>
  <c r="P49" i="22"/>
  <c r="O49" i="22"/>
  <c r="F49" i="22"/>
  <c r="S48" i="22"/>
  <c r="R48" i="22"/>
  <c r="P48" i="22"/>
  <c r="O48" i="22"/>
  <c r="F48" i="22"/>
  <c r="S47" i="22"/>
  <c r="R47" i="22"/>
  <c r="P47" i="22"/>
  <c r="O47" i="22"/>
  <c r="F47" i="22"/>
  <c r="S46" i="22"/>
  <c r="R46" i="22"/>
  <c r="P46" i="22"/>
  <c r="O46" i="22"/>
  <c r="F46" i="22"/>
  <c r="S45" i="22"/>
  <c r="R45" i="22"/>
  <c r="P45" i="22"/>
  <c r="O45" i="22"/>
  <c r="F45" i="22"/>
  <c r="S44" i="22"/>
  <c r="R44" i="22"/>
  <c r="P44" i="22"/>
  <c r="O44" i="22"/>
  <c r="F44" i="22"/>
  <c r="S43" i="22"/>
  <c r="R43" i="22"/>
  <c r="P43" i="22"/>
  <c r="O43" i="22"/>
  <c r="F43" i="22"/>
  <c r="S42" i="22"/>
  <c r="R42" i="22"/>
  <c r="P42" i="22"/>
  <c r="O42" i="22"/>
  <c r="F42" i="22"/>
  <c r="S41" i="22"/>
  <c r="R41" i="22"/>
  <c r="P41" i="22"/>
  <c r="O41" i="22"/>
  <c r="F41" i="22"/>
  <c r="S40" i="22"/>
  <c r="R40" i="22"/>
  <c r="P40" i="22"/>
  <c r="O40" i="22"/>
  <c r="F40" i="22"/>
  <c r="S39" i="22"/>
  <c r="R39" i="22"/>
  <c r="P39" i="22"/>
  <c r="O39" i="22"/>
  <c r="F39" i="22"/>
  <c r="S38" i="22"/>
  <c r="R38" i="22"/>
  <c r="P38" i="22"/>
  <c r="O38" i="22"/>
  <c r="F38" i="22"/>
  <c r="S37" i="22"/>
  <c r="R37" i="22"/>
  <c r="P37" i="22"/>
  <c r="O37" i="22"/>
  <c r="F37" i="22"/>
  <c r="S36" i="22"/>
  <c r="R36" i="22"/>
  <c r="P36" i="22"/>
  <c r="O36" i="22"/>
  <c r="F36" i="22"/>
  <c r="S35" i="22"/>
  <c r="R35" i="22"/>
  <c r="P35" i="22"/>
  <c r="O35" i="22"/>
  <c r="F35" i="22"/>
  <c r="S34" i="22"/>
  <c r="R34" i="22"/>
  <c r="P34" i="22"/>
  <c r="O34" i="22"/>
  <c r="F34" i="22"/>
  <c r="S33" i="22"/>
  <c r="R33" i="22"/>
  <c r="P33" i="22"/>
  <c r="O33" i="22"/>
  <c r="F33" i="22"/>
  <c r="S32" i="22"/>
  <c r="R32" i="22"/>
  <c r="P32" i="22"/>
  <c r="O32" i="22"/>
  <c r="F32" i="22"/>
  <c r="S31" i="22"/>
  <c r="R31" i="22"/>
  <c r="P31" i="22"/>
  <c r="O31" i="22"/>
  <c r="F31" i="22"/>
  <c r="S30" i="22"/>
  <c r="R30" i="22"/>
  <c r="P30" i="22"/>
  <c r="O30" i="22"/>
  <c r="F30" i="22"/>
  <c r="S29" i="22"/>
  <c r="R29" i="22"/>
  <c r="P29" i="22"/>
  <c r="O29" i="22"/>
  <c r="F29" i="22"/>
  <c r="S28" i="22"/>
  <c r="R28" i="22"/>
  <c r="P28" i="22"/>
  <c r="O28" i="22"/>
  <c r="F28" i="22"/>
  <c r="S27" i="22"/>
  <c r="R27" i="22"/>
  <c r="P27" i="22"/>
  <c r="O27" i="22"/>
  <c r="F27" i="22"/>
  <c r="S26" i="22"/>
  <c r="R26" i="22"/>
  <c r="P26" i="22"/>
  <c r="O26" i="22"/>
  <c r="F26" i="22"/>
  <c r="S25" i="22"/>
  <c r="R25" i="22"/>
  <c r="P25" i="22"/>
  <c r="O25" i="22"/>
  <c r="F25" i="22"/>
  <c r="S24" i="22"/>
  <c r="R24" i="22"/>
  <c r="P24" i="22"/>
  <c r="O24" i="22"/>
  <c r="F24" i="22"/>
  <c r="S23" i="22"/>
  <c r="R23" i="22"/>
  <c r="P23" i="22"/>
  <c r="O23" i="22"/>
  <c r="F23" i="22"/>
  <c r="S22" i="22"/>
  <c r="R22" i="22"/>
  <c r="P22" i="22"/>
  <c r="O22" i="22"/>
  <c r="F22" i="22"/>
  <c r="S21" i="22"/>
  <c r="R21" i="22"/>
  <c r="P21" i="22"/>
  <c r="O21" i="22"/>
  <c r="F21" i="22"/>
  <c r="S20" i="22"/>
  <c r="R20" i="22"/>
  <c r="P20" i="22"/>
  <c r="O20" i="22"/>
  <c r="F20" i="22"/>
  <c r="S19" i="22"/>
  <c r="R19" i="22"/>
  <c r="P19" i="22"/>
  <c r="O19" i="22"/>
  <c r="F19" i="22"/>
  <c r="S18" i="22"/>
  <c r="R18" i="22"/>
  <c r="P18" i="22"/>
  <c r="O18" i="22"/>
  <c r="F18" i="22"/>
  <c r="S17" i="22"/>
  <c r="R17" i="22"/>
  <c r="P17" i="22"/>
  <c r="O17" i="22"/>
  <c r="F17" i="22"/>
  <c r="S16" i="22"/>
  <c r="R16" i="22"/>
  <c r="P16" i="22"/>
  <c r="O16" i="22"/>
  <c r="F16" i="22"/>
  <c r="S15" i="22"/>
  <c r="R15" i="22"/>
  <c r="P15" i="22"/>
  <c r="O15" i="22"/>
  <c r="F15" i="22"/>
  <c r="S14" i="22"/>
  <c r="R14" i="22"/>
  <c r="P14" i="22"/>
  <c r="O14" i="22"/>
  <c r="F14" i="22"/>
  <c r="S13" i="22"/>
  <c r="R13" i="22"/>
  <c r="O13" i="22"/>
  <c r="F13" i="22"/>
  <c r="S12" i="22"/>
  <c r="R12" i="22"/>
  <c r="O12" i="22"/>
  <c r="F12" i="22"/>
  <c r="P8" i="22"/>
  <c r="O8" i="22"/>
  <c r="S7" i="22"/>
  <c r="R7" i="22"/>
  <c r="P7" i="22"/>
  <c r="O7" i="22"/>
  <c r="F7" i="22"/>
  <c r="S6" i="22"/>
  <c r="R6" i="22"/>
  <c r="P6" i="22"/>
  <c r="O6" i="22"/>
  <c r="F6" i="22"/>
  <c r="S5" i="22"/>
  <c r="R5" i="22"/>
  <c r="O5" i="22"/>
  <c r="S4" i="22"/>
  <c r="R4" i="22"/>
  <c r="P4" i="22"/>
  <c r="O4" i="22"/>
  <c r="S3" i="22"/>
  <c r="R3" i="22"/>
  <c r="P3" i="22"/>
  <c r="O3" i="22"/>
  <c r="F3" i="22"/>
  <c r="Q5" i="10"/>
  <c r="Q6" i="10"/>
  <c r="Q7" i="10"/>
  <c r="Q8" i="10"/>
  <c r="Q9" i="10"/>
  <c r="Q10" i="10"/>
  <c r="Q11" i="10"/>
  <c r="Q12" i="10"/>
  <c r="Q13" i="10"/>
  <c r="Q14" i="10"/>
  <c r="Q15" i="10"/>
  <c r="L36" i="7" l="1"/>
  <c r="O15" i="10" l="1"/>
  <c r="R13" i="10"/>
  <c r="O12" i="10"/>
  <c r="O11" i="10"/>
  <c r="O6" i="10"/>
  <c r="O7" i="10"/>
  <c r="O8" i="10"/>
  <c r="O9" i="10"/>
  <c r="O10" i="10"/>
  <c r="O13" i="10"/>
  <c r="O14" i="10"/>
  <c r="R15" i="10"/>
  <c r="R5" i="10"/>
  <c r="R6" i="10"/>
  <c r="R7" i="10"/>
  <c r="R8" i="10"/>
  <c r="R9" i="10"/>
  <c r="R10" i="10"/>
  <c r="R11" i="10"/>
  <c r="R12" i="10"/>
  <c r="R14" i="10"/>
  <c r="O4" i="10"/>
  <c r="O5" i="10"/>
  <c r="H15" i="10"/>
  <c r="H13" i="10"/>
  <c r="H5" i="10"/>
  <c r="R4" i="10"/>
  <c r="R3" i="2" l="1"/>
  <c r="G28" i="27" l="1"/>
  <c r="D36" i="7"/>
  <c r="J36" i="7" l="1"/>
  <c r="I36" i="7"/>
  <c r="H4" i="10"/>
  <c r="H6" i="10"/>
  <c r="H7" i="10"/>
  <c r="H8" i="10"/>
  <c r="H9" i="10"/>
  <c r="H10" i="10"/>
  <c r="H11" i="10"/>
  <c r="H12" i="10"/>
  <c r="H14" i="10"/>
  <c r="G31" i="27" l="1"/>
  <c r="G32" i="27"/>
  <c r="G33" i="27"/>
  <c r="G27" i="27"/>
  <c r="H27" i="27"/>
  <c r="G34" i="27"/>
  <c r="G36" i="7"/>
  <c r="Q36" i="7" s="1"/>
  <c r="G29" i="27"/>
  <c r="G35" i="27"/>
  <c r="G30" i="27"/>
  <c r="K36" i="7"/>
  <c r="M36" i="7" s="1"/>
  <c r="H35" i="27" l="1"/>
  <c r="H33" i="27"/>
  <c r="H29" i="27"/>
  <c r="H30" i="27"/>
  <c r="H34" i="27"/>
  <c r="H32" i="27"/>
  <c r="H16" i="27"/>
  <c r="I14" i="27"/>
  <c r="J34" i="27"/>
  <c r="H8" i="27"/>
  <c r="I5" i="27"/>
  <c r="J23" i="27"/>
  <c r="H17" i="27"/>
  <c r="H24" i="27"/>
  <c r="J10" i="27"/>
  <c r="H15" i="27"/>
  <c r="J13" i="27"/>
  <c r="I10" i="27"/>
  <c r="J14" i="27"/>
  <c r="I25" i="27"/>
  <c r="H25" i="27"/>
  <c r="H22" i="27"/>
  <c r="I6" i="27"/>
  <c r="J8" i="27"/>
  <c r="I26" i="27"/>
  <c r="I19" i="27"/>
  <c r="I15" i="27"/>
  <c r="I24" i="27"/>
  <c r="I34" i="27"/>
  <c r="J12" i="27"/>
  <c r="I7" i="27"/>
  <c r="I28" i="27"/>
  <c r="I23" i="27"/>
  <c r="I17" i="27"/>
  <c r="H11" i="27"/>
  <c r="J7" i="27"/>
  <c r="J26" i="27"/>
  <c r="J18" i="27"/>
  <c r="I11" i="27"/>
  <c r="H23" i="27"/>
  <c r="I27" i="27"/>
  <c r="I33" i="27"/>
  <c r="J17" i="27"/>
  <c r="J9" i="27"/>
  <c r="H14" i="27"/>
  <c r="H7" i="27"/>
  <c r="H18" i="27"/>
  <c r="J20" i="27"/>
  <c r="I32" i="27"/>
  <c r="J25" i="27"/>
  <c r="I35" i="27"/>
  <c r="J32" i="27"/>
  <c r="I18" i="27"/>
  <c r="I12" i="27"/>
  <c r="J6" i="27"/>
  <c r="I31" i="27"/>
  <c r="I29" i="27"/>
  <c r="J11" i="27"/>
  <c r="J27" i="27"/>
  <c r="K27" i="27" s="1"/>
  <c r="J21" i="27"/>
  <c r="H19" i="27"/>
  <c r="J30" i="27"/>
  <c r="J15" i="27"/>
  <c r="J35" i="27"/>
  <c r="J22" i="27"/>
  <c r="J29" i="27"/>
  <c r="I30" i="27"/>
  <c r="I8" i="27"/>
  <c r="I16" i="27"/>
  <c r="J33" i="27"/>
  <c r="I20" i="27"/>
  <c r="I21" i="27"/>
  <c r="H9" i="27"/>
  <c r="I13" i="27"/>
  <c r="H13" i="27"/>
  <c r="J16" i="27"/>
  <c r="I22" i="27"/>
  <c r="I9" i="27"/>
  <c r="J31" i="27"/>
  <c r="H12" i="27"/>
  <c r="K12" i="27" s="1"/>
  <c r="J24" i="27"/>
  <c r="J19" i="27"/>
  <c r="H21" i="27"/>
  <c r="H10" i="27"/>
  <c r="J28" i="27"/>
  <c r="H20" i="27"/>
  <c r="H26" i="27"/>
  <c r="H28" i="27"/>
  <c r="H31" i="27"/>
  <c r="N36" i="7"/>
  <c r="P36" i="7"/>
  <c r="K10" i="27" l="1"/>
  <c r="K31" i="27"/>
  <c r="K18" i="27"/>
  <c r="K11" i="27"/>
  <c r="K32" i="27"/>
  <c r="K13" i="27"/>
  <c r="K29" i="27"/>
  <c r="K30" i="27"/>
  <c r="K33" i="27"/>
  <c r="K35" i="27"/>
  <c r="K34" i="27"/>
  <c r="K15" i="27"/>
  <c r="K24" i="27"/>
  <c r="K23" i="27"/>
  <c r="K20" i="27"/>
  <c r="K6" i="27"/>
  <c r="K21" i="27"/>
  <c r="K16" i="27"/>
  <c r="K17" i="27"/>
  <c r="K14" i="27"/>
  <c r="K26" i="27"/>
  <c r="K19" i="27"/>
  <c r="K8" i="27"/>
  <c r="K9" i="27"/>
  <c r="K22" i="27"/>
  <c r="K25" i="27"/>
  <c r="K28" i="27"/>
  <c r="K7" i="27"/>
  <c r="H3" i="27"/>
</calcChain>
</file>

<file path=xl/sharedStrings.xml><?xml version="1.0" encoding="utf-8"?>
<sst xmlns="http://schemas.openxmlformats.org/spreadsheetml/2006/main" count="275" uniqueCount="110">
  <si>
    <t>LISTA / ATIVIDADE</t>
  </si>
  <si>
    <t>DESCRIÇÃO DO MATERIAL</t>
  </si>
  <si>
    <t>QUANTIDADE DA LISTA</t>
  </si>
  <si>
    <t>ENTREGA</t>
  </si>
  <si>
    <t>QUANT.</t>
  </si>
  <si>
    <t xml:space="preserve">ENTREGA </t>
  </si>
  <si>
    <t>SALDO DE RECEBIMENTO</t>
  </si>
  <si>
    <t>SALDO EM ESTOQUE</t>
  </si>
  <si>
    <t>DIMENSÕES LARGURA X ALTURA</t>
  </si>
  <si>
    <t>Resumo</t>
  </si>
  <si>
    <t>%</t>
  </si>
  <si>
    <t>Saldo</t>
  </si>
  <si>
    <t>Instalado</t>
  </si>
  <si>
    <t>Fabricado</t>
  </si>
  <si>
    <t>FEM</t>
  </si>
  <si>
    <t>Área Total</t>
  </si>
  <si>
    <t>Altura</t>
  </si>
  <si>
    <t>Largura</t>
  </si>
  <si>
    <t>Quantidade</t>
  </si>
  <si>
    <t>Localização</t>
  </si>
  <si>
    <t>Tipologia</t>
  </si>
  <si>
    <t>Referência</t>
  </si>
  <si>
    <t>ÁREA TOTAL</t>
  </si>
  <si>
    <t>ÁREA TOTAL RECEBIDA</t>
  </si>
  <si>
    <t>ÁREA TOTAL INSTALADA</t>
  </si>
  <si>
    <t>INSTALADO</t>
  </si>
  <si>
    <t>ACM</t>
  </si>
  <si>
    <t>CONTROLE DE MATERIAIS - SERRAMBI</t>
  </si>
  <si>
    <t>TIPOLOGIA</t>
  </si>
  <si>
    <t>REFERÊNCIA</t>
  </si>
  <si>
    <t>LOCALIZAÇÃO</t>
  </si>
  <si>
    <t>CONTROLE DE OBRA -  MAHRAK VILLA</t>
  </si>
  <si>
    <t>VALOR TOTAL DO CONTRATO</t>
  </si>
  <si>
    <t>QUANTIDADE DO CONTRATO</t>
  </si>
  <si>
    <t>ITEM</t>
  </si>
  <si>
    <t>LINHA</t>
  </si>
  <si>
    <t>QUANT</t>
  </si>
  <si>
    <t>MEDIDAS</t>
  </si>
  <si>
    <t>ÁREA UNIT (M²)</t>
  </si>
  <si>
    <t>ÁREA TOTAL (M²)</t>
  </si>
  <si>
    <t>VALOR M² UNIT</t>
  </si>
  <si>
    <t>VALOR M² TOTAL ITEM</t>
  </si>
  <si>
    <t>QUANT           SALDO À MEDIR</t>
  </si>
  <si>
    <t>QUANT           MEDIDO</t>
  </si>
  <si>
    <t xml:space="preserve">VALOR M² TOTAL </t>
  </si>
  <si>
    <t>STATUS DE MEDIÇÃO</t>
  </si>
  <si>
    <t>MEDIÇÃO 01</t>
  </si>
  <si>
    <t>MEDIÇÃO 02</t>
  </si>
  <si>
    <t>MEDIÇÃO 03</t>
  </si>
  <si>
    <t>MEDIÇÃO 04</t>
  </si>
  <si>
    <t>MEDIÇÃO 05</t>
  </si>
  <si>
    <t>MEDIÇÃO 06</t>
  </si>
  <si>
    <t>MEDIÇÃO 07</t>
  </si>
  <si>
    <t>MEDIÇÃO 08</t>
  </si>
  <si>
    <t>MEDIÇÃO 09</t>
  </si>
  <si>
    <t>MEDIÇÃO 10</t>
  </si>
  <si>
    <t>MEDIÇÃO 11</t>
  </si>
  <si>
    <t>MEDIÇÃO 12</t>
  </si>
  <si>
    <t>MEDIÇÃO 13</t>
  </si>
  <si>
    <t>MEDIÇÃO 14</t>
  </si>
  <si>
    <t>MEDIÇÃO 15</t>
  </si>
  <si>
    <t>SALDO ACUMULADO</t>
  </si>
  <si>
    <t>DATA</t>
  </si>
  <si>
    <t xml:space="preserve">TOTAL M² </t>
  </si>
  <si>
    <t>VALOR $ TOTAL</t>
  </si>
  <si>
    <t>STATUS DE MEDIÇÃO - INSTALAÇÕES  - PAINEL HISTÓRICO DE MEDIÇÕES</t>
  </si>
  <si>
    <t>R$</t>
  </si>
  <si>
    <t>ATENÇÃO PARA ESSA ANÁLISE</t>
  </si>
  <si>
    <t>VALOR M.O AJ INST.</t>
  </si>
  <si>
    <t>PERCENTUAL ACUMULADO PAGO:</t>
  </si>
  <si>
    <t>M² Total:</t>
  </si>
  <si>
    <t xml:space="preserve">Medição Instalação Total: </t>
  </si>
  <si>
    <t xml:space="preserve">M² Realizado Acumulado:  </t>
  </si>
  <si>
    <t>Medição Acumulado:</t>
  </si>
  <si>
    <t>Medição Nº:</t>
  </si>
  <si>
    <t xml:space="preserve">M² Realizado Atual: </t>
  </si>
  <si>
    <t>Medição Atual com Retenção:</t>
  </si>
  <si>
    <t>Área Total M²</t>
  </si>
  <si>
    <t>Realizado M²</t>
  </si>
  <si>
    <t>Saldo M²</t>
  </si>
  <si>
    <t>Medição Contrato</t>
  </si>
  <si>
    <t>Medição Realizado Total</t>
  </si>
  <si>
    <t>Medição com Retenção de 5%</t>
  </si>
  <si>
    <t>Saldo Medição</t>
  </si>
  <si>
    <t>Considerações Medição</t>
  </si>
  <si>
    <t>ÁREA TOTAL INSTALADA M²</t>
  </si>
  <si>
    <t>M² Instalado</t>
  </si>
  <si>
    <t>M² Saldo</t>
  </si>
  <si>
    <t>J05-QD02</t>
  </si>
  <si>
    <t>J05-QD03</t>
  </si>
  <si>
    <t>Modulo de fachada fixo c/ vidro</t>
  </si>
  <si>
    <t>Modulo de fachada maxim-ar c/ vidro</t>
  </si>
  <si>
    <t>Pav. Tipo do 2º ao 14</t>
  </si>
  <si>
    <t>P-76D-24 LOTE 01 = 321 QUADROS</t>
  </si>
  <si>
    <t/>
  </si>
  <si>
    <t>TOTAL RECEBEDO</t>
  </si>
  <si>
    <t>Fachada em Pele de vidro Entre Vãos</t>
  </si>
  <si>
    <t>MATRIZ MEDIÇÃO DE INSTALAÇÕES - OBRA BURJ LAVIE</t>
  </si>
  <si>
    <t>CONTROLE DE OBRA -  BURJ LAVIE</t>
  </si>
  <si>
    <t>Modulo de fachada fixo c/ vidro lote 1</t>
  </si>
  <si>
    <t>Fachada pele de vidro entre vãos c/ 3 modulos em parte fixas e moveis lote 1</t>
  </si>
  <si>
    <t>Fachada pele de vidro entre vãos c/ 3 modulos em parte fixas e moveis lote 2</t>
  </si>
  <si>
    <t>Instalação de Pele de vidro entre vãos do 14º, 13º e 3º da fachada sul.</t>
  </si>
  <si>
    <t>CONTROLE DE MEDIÇÃO - BURJ LAVIE</t>
  </si>
  <si>
    <t>2</t>
  </si>
  <si>
    <t>P-76E-24 LOTE 02 = 321 QUADROS</t>
  </si>
  <si>
    <t>BURJ LAVIE</t>
  </si>
  <si>
    <t>J05 - LOTE 1</t>
  </si>
  <si>
    <t>J05 - LOTE 2</t>
  </si>
  <si>
    <t>ÁREA TOTAL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</si>
</sst>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"/>
    <numFmt numFmtId="165" formatCode="&quot;R$&quot;\ #,##0.00"/>
  </numFmts>
  <fonts count="4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Calibri"/>
      <family val="2"/>
      <scheme val="major"/>
    </font>
    <font>
      <b/>
      <sz val="20"/>
      <color theme="1"/>
      <name val="Calibri"/>
      <family val="2"/>
      <scheme val="maj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rgb="FFA8D08D"/>
        <bgColor rgb="FFA8D08D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theme="5"/>
        <bgColor theme="5"/>
      </patternFill>
    </fill>
    <fill>
      <patternFill patternType="solid">
        <fgColor theme="0" tint="-0.249977111117893"/>
        <bgColor rgb="FFB7B7B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B7B7B7"/>
      </patternFill>
    </fill>
  </fills>
  <borders count="19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7F7F7F"/>
      </left>
      <right style="thin">
        <color rgb="FF7F7F7F"/>
      </right>
      <top style="medium">
        <color theme="0" tint="-0.34998626667073579"/>
      </top>
      <bottom style="thin">
        <color rgb="FF7F7F7F"/>
      </bottom>
      <diagonal/>
    </border>
    <border>
      <left style="thin">
        <color rgb="FF7F7F7F"/>
      </left>
      <right/>
      <top style="medium">
        <color theme="0" tint="-0.34998626667073579"/>
      </top>
      <bottom style="thin">
        <color rgb="FF7F7F7F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999999"/>
      </right>
      <top/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tted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7F7F7F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999999"/>
      </right>
      <top/>
      <bottom/>
      <diagonal/>
    </border>
    <border>
      <left style="dotted">
        <color rgb="FF000000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rgb="FF000000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rgb="FF7F7F7F"/>
      </right>
      <top/>
      <bottom style="hair">
        <color indexed="64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tted">
        <color rgb="FF000000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/>
      <top style="thin">
        <color indexed="64"/>
      </top>
      <bottom/>
      <diagonal/>
    </border>
    <border>
      <left/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rgb="FF000000"/>
      </right>
      <top style="hair">
        <color indexed="64"/>
      </top>
      <bottom style="hair">
        <color indexed="64"/>
      </bottom>
      <diagonal/>
    </border>
    <border>
      <left/>
      <right style="hair">
        <color rgb="FF000000"/>
      </right>
      <top style="hair">
        <color indexed="64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/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 style="medium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674">
    <xf numFmtId="0" fontId="0" fillId="0" borderId="0" xfId="0" applyFont="1" applyAlignment="1"/>
    <xf numFmtId="14" fontId="8" fillId="0" borderId="0" xfId="0" applyNumberFormat="1" applyFont="1"/>
    <xf numFmtId="3" fontId="8" fillId="0" borderId="0" xfId="0" applyNumberFormat="1" applyFont="1"/>
    <xf numFmtId="14" fontId="8" fillId="0" borderId="0" xfId="0" applyNumberFormat="1" applyFont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3" fontId="7" fillId="3" borderId="11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7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4" fontId="8" fillId="0" borderId="0" xfId="0" applyNumberFormat="1" applyFont="1"/>
    <xf numFmtId="164" fontId="8" fillId="0" borderId="0" xfId="0" applyNumberFormat="1" applyFont="1"/>
    <xf numFmtId="0" fontId="0" fillId="0" borderId="0" xfId="0" applyFont="1" applyAlignment="1">
      <alignment horizontal="center"/>
    </xf>
    <xf numFmtId="0" fontId="8" fillId="0" borderId="0" xfId="0" applyNumberFormat="1" applyFont="1" applyAlignment="1">
      <alignment horizontal="center"/>
    </xf>
    <xf numFmtId="164" fontId="0" fillId="0" borderId="0" xfId="0" applyNumberFormat="1" applyFont="1" applyAlignment="1"/>
    <xf numFmtId="2" fontId="8" fillId="0" borderId="0" xfId="0" applyNumberFormat="1" applyFont="1" applyAlignment="1">
      <alignment horizontal="center"/>
    </xf>
    <xf numFmtId="2" fontId="0" fillId="0" borderId="0" xfId="0" applyNumberFormat="1" applyFont="1" applyAlignment="1"/>
    <xf numFmtId="0" fontId="10" fillId="0" borderId="12" xfId="0" applyFont="1" applyBorder="1" applyAlignment="1">
      <alignment horizontal="center"/>
    </xf>
    <xf numFmtId="0" fontId="10" fillId="3" borderId="11" xfId="0" applyFont="1" applyFill="1" applyBorder="1" applyAlignment="1">
      <alignment horizontal="center" vertical="center"/>
    </xf>
    <xf numFmtId="2" fontId="14" fillId="2" borderId="5" xfId="0" applyNumberFormat="1" applyFont="1" applyFill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 vertical="center"/>
    </xf>
    <xf numFmtId="0" fontId="3" fillId="0" borderId="0" xfId="0" applyFont="1" applyAlignment="1"/>
    <xf numFmtId="0" fontId="10" fillId="3" borderId="11" xfId="0" applyFont="1" applyFill="1" applyBorder="1" applyAlignment="1">
      <alignment horizontal="center"/>
    </xf>
    <xf numFmtId="164" fontId="10" fillId="0" borderId="11" xfId="0" applyNumberFormat="1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4" fontId="10" fillId="0" borderId="10" xfId="0" applyNumberFormat="1" applyFont="1" applyBorder="1" applyAlignment="1">
      <alignment horizontal="center" vertical="center"/>
    </xf>
    <xf numFmtId="4" fontId="7" fillId="0" borderId="10" xfId="0" applyNumberFormat="1" applyFont="1" applyBorder="1" applyAlignment="1">
      <alignment horizontal="center" vertical="center"/>
    </xf>
    <xf numFmtId="4" fontId="0" fillId="0" borderId="0" xfId="0" applyNumberFormat="1" applyFont="1" applyAlignment="1"/>
    <xf numFmtId="4" fontId="8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6" fillId="2" borderId="5" xfId="0" applyNumberFormat="1" applyFont="1" applyFill="1" applyBorder="1" applyAlignment="1">
      <alignment horizontal="center" vertical="center" wrapText="1"/>
    </xf>
    <xf numFmtId="0" fontId="10" fillId="0" borderId="9" xfId="0" applyNumberFormat="1" applyFont="1" applyBorder="1" applyAlignment="1">
      <alignment horizontal="center" vertical="center"/>
    </xf>
    <xf numFmtId="0" fontId="10" fillId="0" borderId="11" xfId="0" applyNumberFormat="1" applyFont="1" applyBorder="1" applyAlignment="1">
      <alignment horizontal="center" vertical="center"/>
    </xf>
    <xf numFmtId="0" fontId="7" fillId="0" borderId="11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0" fontId="10" fillId="0" borderId="18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0" fontId="10" fillId="3" borderId="13" xfId="0" applyFont="1" applyFill="1" applyBorder="1" applyAlignment="1">
      <alignment horizontal="center"/>
    </xf>
    <xf numFmtId="164" fontId="10" fillId="0" borderId="17" xfId="0" applyNumberFormat="1" applyFont="1" applyBorder="1" applyAlignment="1">
      <alignment horizontal="center" vertical="center"/>
    </xf>
    <xf numFmtId="164" fontId="10" fillId="0" borderId="19" xfId="0" applyNumberFormat="1" applyFont="1" applyBorder="1" applyAlignment="1">
      <alignment horizontal="center" vertical="center"/>
    </xf>
    <xf numFmtId="164" fontId="10" fillId="0" borderId="20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4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4" fontId="10" fillId="0" borderId="1" xfId="0" applyNumberFormat="1" applyFont="1" applyBorder="1" applyAlignment="1">
      <alignment horizontal="center" vertical="center"/>
    </xf>
    <xf numFmtId="4" fontId="14" fillId="2" borderId="21" xfId="0" applyNumberFormat="1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3" fontId="7" fillId="3" borderId="30" xfId="0" applyNumberFormat="1" applyFont="1" applyFill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/>
    </xf>
    <xf numFmtId="0" fontId="7" fillId="0" borderId="33" xfId="0" applyFont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164" fontId="7" fillId="0" borderId="34" xfId="0" applyNumberFormat="1" applyFont="1" applyBorder="1" applyAlignment="1">
      <alignment horizontal="center" vertical="center"/>
    </xf>
    <xf numFmtId="2" fontId="7" fillId="0" borderId="34" xfId="0" applyNumberFormat="1" applyFont="1" applyBorder="1" applyAlignment="1">
      <alignment horizontal="center" vertical="center"/>
    </xf>
    <xf numFmtId="14" fontId="7" fillId="0" borderId="34" xfId="0" applyNumberFormat="1" applyFont="1" applyBorder="1" applyAlignment="1">
      <alignment horizontal="center" vertical="center"/>
    </xf>
    <xf numFmtId="0" fontId="7" fillId="0" borderId="34" xfId="0" applyNumberFormat="1" applyFont="1" applyBorder="1" applyAlignment="1">
      <alignment horizontal="center" vertical="center"/>
    </xf>
    <xf numFmtId="3" fontId="7" fillId="0" borderId="34" xfId="0" applyNumberFormat="1" applyFont="1" applyBorder="1" applyAlignment="1">
      <alignment horizontal="center" vertical="center"/>
    </xf>
    <xf numFmtId="4" fontId="7" fillId="0" borderId="34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3" fontId="7" fillId="3" borderId="35" xfId="0" applyNumberFormat="1" applyFont="1" applyFill="1" applyBorder="1" applyAlignment="1">
      <alignment horizontal="center" vertical="center"/>
    </xf>
    <xf numFmtId="3" fontId="7" fillId="3" borderId="34" xfId="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wrapText="1"/>
    </xf>
    <xf numFmtId="0" fontId="10" fillId="3" borderId="13" xfId="0" applyFont="1" applyFill="1" applyBorder="1" applyAlignment="1">
      <alignment horizontal="center" wrapText="1"/>
    </xf>
    <xf numFmtId="164" fontId="10" fillId="0" borderId="17" xfId="0" applyNumberFormat="1" applyFont="1" applyBorder="1" applyAlignment="1">
      <alignment horizontal="center" vertical="center" wrapText="1"/>
    </xf>
    <xf numFmtId="2" fontId="10" fillId="0" borderId="17" xfId="0" applyNumberFormat="1" applyFont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 wrapText="1"/>
    </xf>
    <xf numFmtId="0" fontId="10" fillId="0" borderId="18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3" fontId="10" fillId="0" borderId="11" xfId="0" applyNumberFormat="1" applyFont="1" applyBorder="1" applyAlignment="1">
      <alignment horizontal="center" vertical="center" wrapText="1"/>
    </xf>
    <xf numFmtId="4" fontId="10" fillId="0" borderId="10" xfId="0" applyNumberFormat="1" applyFont="1" applyBorder="1" applyAlignment="1">
      <alignment horizontal="center" vertical="center" wrapText="1"/>
    </xf>
    <xf numFmtId="3" fontId="7" fillId="3" borderId="11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3" fontId="7" fillId="3" borderId="3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9" fillId="0" borderId="12" xfId="0" applyFont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0" fillId="3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9" fillId="0" borderId="0" xfId="0" applyFont="1" applyAlignment="1"/>
    <xf numFmtId="4" fontId="9" fillId="0" borderId="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" fontId="9" fillId="0" borderId="0" xfId="0" applyNumberFormat="1" applyFont="1"/>
    <xf numFmtId="164" fontId="9" fillId="0" borderId="0" xfId="0" applyNumberFormat="1" applyFont="1" applyAlignment="1">
      <alignment horizontal="center"/>
    </xf>
    <xf numFmtId="14" fontId="9" fillId="0" borderId="0" xfId="0" applyNumberFormat="1" applyFont="1"/>
    <xf numFmtId="3" fontId="9" fillId="0" borderId="0" xfId="0" applyNumberFormat="1" applyFont="1"/>
    <xf numFmtId="4" fontId="9" fillId="0" borderId="0" xfId="0" applyNumberFormat="1" applyFont="1" applyAlignment="1"/>
    <xf numFmtId="14" fontId="9" fillId="0" borderId="0" xfId="0" applyNumberFormat="1" applyFont="1" applyAlignment="1"/>
    <xf numFmtId="3" fontId="9" fillId="3" borderId="40" xfId="0" applyNumberFormat="1" applyFont="1" applyFill="1" applyBorder="1" applyAlignment="1">
      <alignment horizontal="center" vertical="center"/>
    </xf>
    <xf numFmtId="0" fontId="9" fillId="0" borderId="41" xfId="0" applyFont="1" applyBorder="1" applyAlignment="1"/>
    <xf numFmtId="0" fontId="9" fillId="0" borderId="42" xfId="0" applyFont="1" applyBorder="1" applyAlignment="1"/>
    <xf numFmtId="0" fontId="9" fillId="0" borderId="44" xfId="0" applyFont="1" applyBorder="1" applyAlignment="1">
      <alignment horizontal="center" vertical="center"/>
    </xf>
    <xf numFmtId="4" fontId="9" fillId="0" borderId="45" xfId="0" applyNumberFormat="1" applyFont="1" applyBorder="1" applyAlignment="1">
      <alignment horizontal="center" vertical="center"/>
    </xf>
    <xf numFmtId="3" fontId="9" fillId="3" borderId="46" xfId="0" applyNumberFormat="1" applyFont="1" applyFill="1" applyBorder="1" applyAlignment="1">
      <alignment horizontal="center" vertical="center"/>
    </xf>
    <xf numFmtId="4" fontId="9" fillId="0" borderId="48" xfId="0" applyNumberFormat="1" applyFont="1" applyBorder="1"/>
    <xf numFmtId="0" fontId="9" fillId="0" borderId="49" xfId="0" applyFont="1" applyBorder="1" applyAlignment="1"/>
    <xf numFmtId="0" fontId="9" fillId="9" borderId="45" xfId="0" applyFont="1" applyFill="1" applyBorder="1" applyAlignment="1">
      <alignment horizontal="center"/>
    </xf>
    <xf numFmtId="164" fontId="9" fillId="0" borderId="43" xfId="0" applyNumberFormat="1" applyFont="1" applyBorder="1" applyAlignment="1">
      <alignment horizontal="center" vertical="center"/>
    </xf>
    <xf numFmtId="14" fontId="9" fillId="0" borderId="43" xfId="0" applyNumberFormat="1" applyFont="1" applyBorder="1" applyAlignment="1">
      <alignment horizontal="center" vertical="center"/>
    </xf>
    <xf numFmtId="164" fontId="9" fillId="0" borderId="45" xfId="0" applyNumberFormat="1" applyFont="1" applyBorder="1" applyAlignment="1">
      <alignment horizontal="center" vertical="center"/>
    </xf>
    <xf numFmtId="2" fontId="9" fillId="0" borderId="45" xfId="0" applyNumberFormat="1" applyFont="1" applyBorder="1" applyAlignment="1">
      <alignment horizontal="center" vertical="center"/>
    </xf>
    <xf numFmtId="14" fontId="9" fillId="0" borderId="45" xfId="0" applyNumberFormat="1" applyFont="1" applyBorder="1" applyAlignment="1">
      <alignment horizontal="center" vertical="center"/>
    </xf>
    <xf numFmtId="3" fontId="9" fillId="0" borderId="45" xfId="0" applyNumberFormat="1" applyFont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164" fontId="9" fillId="0" borderId="48" xfId="0" applyNumberFormat="1" applyFont="1" applyBorder="1" applyAlignment="1">
      <alignment horizontal="center" vertical="center"/>
    </xf>
    <xf numFmtId="14" fontId="9" fillId="0" borderId="48" xfId="0" applyNumberFormat="1" applyFont="1" applyBorder="1" applyAlignment="1">
      <alignment horizontal="center" vertical="center"/>
    </xf>
    <xf numFmtId="3" fontId="9" fillId="0" borderId="48" xfId="0" applyNumberFormat="1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 wrapText="1"/>
    </xf>
    <xf numFmtId="2" fontId="9" fillId="7" borderId="50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vertical="center" wrapText="1"/>
    </xf>
    <xf numFmtId="0" fontId="9" fillId="0" borderId="51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14" fontId="8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5" fillId="0" borderId="41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 wrapText="1"/>
    </xf>
    <xf numFmtId="2" fontId="9" fillId="0" borderId="48" xfId="0" applyNumberFormat="1" applyFont="1" applyFill="1" applyBorder="1" applyAlignment="1">
      <alignment horizontal="center" vertical="center"/>
    </xf>
    <xf numFmtId="0" fontId="9" fillId="9" borderId="43" xfId="0" applyFont="1" applyFill="1" applyBorder="1" applyAlignment="1">
      <alignment horizontal="center"/>
    </xf>
    <xf numFmtId="3" fontId="9" fillId="0" borderId="43" xfId="0" applyNumberFormat="1" applyFont="1" applyBorder="1" applyAlignment="1">
      <alignment horizontal="center" vertical="center"/>
    </xf>
    <xf numFmtId="3" fontId="9" fillId="3" borderId="55" xfId="0" applyNumberFormat="1" applyFont="1" applyFill="1" applyBorder="1" applyAlignment="1">
      <alignment horizontal="center" vertical="center"/>
    </xf>
    <xf numFmtId="4" fontId="9" fillId="0" borderId="4" xfId="0" applyNumberFormat="1" applyFont="1" applyBorder="1" applyAlignment="1">
      <alignment horizontal="center" vertical="center"/>
    </xf>
    <xf numFmtId="3" fontId="9" fillId="3" borderId="56" xfId="0" applyNumberFormat="1" applyFont="1" applyFill="1" applyBorder="1" applyAlignment="1">
      <alignment horizontal="center" vertical="center"/>
    </xf>
    <xf numFmtId="0" fontId="11" fillId="2" borderId="57" xfId="0" applyFont="1" applyFill="1" applyBorder="1" applyAlignment="1">
      <alignment horizontal="center" vertical="center" wrapText="1"/>
    </xf>
    <xf numFmtId="0" fontId="11" fillId="2" borderId="58" xfId="0" applyFont="1" applyFill="1" applyBorder="1" applyAlignment="1">
      <alignment horizontal="center" vertical="center" wrapText="1"/>
    </xf>
    <xf numFmtId="0" fontId="11" fillId="2" borderId="59" xfId="0" applyFont="1" applyFill="1" applyBorder="1" applyAlignment="1">
      <alignment horizontal="center" vertical="center"/>
    </xf>
    <xf numFmtId="0" fontId="11" fillId="2" borderId="59" xfId="0" applyFont="1" applyFill="1" applyBorder="1" applyAlignment="1">
      <alignment horizontal="center" vertical="center" wrapText="1"/>
    </xf>
    <xf numFmtId="14" fontId="11" fillId="2" borderId="59" xfId="0" applyNumberFormat="1" applyFont="1" applyFill="1" applyBorder="1" applyAlignment="1">
      <alignment horizontal="center" vertical="center" wrapText="1"/>
    </xf>
    <xf numFmtId="3" fontId="11" fillId="2" borderId="59" xfId="0" applyNumberFormat="1" applyFont="1" applyFill="1" applyBorder="1" applyAlignment="1">
      <alignment horizontal="center" vertical="center" wrapText="1"/>
    </xf>
    <xf numFmtId="4" fontId="11" fillId="2" borderId="61" xfId="0" applyNumberFormat="1" applyFont="1" applyFill="1" applyBorder="1" applyAlignment="1">
      <alignment horizontal="center" vertical="center" wrapText="1"/>
    </xf>
    <xf numFmtId="0" fontId="11" fillId="2" borderId="61" xfId="0" applyFont="1" applyFill="1" applyBorder="1" applyAlignment="1">
      <alignment horizontal="center" vertical="center" wrapText="1"/>
    </xf>
    <xf numFmtId="0" fontId="11" fillId="2" borderId="61" xfId="0" applyFont="1" applyFill="1" applyBorder="1" applyAlignment="1">
      <alignment horizontal="center" vertical="center"/>
    </xf>
    <xf numFmtId="0" fontId="11" fillId="2" borderId="62" xfId="0" applyFont="1" applyFill="1" applyBorder="1" applyAlignment="1">
      <alignment horizontal="center" vertical="center" wrapText="1"/>
    </xf>
    <xf numFmtId="0" fontId="11" fillId="2" borderId="63" xfId="0" applyFont="1" applyFill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 wrapText="1"/>
    </xf>
    <xf numFmtId="0" fontId="9" fillId="0" borderId="67" xfId="0" applyFont="1" applyBorder="1" applyAlignment="1">
      <alignment horizontal="center" vertical="center" wrapText="1"/>
    </xf>
    <xf numFmtId="1" fontId="0" fillId="0" borderId="0" xfId="0" applyNumberFormat="1" applyFont="1" applyAlignment="1">
      <alignment horizontal="center"/>
    </xf>
    <xf numFmtId="0" fontId="9" fillId="0" borderId="53" xfId="0" applyFont="1" applyBorder="1" applyAlignment="1">
      <alignment horizontal="center" vertical="center" wrapText="1"/>
    </xf>
    <xf numFmtId="4" fontId="9" fillId="0" borderId="50" xfId="0" applyNumberFormat="1" applyFont="1" applyBorder="1" applyAlignment="1">
      <alignment horizontal="center" vertical="center"/>
    </xf>
    <xf numFmtId="2" fontId="9" fillId="6" borderId="50" xfId="0" applyNumberFormat="1" applyFont="1" applyFill="1" applyBorder="1" applyAlignment="1">
      <alignment horizontal="center" vertical="center"/>
    </xf>
    <xf numFmtId="9" fontId="9" fillId="5" borderId="50" xfId="0" applyNumberFormat="1" applyFont="1" applyFill="1" applyBorder="1" applyAlignment="1">
      <alignment horizontal="center" vertical="center"/>
    </xf>
    <xf numFmtId="3" fontId="9" fillId="7" borderId="50" xfId="0" applyNumberFormat="1" applyFont="1" applyFill="1" applyBorder="1" applyAlignment="1">
      <alignment horizontal="center" vertical="center"/>
    </xf>
    <xf numFmtId="1" fontId="9" fillId="7" borderId="50" xfId="0" applyNumberFormat="1" applyFont="1" applyFill="1" applyBorder="1" applyAlignment="1">
      <alignment horizontal="center" vertical="center"/>
    </xf>
    <xf numFmtId="2" fontId="9" fillId="4" borderId="70" xfId="0" applyNumberFormat="1" applyFont="1" applyFill="1" applyBorder="1" applyAlignment="1">
      <alignment horizontal="center" vertical="center"/>
    </xf>
    <xf numFmtId="0" fontId="12" fillId="8" borderId="73" xfId="0" applyFont="1" applyFill="1" applyBorder="1" applyAlignment="1">
      <alignment horizontal="center" vertical="center"/>
    </xf>
    <xf numFmtId="0" fontId="12" fillId="8" borderId="70" xfId="0" applyFont="1" applyFill="1" applyBorder="1" applyAlignment="1">
      <alignment horizontal="center" vertical="center"/>
    </xf>
    <xf numFmtId="4" fontId="12" fillId="8" borderId="70" xfId="0" applyNumberFormat="1" applyFont="1" applyFill="1" applyBorder="1" applyAlignment="1">
      <alignment horizontal="center" vertical="center" wrapText="1"/>
    </xf>
    <xf numFmtId="1" fontId="12" fillId="8" borderId="70" xfId="0" applyNumberFormat="1" applyFont="1" applyFill="1" applyBorder="1" applyAlignment="1">
      <alignment horizontal="center" vertical="center"/>
    </xf>
    <xf numFmtId="0" fontId="12" fillId="8" borderId="71" xfId="0" applyFont="1" applyFill="1" applyBorder="1" applyAlignment="1">
      <alignment horizontal="center" vertical="center"/>
    </xf>
    <xf numFmtId="9" fontId="9" fillId="5" borderId="74" xfId="0" applyNumberFormat="1" applyFont="1" applyFill="1" applyBorder="1" applyAlignment="1">
      <alignment horizontal="center" vertical="center"/>
    </xf>
    <xf numFmtId="0" fontId="11" fillId="8" borderId="70" xfId="0" applyFont="1" applyFill="1" applyBorder="1" applyAlignment="1">
      <alignment horizontal="center" vertical="center"/>
    </xf>
    <xf numFmtId="0" fontId="0" fillId="0" borderId="0" xfId="0" applyFont="1" applyFill="1" applyAlignment="1"/>
    <xf numFmtId="3" fontId="9" fillId="10" borderId="50" xfId="0" applyNumberFormat="1" applyFont="1" applyFill="1" applyBorder="1" applyAlignment="1">
      <alignment horizontal="center" vertical="center"/>
    </xf>
    <xf numFmtId="9" fontId="9" fillId="11" borderId="50" xfId="0" applyNumberFormat="1" applyFont="1" applyFill="1" applyBorder="1" applyAlignment="1">
      <alignment horizontal="center" vertical="center"/>
    </xf>
    <xf numFmtId="9" fontId="9" fillId="11" borderId="74" xfId="0" applyNumberFormat="1" applyFont="1" applyFill="1" applyBorder="1" applyAlignment="1">
      <alignment horizontal="center" vertical="center"/>
    </xf>
    <xf numFmtId="2" fontId="9" fillId="12" borderId="50" xfId="0" applyNumberFormat="1" applyFont="1" applyFill="1" applyBorder="1" applyAlignment="1">
      <alignment horizontal="center" vertical="center"/>
    </xf>
    <xf numFmtId="0" fontId="15" fillId="0" borderId="45" xfId="0" applyFont="1" applyFill="1" applyBorder="1" applyAlignment="1">
      <alignment horizontal="center" vertical="center" wrapText="1"/>
    </xf>
    <xf numFmtId="0" fontId="15" fillId="0" borderId="45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2" fontId="7" fillId="0" borderId="45" xfId="0" applyNumberFormat="1" applyFont="1" applyFill="1" applyBorder="1" applyAlignment="1">
      <alignment horizontal="center" vertical="center"/>
    </xf>
    <xf numFmtId="14" fontId="7" fillId="0" borderId="45" xfId="0" applyNumberFormat="1" applyFont="1" applyBorder="1" applyAlignment="1">
      <alignment horizontal="center" vertical="center"/>
    </xf>
    <xf numFmtId="3" fontId="7" fillId="0" borderId="45" xfId="0" applyNumberFormat="1" applyFont="1" applyBorder="1" applyAlignment="1">
      <alignment horizontal="center" vertical="center"/>
    </xf>
    <xf numFmtId="4" fontId="7" fillId="0" borderId="45" xfId="0" applyNumberFormat="1" applyFont="1" applyBorder="1" applyAlignment="1">
      <alignment horizontal="center" vertical="center"/>
    </xf>
    <xf numFmtId="3" fontId="7" fillId="3" borderId="45" xfId="0" applyNumberFormat="1" applyFont="1" applyFill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17" fillId="0" borderId="47" xfId="0" applyFont="1" applyFill="1" applyBorder="1" applyAlignment="1">
      <alignment horizontal="center" vertical="center"/>
    </xf>
    <xf numFmtId="3" fontId="7" fillId="3" borderId="88" xfId="0" applyNumberFormat="1" applyFont="1" applyFill="1" applyBorder="1" applyAlignment="1">
      <alignment horizontal="center" vertical="center"/>
    </xf>
    <xf numFmtId="164" fontId="16" fillId="0" borderId="45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vertical="center"/>
    </xf>
    <xf numFmtId="1" fontId="9" fillId="6" borderId="50" xfId="0" applyNumberFormat="1" applyFont="1" applyFill="1" applyBorder="1" applyAlignment="1">
      <alignment horizontal="center" vertical="center"/>
    </xf>
    <xf numFmtId="1" fontId="9" fillId="12" borderId="50" xfId="0" applyNumberFormat="1" applyFont="1" applyFill="1" applyBorder="1" applyAlignment="1">
      <alignment horizontal="center" vertical="center"/>
    </xf>
    <xf numFmtId="3" fontId="11" fillId="4" borderId="70" xfId="0" applyNumberFormat="1" applyFont="1" applyFill="1" applyBorder="1" applyAlignment="1">
      <alignment horizontal="center" vertical="center"/>
    </xf>
    <xf numFmtId="1" fontId="11" fillId="4" borderId="70" xfId="0" applyNumberFormat="1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9" fillId="0" borderId="0" xfId="0" applyFont="1" applyAlignment="1"/>
    <xf numFmtId="0" fontId="20" fillId="13" borderId="26" xfId="0" applyFont="1" applyFill="1" applyBorder="1" applyAlignment="1">
      <alignment horizontal="center" vertical="center"/>
    </xf>
    <xf numFmtId="44" fontId="20" fillId="13" borderId="24" xfId="1" applyFont="1" applyFill="1" applyBorder="1" applyAlignment="1">
      <alignment horizontal="center" vertical="center"/>
    </xf>
    <xf numFmtId="0" fontId="19" fillId="0" borderId="94" xfId="0" applyFont="1" applyBorder="1" applyAlignment="1"/>
    <xf numFmtId="8" fontId="19" fillId="0" borderId="0" xfId="0" applyNumberFormat="1" applyFont="1" applyAlignment="1">
      <alignment horizontal="center" vertical="center"/>
    </xf>
    <xf numFmtId="0" fontId="0" fillId="14" borderId="0" xfId="0" applyFill="1"/>
    <xf numFmtId="0" fontId="22" fillId="14" borderId="53" xfId="0" applyFont="1" applyFill="1" applyBorder="1" applyAlignment="1">
      <alignment vertical="center"/>
    </xf>
    <xf numFmtId="0" fontId="22" fillId="14" borderId="0" xfId="0" applyFont="1" applyFill="1" applyBorder="1" applyAlignment="1">
      <alignment vertical="center"/>
    </xf>
    <xf numFmtId="0" fontId="22" fillId="14" borderId="0" xfId="0" applyFont="1" applyFill="1" applyBorder="1" applyAlignment="1">
      <alignment horizontal="center" vertical="center"/>
    </xf>
    <xf numFmtId="0" fontId="23" fillId="0" borderId="106" xfId="0" applyFont="1" applyBorder="1" applyAlignment="1">
      <alignment horizontal="center" vertical="center" wrapText="1"/>
    </xf>
    <xf numFmtId="44" fontId="24" fillId="17" borderId="111" xfId="0" applyNumberFormat="1" applyFont="1" applyFill="1" applyBorder="1" applyAlignment="1">
      <alignment vertical="center" wrapText="1"/>
    </xf>
    <xf numFmtId="0" fontId="23" fillId="18" borderId="112" xfId="0" applyFont="1" applyFill="1" applyBorder="1" applyAlignment="1">
      <alignment horizontal="center" vertical="center"/>
    </xf>
    <xf numFmtId="0" fontId="23" fillId="18" borderId="94" xfId="0" applyFont="1" applyFill="1" applyBorder="1" applyAlignment="1">
      <alignment horizontal="center" vertical="center"/>
    </xf>
    <xf numFmtId="0" fontId="23" fillId="18" borderId="99" xfId="0" applyFont="1" applyFill="1" applyBorder="1" applyAlignment="1">
      <alignment horizontal="center" vertical="center"/>
    </xf>
    <xf numFmtId="0" fontId="23" fillId="0" borderId="111" xfId="0" applyFont="1" applyBorder="1" applyAlignment="1">
      <alignment horizontal="center" vertical="center" wrapText="1"/>
    </xf>
    <xf numFmtId="44" fontId="25" fillId="0" borderId="116" xfId="0" applyNumberFormat="1" applyFont="1" applyBorder="1" applyAlignment="1">
      <alignment vertical="center" wrapText="1"/>
    </xf>
    <xf numFmtId="0" fontId="26" fillId="18" borderId="94" xfId="0" applyFont="1" applyFill="1" applyBorder="1"/>
    <xf numFmtId="0" fontId="26" fillId="18" borderId="99" xfId="0" applyFont="1" applyFill="1" applyBorder="1"/>
    <xf numFmtId="0" fontId="23" fillId="19" borderId="98" xfId="0" applyFont="1" applyFill="1" applyBorder="1" applyAlignment="1">
      <alignment horizontal="center" vertical="center"/>
    </xf>
    <xf numFmtId="0" fontId="27" fillId="19" borderId="94" xfId="0" applyFont="1" applyFill="1" applyBorder="1" applyAlignment="1">
      <alignment horizontal="center" vertical="center"/>
    </xf>
    <xf numFmtId="0" fontId="25" fillId="19" borderId="94" xfId="0" applyFont="1" applyFill="1" applyBorder="1" applyAlignment="1">
      <alignment horizontal="center" vertical="center"/>
    </xf>
    <xf numFmtId="0" fontId="23" fillId="19" borderId="94" xfId="0" applyFont="1" applyFill="1" applyBorder="1" applyAlignment="1">
      <alignment horizontal="center" vertical="center"/>
    </xf>
    <xf numFmtId="2" fontId="27" fillId="19" borderId="94" xfId="0" applyNumberFormat="1" applyFont="1" applyFill="1" applyBorder="1" applyAlignment="1">
      <alignment horizontal="right"/>
    </xf>
    <xf numFmtId="2" fontId="27" fillId="19" borderId="94" xfId="0" applyNumberFormat="1" applyFont="1" applyFill="1" applyBorder="1"/>
    <xf numFmtId="44" fontId="23" fillId="19" borderId="94" xfId="0" applyNumberFormat="1" applyFont="1" applyFill="1" applyBorder="1" applyAlignment="1">
      <alignment horizontal="center" vertical="center"/>
    </xf>
    <xf numFmtId="44" fontId="28" fillId="19" borderId="99" xfId="0" applyNumberFormat="1" applyFont="1" applyFill="1" applyBorder="1"/>
    <xf numFmtId="0" fontId="23" fillId="15" borderId="98" xfId="0" applyFont="1" applyFill="1" applyBorder="1" applyAlignment="1">
      <alignment horizontal="center" vertical="center"/>
    </xf>
    <xf numFmtId="0" fontId="23" fillId="16" borderId="94" xfId="0" applyFont="1" applyFill="1" applyBorder="1" applyAlignment="1">
      <alignment horizontal="center" vertical="center"/>
    </xf>
    <xf numFmtId="44" fontId="23" fillId="19" borderId="117" xfId="0" applyNumberFormat="1" applyFont="1" applyFill="1" applyBorder="1" applyAlignment="1">
      <alignment horizontal="center" vertical="center"/>
    </xf>
    <xf numFmtId="44" fontId="28" fillId="19" borderId="118" xfId="0" applyNumberFormat="1" applyFont="1" applyFill="1" applyBorder="1"/>
    <xf numFmtId="0" fontId="29" fillId="19" borderId="112" xfId="0" applyFont="1" applyFill="1" applyBorder="1" applyAlignment="1">
      <alignment horizontal="center" vertical="center"/>
    </xf>
    <xf numFmtId="0" fontId="29" fillId="19" borderId="94" xfId="0" applyFont="1" applyFill="1" applyBorder="1" applyAlignment="1">
      <alignment horizontal="center" vertical="center"/>
    </xf>
    <xf numFmtId="0" fontId="29" fillId="19" borderId="99" xfId="0" applyFont="1" applyFill="1" applyBorder="1" applyAlignment="1">
      <alignment horizontal="center" vertical="center"/>
    </xf>
    <xf numFmtId="0" fontId="23" fillId="20" borderId="98" xfId="0" applyFont="1" applyFill="1" applyBorder="1" applyAlignment="1">
      <alignment horizontal="center" vertical="center"/>
    </xf>
    <xf numFmtId="0" fontId="27" fillId="20" borderId="94" xfId="0" applyFont="1" applyFill="1" applyBorder="1" applyAlignment="1">
      <alignment horizontal="center" vertical="center"/>
    </xf>
    <xf numFmtId="0" fontId="25" fillId="20" borderId="94" xfId="0" applyFont="1" applyFill="1" applyBorder="1" applyAlignment="1">
      <alignment horizontal="center" vertical="center"/>
    </xf>
    <xf numFmtId="0" fontId="23" fillId="20" borderId="94" xfId="0" applyFont="1" applyFill="1" applyBorder="1" applyAlignment="1">
      <alignment horizontal="center" vertical="center"/>
    </xf>
    <xf numFmtId="2" fontId="27" fillId="20" borderId="94" xfId="0" applyNumberFormat="1" applyFont="1" applyFill="1" applyBorder="1" applyAlignment="1">
      <alignment horizontal="right"/>
    </xf>
    <xf numFmtId="2" fontId="27" fillId="20" borderId="94" xfId="0" applyNumberFormat="1" applyFont="1" applyFill="1" applyBorder="1"/>
    <xf numFmtId="44" fontId="23" fillId="20" borderId="94" xfId="0" applyNumberFormat="1" applyFont="1" applyFill="1" applyBorder="1" applyAlignment="1">
      <alignment horizontal="center" vertical="center"/>
    </xf>
    <xf numFmtId="44" fontId="28" fillId="20" borderId="99" xfId="0" applyNumberFormat="1" applyFont="1" applyFill="1" applyBorder="1"/>
    <xf numFmtId="44" fontId="23" fillId="20" borderId="117" xfId="0" applyNumberFormat="1" applyFont="1" applyFill="1" applyBorder="1" applyAlignment="1">
      <alignment horizontal="center" vertical="center"/>
    </xf>
    <xf numFmtId="44" fontId="28" fillId="20" borderId="118" xfId="0" applyNumberFormat="1" applyFont="1" applyFill="1" applyBorder="1"/>
    <xf numFmtId="0" fontId="29" fillId="20" borderId="112" xfId="0" applyFont="1" applyFill="1" applyBorder="1" applyAlignment="1">
      <alignment horizontal="center" vertical="center"/>
    </xf>
    <xf numFmtId="0" fontId="29" fillId="20" borderId="94" xfId="0" applyFont="1" applyFill="1" applyBorder="1" applyAlignment="1">
      <alignment horizontal="center" vertical="center"/>
    </xf>
    <xf numFmtId="0" fontId="29" fillId="20" borderId="99" xfId="0" applyFont="1" applyFill="1" applyBorder="1" applyAlignment="1">
      <alignment horizontal="center" vertical="center"/>
    </xf>
    <xf numFmtId="0" fontId="23" fillId="0" borderId="98" xfId="0" applyFont="1" applyFill="1" applyBorder="1" applyAlignment="1">
      <alignment horizontal="center" vertical="center"/>
    </xf>
    <xf numFmtId="0" fontId="27" fillId="0" borderId="94" xfId="0" applyFont="1" applyFill="1" applyBorder="1" applyAlignment="1">
      <alignment horizontal="center" vertical="center"/>
    </xf>
    <xf numFmtId="0" fontId="25" fillId="0" borderId="94" xfId="0" applyFont="1" applyFill="1" applyBorder="1" applyAlignment="1">
      <alignment horizontal="center" vertical="center"/>
    </xf>
    <xf numFmtId="0" fontId="23" fillId="0" borderId="94" xfId="0" applyFont="1" applyFill="1" applyBorder="1" applyAlignment="1">
      <alignment horizontal="center" vertical="center"/>
    </xf>
    <xf numFmtId="2" fontId="27" fillId="0" borderId="94" xfId="0" applyNumberFormat="1" applyFont="1" applyFill="1" applyBorder="1" applyAlignment="1">
      <alignment horizontal="right"/>
    </xf>
    <xf numFmtId="2" fontId="27" fillId="0" borderId="94" xfId="0" applyNumberFormat="1" applyFont="1" applyFill="1" applyBorder="1"/>
    <xf numFmtId="44" fontId="23" fillId="0" borderId="94" xfId="0" applyNumberFormat="1" applyFont="1" applyFill="1" applyBorder="1" applyAlignment="1">
      <alignment horizontal="center" vertical="center"/>
    </xf>
    <xf numFmtId="44" fontId="28" fillId="0" borderId="99" xfId="0" applyNumberFormat="1" applyFont="1" applyFill="1" applyBorder="1"/>
    <xf numFmtId="44" fontId="23" fillId="0" borderId="117" xfId="0" applyNumberFormat="1" applyFont="1" applyFill="1" applyBorder="1" applyAlignment="1">
      <alignment horizontal="center" vertical="center"/>
    </xf>
    <xf numFmtId="44" fontId="28" fillId="0" borderId="118" xfId="0" applyNumberFormat="1" applyFont="1" applyFill="1" applyBorder="1"/>
    <xf numFmtId="0" fontId="29" fillId="0" borderId="112" xfId="0" applyFont="1" applyFill="1" applyBorder="1" applyAlignment="1">
      <alignment horizontal="center" vertical="center"/>
    </xf>
    <xf numFmtId="0" fontId="29" fillId="0" borderId="94" xfId="0" applyFont="1" applyFill="1" applyBorder="1" applyAlignment="1">
      <alignment horizontal="center" vertical="center"/>
    </xf>
    <xf numFmtId="0" fontId="29" fillId="0" borderId="99" xfId="0" applyFont="1" applyFill="1" applyBorder="1" applyAlignment="1">
      <alignment horizontal="center" vertical="center"/>
    </xf>
    <xf numFmtId="0" fontId="23" fillId="0" borderId="100" xfId="0" applyFont="1" applyFill="1" applyBorder="1" applyAlignment="1">
      <alignment horizontal="center" vertical="center"/>
    </xf>
    <xf numFmtId="0" fontId="27" fillId="0" borderId="101" xfId="0" applyFont="1" applyFill="1" applyBorder="1" applyAlignment="1">
      <alignment horizontal="center" vertical="center"/>
    </xf>
    <xf numFmtId="0" fontId="25" fillId="0" borderId="101" xfId="0" applyFont="1" applyFill="1" applyBorder="1" applyAlignment="1">
      <alignment horizontal="center" vertical="center"/>
    </xf>
    <xf numFmtId="0" fontId="23" fillId="0" borderId="101" xfId="0" applyFont="1" applyFill="1" applyBorder="1" applyAlignment="1">
      <alignment horizontal="center" vertical="center"/>
    </xf>
    <xf numFmtId="2" fontId="27" fillId="0" borderId="101" xfId="0" applyNumberFormat="1" applyFont="1" applyFill="1" applyBorder="1" applyAlignment="1">
      <alignment horizontal="right"/>
    </xf>
    <xf numFmtId="2" fontId="27" fillId="0" borderId="101" xfId="0" applyNumberFormat="1" applyFont="1" applyFill="1" applyBorder="1"/>
    <xf numFmtId="44" fontId="23" fillId="0" borderId="101" xfId="0" applyNumberFormat="1" applyFont="1" applyFill="1" applyBorder="1" applyAlignment="1">
      <alignment horizontal="center" vertical="center"/>
    </xf>
    <xf numFmtId="44" fontId="28" fillId="0" borderId="102" xfId="0" applyNumberFormat="1" applyFont="1" applyFill="1" applyBorder="1"/>
    <xf numFmtId="0" fontId="23" fillId="15" borderId="100" xfId="0" applyFont="1" applyFill="1" applyBorder="1" applyAlignment="1">
      <alignment horizontal="center" vertical="center"/>
    </xf>
    <xf numFmtId="0" fontId="23" fillId="16" borderId="101" xfId="0" applyFont="1" applyFill="1" applyBorder="1" applyAlignment="1">
      <alignment horizontal="center" vertical="center"/>
    </xf>
    <xf numFmtId="44" fontId="23" fillId="0" borderId="119" xfId="0" applyNumberFormat="1" applyFont="1" applyFill="1" applyBorder="1" applyAlignment="1">
      <alignment horizontal="center" vertical="center"/>
    </xf>
    <xf numFmtId="44" fontId="28" fillId="0" borderId="120" xfId="0" applyNumberFormat="1" applyFont="1" applyFill="1" applyBorder="1"/>
    <xf numFmtId="0" fontId="29" fillId="0" borderId="121" xfId="0" applyFont="1" applyFill="1" applyBorder="1" applyAlignment="1">
      <alignment horizontal="center" vertical="center"/>
    </xf>
    <xf numFmtId="0" fontId="29" fillId="0" borderId="101" xfId="0" applyFont="1" applyFill="1" applyBorder="1" applyAlignment="1">
      <alignment horizontal="center" vertical="center"/>
    </xf>
    <xf numFmtId="0" fontId="29" fillId="0" borderId="102" xfId="0" applyFont="1" applyFill="1" applyBorder="1" applyAlignment="1">
      <alignment horizontal="center" vertical="center"/>
    </xf>
    <xf numFmtId="2" fontId="30" fillId="14" borderId="122" xfId="0" applyNumberFormat="1" applyFont="1" applyFill="1" applyBorder="1"/>
    <xf numFmtId="44" fontId="30" fillId="14" borderId="122" xfId="0" applyNumberFormat="1" applyFont="1" applyFill="1" applyBorder="1"/>
    <xf numFmtId="0" fontId="23" fillId="15" borderId="123" xfId="0" applyFont="1" applyFill="1" applyBorder="1" applyAlignment="1">
      <alignment horizontal="center" vertical="center"/>
    </xf>
    <xf numFmtId="0" fontId="0" fillId="16" borderId="113" xfId="0" applyFill="1" applyBorder="1"/>
    <xf numFmtId="0" fontId="0" fillId="0" borderId="0" xfId="0"/>
    <xf numFmtId="2" fontId="30" fillId="0" borderId="122" xfId="0" applyNumberFormat="1" applyFont="1" applyFill="1" applyBorder="1"/>
    <xf numFmtId="44" fontId="31" fillId="0" borderId="0" xfId="0" applyNumberFormat="1" applyFont="1" applyFill="1" applyBorder="1"/>
    <xf numFmtId="44" fontId="30" fillId="0" borderId="122" xfId="0" applyNumberFormat="1" applyFont="1" applyFill="1" applyBorder="1"/>
    <xf numFmtId="0" fontId="17" fillId="14" borderId="124" xfId="0" applyFont="1" applyFill="1" applyBorder="1" applyAlignment="1">
      <alignment horizontal="right"/>
    </xf>
    <xf numFmtId="0" fontId="17" fillId="14" borderId="124" xfId="0" applyFont="1" applyFill="1" applyBorder="1" applyAlignment="1">
      <alignment horizontal="right" vertical="center"/>
    </xf>
    <xf numFmtId="0" fontId="17" fillId="14" borderId="0" xfId="0" applyFont="1" applyFill="1" applyBorder="1" applyAlignment="1">
      <alignment horizontal="center" vertical="center"/>
    </xf>
    <xf numFmtId="0" fontId="32" fillId="14" borderId="0" xfId="0" applyFont="1" applyFill="1" applyBorder="1" applyAlignment="1">
      <alignment vertical="center"/>
    </xf>
    <xf numFmtId="0" fontId="33" fillId="14" borderId="0" xfId="0" applyFont="1" applyFill="1" applyBorder="1" applyAlignment="1">
      <alignment vertical="center" wrapText="1"/>
    </xf>
    <xf numFmtId="44" fontId="16" fillId="14" borderId="0" xfId="0" applyNumberFormat="1" applyFont="1" applyFill="1" applyBorder="1" applyAlignment="1">
      <alignment horizontal="center"/>
    </xf>
    <xf numFmtId="0" fontId="0" fillId="14" borderId="0" xfId="0" applyFont="1" applyFill="1" applyBorder="1"/>
    <xf numFmtId="0" fontId="16" fillId="14" borderId="0" xfId="0" applyFont="1" applyFill="1" applyBorder="1" applyAlignment="1">
      <alignment horizontal="center" vertical="center"/>
    </xf>
    <xf numFmtId="0" fontId="27" fillId="18" borderId="94" xfId="0" applyFont="1" applyFill="1" applyBorder="1" applyAlignment="1">
      <alignment horizontal="center" vertical="center"/>
    </xf>
    <xf numFmtId="0" fontId="0" fillId="14" borderId="0" xfId="0" applyFont="1" applyFill="1" applyBorder="1" applyAlignment="1"/>
    <xf numFmtId="10" fontId="0" fillId="14" borderId="0" xfId="0" applyNumberFormat="1" applyFont="1" applyFill="1" applyBorder="1" applyAlignment="1">
      <alignment horizontal="center"/>
    </xf>
    <xf numFmtId="0" fontId="16" fillId="14" borderId="0" xfId="0" applyFont="1" applyFill="1" applyBorder="1" applyAlignment="1">
      <alignment wrapText="1"/>
    </xf>
    <xf numFmtId="0" fontId="29" fillId="18" borderId="94" xfId="0" applyFont="1" applyFill="1" applyBorder="1"/>
    <xf numFmtId="0" fontId="34" fillId="14" borderId="0" xfId="0" applyFont="1" applyFill="1" applyBorder="1" applyAlignment="1">
      <alignment horizontal="right" vertical="center" wrapText="1"/>
    </xf>
    <xf numFmtId="44" fontId="28" fillId="18" borderId="94" xfId="0" applyNumberFormat="1" applyFont="1" applyFill="1" applyBorder="1"/>
    <xf numFmtId="0" fontId="0" fillId="14" borderId="0" xfId="0" applyFill="1" applyAlignment="1">
      <alignment horizontal="center" vertical="center"/>
    </xf>
    <xf numFmtId="14" fontId="26" fillId="18" borderId="112" xfId="0" applyNumberFormat="1" applyFont="1" applyFill="1" applyBorder="1" applyAlignment="1">
      <alignment horizontal="center" vertical="center"/>
    </xf>
    <xf numFmtId="0" fontId="26" fillId="18" borderId="94" xfId="0" applyFont="1" applyFill="1" applyBorder="1" applyAlignment="1">
      <alignment horizontal="center" vertical="center"/>
    </xf>
    <xf numFmtId="14" fontId="29" fillId="18" borderId="94" xfId="0" applyNumberFormat="1" applyFont="1" applyFill="1" applyBorder="1" applyAlignment="1">
      <alignment horizontal="center" vertical="center"/>
    </xf>
    <xf numFmtId="0" fontId="29" fillId="18" borderId="94" xfId="0" applyFont="1" applyFill="1" applyBorder="1" applyAlignment="1">
      <alignment horizontal="center" vertical="center"/>
    </xf>
    <xf numFmtId="44" fontId="28" fillId="18" borderId="94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35" fillId="2" borderId="81" xfId="0" applyNumberFormat="1" applyFont="1" applyFill="1" applyBorder="1" applyAlignment="1">
      <alignment horizontal="center" vertical="center" wrapText="1"/>
    </xf>
    <xf numFmtId="14" fontId="35" fillId="2" borderId="82" xfId="0" applyNumberFormat="1" applyFont="1" applyFill="1" applyBorder="1" applyAlignment="1">
      <alignment horizontal="center" vertical="center" wrapText="1"/>
    </xf>
    <xf numFmtId="14" fontId="35" fillId="2" borderId="82" xfId="0" applyNumberFormat="1" applyFont="1" applyFill="1" applyBorder="1" applyAlignment="1">
      <alignment horizontal="center" vertical="center"/>
    </xf>
    <xf numFmtId="3" fontId="35" fillId="2" borderId="82" xfId="0" applyNumberFormat="1" applyFont="1" applyFill="1" applyBorder="1" applyAlignment="1">
      <alignment horizontal="center" vertical="center" wrapText="1"/>
    </xf>
    <xf numFmtId="4" fontId="35" fillId="2" borderId="82" xfId="0" applyNumberFormat="1" applyFont="1" applyFill="1" applyBorder="1" applyAlignment="1">
      <alignment horizontal="center" vertical="center" wrapText="1"/>
    </xf>
    <xf numFmtId="0" fontId="35" fillId="2" borderId="82" xfId="0" applyFont="1" applyFill="1" applyBorder="1" applyAlignment="1">
      <alignment horizontal="center" vertical="center" wrapText="1"/>
    </xf>
    <xf numFmtId="0" fontId="35" fillId="2" borderId="82" xfId="0" applyFont="1" applyFill="1" applyBorder="1" applyAlignment="1">
      <alignment horizontal="center" vertical="center"/>
    </xf>
    <xf numFmtId="0" fontId="35" fillId="2" borderId="83" xfId="0" applyFont="1" applyFill="1" applyBorder="1" applyAlignment="1">
      <alignment horizontal="center" vertical="center" wrapText="1"/>
    </xf>
    <xf numFmtId="0" fontId="35" fillId="2" borderId="85" xfId="0" applyFont="1" applyFill="1" applyBorder="1" applyAlignment="1">
      <alignment horizontal="center" vertical="center" wrapText="1"/>
    </xf>
    <xf numFmtId="0" fontId="27" fillId="0" borderId="0" xfId="0" applyFont="1" applyAlignment="1"/>
    <xf numFmtId="0" fontId="27" fillId="0" borderId="8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4" fontId="23" fillId="0" borderId="80" xfId="0" applyNumberFormat="1" applyFont="1" applyFill="1" applyBorder="1" applyAlignment="1">
      <alignment horizontal="center" vertical="center"/>
    </xf>
    <xf numFmtId="2" fontId="36" fillId="0" borderId="80" xfId="0" applyNumberFormat="1" applyFont="1" applyFill="1" applyBorder="1" applyAlignment="1">
      <alignment horizontal="center" vertical="center"/>
    </xf>
    <xf numFmtId="14" fontId="36" fillId="0" borderId="80" xfId="0" applyNumberFormat="1" applyFont="1" applyBorder="1" applyAlignment="1">
      <alignment horizontal="center" vertical="center"/>
    </xf>
    <xf numFmtId="3" fontId="36" fillId="0" borderId="80" xfId="0" applyNumberFormat="1" applyFont="1" applyBorder="1" applyAlignment="1">
      <alignment horizontal="center" vertical="center"/>
    </xf>
    <xf numFmtId="4" fontId="36" fillId="0" borderId="80" xfId="0" applyNumberFormat="1" applyFont="1" applyBorder="1" applyAlignment="1">
      <alignment horizontal="center" vertical="center"/>
    </xf>
    <xf numFmtId="3" fontId="36" fillId="3" borderId="80" xfId="0" applyNumberFormat="1" applyFont="1" applyFill="1" applyBorder="1" applyAlignment="1">
      <alignment horizontal="center" vertical="center"/>
    </xf>
    <xf numFmtId="0" fontId="36" fillId="0" borderId="80" xfId="0" applyFont="1" applyBorder="1" applyAlignment="1">
      <alignment horizontal="center" vertical="center"/>
    </xf>
    <xf numFmtId="3" fontId="36" fillId="3" borderId="87" xfId="0" applyNumberFormat="1" applyFont="1" applyFill="1" applyBorder="1" applyAlignment="1">
      <alignment horizontal="center" vertical="center"/>
    </xf>
    <xf numFmtId="0" fontId="27" fillId="0" borderId="79" xfId="0" applyFont="1" applyBorder="1" applyAlignment="1"/>
    <xf numFmtId="0" fontId="27" fillId="0" borderId="45" xfId="0" applyFont="1" applyFill="1" applyBorder="1" applyAlignment="1">
      <alignment horizontal="center" vertical="center" wrapText="1"/>
    </xf>
    <xf numFmtId="0" fontId="23" fillId="0" borderId="45" xfId="0" applyFont="1" applyFill="1" applyBorder="1" applyAlignment="1">
      <alignment horizontal="center" vertical="center"/>
    </xf>
    <xf numFmtId="164" fontId="23" fillId="0" borderId="45" xfId="0" applyNumberFormat="1" applyFont="1" applyFill="1" applyBorder="1" applyAlignment="1">
      <alignment horizontal="center" vertical="center"/>
    </xf>
    <xf numFmtId="2" fontId="36" fillId="0" borderId="45" xfId="0" applyNumberFormat="1" applyFont="1" applyFill="1" applyBorder="1" applyAlignment="1">
      <alignment horizontal="center" vertical="center"/>
    </xf>
    <xf numFmtId="14" fontId="36" fillId="0" borderId="45" xfId="0" applyNumberFormat="1" applyFont="1" applyBorder="1" applyAlignment="1">
      <alignment horizontal="center" vertical="center"/>
    </xf>
    <xf numFmtId="3" fontId="36" fillId="0" borderId="45" xfId="0" applyNumberFormat="1" applyFont="1" applyBorder="1" applyAlignment="1">
      <alignment horizontal="center" vertical="center"/>
    </xf>
    <xf numFmtId="4" fontId="36" fillId="0" borderId="45" xfId="0" applyNumberFormat="1" applyFont="1" applyBorder="1" applyAlignment="1">
      <alignment horizontal="center" vertical="center"/>
    </xf>
    <xf numFmtId="3" fontId="36" fillId="3" borderId="45" xfId="0" applyNumberFormat="1" applyFont="1" applyFill="1" applyBorder="1" applyAlignment="1">
      <alignment horizontal="center" vertical="center"/>
    </xf>
    <xf numFmtId="0" fontId="36" fillId="0" borderId="45" xfId="0" applyFont="1" applyBorder="1" applyAlignment="1">
      <alignment horizontal="center" vertical="center"/>
    </xf>
    <xf numFmtId="3" fontId="36" fillId="3" borderId="88" xfId="0" applyNumberFormat="1" applyFont="1" applyFill="1" applyBorder="1" applyAlignment="1">
      <alignment horizontal="center" vertical="center"/>
    </xf>
    <xf numFmtId="0" fontId="36" fillId="0" borderId="45" xfId="0" applyFont="1" applyFill="1" applyBorder="1" applyAlignment="1">
      <alignment horizontal="center" vertical="center" wrapText="1"/>
    </xf>
    <xf numFmtId="0" fontId="27" fillId="0" borderId="45" xfId="0" applyFont="1" applyFill="1" applyBorder="1" applyAlignment="1">
      <alignment horizontal="center" vertical="center"/>
    </xf>
    <xf numFmtId="0" fontId="36" fillId="0" borderId="90" xfId="0" applyFont="1" applyFill="1" applyBorder="1" applyAlignment="1">
      <alignment horizontal="center" vertical="center" wrapText="1"/>
    </xf>
    <xf numFmtId="3" fontId="36" fillId="0" borderId="90" xfId="0" applyNumberFormat="1" applyFont="1" applyFill="1" applyBorder="1" applyAlignment="1">
      <alignment horizontal="center" vertical="center"/>
    </xf>
    <xf numFmtId="164" fontId="36" fillId="0" borderId="90" xfId="0" applyNumberFormat="1" applyFont="1" applyFill="1" applyBorder="1" applyAlignment="1">
      <alignment horizontal="center" vertical="center"/>
    </xf>
    <xf numFmtId="2" fontId="36" fillId="0" borderId="90" xfId="0" applyNumberFormat="1" applyFont="1" applyFill="1" applyBorder="1" applyAlignment="1">
      <alignment horizontal="center" vertical="center"/>
    </xf>
    <xf numFmtId="14" fontId="36" fillId="0" borderId="90" xfId="0" applyNumberFormat="1" applyFont="1" applyBorder="1" applyAlignment="1">
      <alignment horizontal="center" vertical="center"/>
    </xf>
    <xf numFmtId="3" fontId="36" fillId="0" borderId="90" xfId="0" applyNumberFormat="1" applyFont="1" applyBorder="1" applyAlignment="1">
      <alignment horizontal="center" vertical="center"/>
    </xf>
    <xf numFmtId="4" fontId="36" fillId="0" borderId="90" xfId="0" applyNumberFormat="1" applyFont="1" applyBorder="1" applyAlignment="1">
      <alignment horizontal="center" vertical="center"/>
    </xf>
    <xf numFmtId="3" fontId="36" fillId="3" borderId="90" xfId="0" applyNumberFormat="1" applyFont="1" applyFill="1" applyBorder="1" applyAlignment="1">
      <alignment horizontal="center" vertical="center"/>
    </xf>
    <xf numFmtId="0" fontId="36" fillId="0" borderId="90" xfId="0" applyFont="1" applyBorder="1" applyAlignment="1">
      <alignment horizontal="center" vertical="center"/>
    </xf>
    <xf numFmtId="3" fontId="36" fillId="3" borderId="91" xfId="0" applyNumberFormat="1" applyFont="1" applyFill="1" applyBorder="1" applyAlignment="1">
      <alignment horizontal="center" vertical="center"/>
    </xf>
    <xf numFmtId="0" fontId="27" fillId="19" borderId="94" xfId="0" applyFont="1" applyFill="1" applyBorder="1" applyAlignment="1">
      <alignment horizontal="left" vertical="center"/>
    </xf>
    <xf numFmtId="0" fontId="27" fillId="0" borderId="94" xfId="0" applyFont="1" applyFill="1" applyBorder="1" applyAlignment="1">
      <alignment horizontal="left" vertical="center" wrapText="1"/>
    </xf>
    <xf numFmtId="0" fontId="27" fillId="19" borderId="94" xfId="0" quotePrefix="1" applyFont="1" applyFill="1" applyBorder="1" applyAlignment="1">
      <alignment horizontal="center" vertical="center"/>
    </xf>
    <xf numFmtId="0" fontId="12" fillId="8" borderId="129" xfId="0" applyFont="1" applyFill="1" applyBorder="1" applyAlignment="1">
      <alignment horizontal="center" vertical="center"/>
    </xf>
    <xf numFmtId="2" fontId="23" fillId="19" borderId="94" xfId="0" applyNumberFormat="1" applyFont="1" applyFill="1" applyBorder="1" applyAlignment="1">
      <alignment horizontal="center" vertical="center"/>
    </xf>
    <xf numFmtId="0" fontId="37" fillId="0" borderId="134" xfId="0" applyFont="1" applyFill="1" applyBorder="1" applyAlignment="1">
      <alignment horizontal="left" vertical="center" wrapText="1"/>
    </xf>
    <xf numFmtId="0" fontId="37" fillId="0" borderId="138" xfId="0" applyFont="1" applyFill="1" applyBorder="1" applyAlignment="1">
      <alignment horizontal="left" vertical="center" wrapText="1"/>
    </xf>
    <xf numFmtId="0" fontId="37" fillId="25" borderId="140" xfId="0" applyFont="1" applyFill="1" applyBorder="1" applyAlignment="1">
      <alignment horizontal="center" vertical="center"/>
    </xf>
    <xf numFmtId="0" fontId="37" fillId="25" borderId="141" xfId="0" applyFont="1" applyFill="1" applyBorder="1" applyAlignment="1">
      <alignment horizontal="center" vertical="center"/>
    </xf>
    <xf numFmtId="0" fontId="37" fillId="25" borderId="141" xfId="0" applyFont="1" applyFill="1" applyBorder="1" applyAlignment="1">
      <alignment horizontal="center" vertical="center" wrapText="1"/>
    </xf>
    <xf numFmtId="0" fontId="37" fillId="25" borderId="142" xfId="0" applyFont="1" applyFill="1" applyBorder="1" applyAlignment="1">
      <alignment horizontal="center" vertical="center" wrapText="1"/>
    </xf>
    <xf numFmtId="0" fontId="0" fillId="0" borderId="0" xfId="0" applyBorder="1"/>
    <xf numFmtId="165" fontId="0" fillId="0" borderId="0" xfId="0" applyNumberFormat="1" applyBorder="1"/>
    <xf numFmtId="0" fontId="0" fillId="0" borderId="127" xfId="0" applyBorder="1"/>
    <xf numFmtId="0" fontId="0" fillId="0" borderId="37" xfId="0" applyBorder="1"/>
    <xf numFmtId="0" fontId="0" fillId="0" borderId="75" xfId="0" applyBorder="1"/>
    <xf numFmtId="0" fontId="0" fillId="0" borderId="41" xfId="0" applyBorder="1"/>
    <xf numFmtId="0" fontId="0" fillId="0" borderId="42" xfId="0" applyBorder="1"/>
    <xf numFmtId="2" fontId="37" fillId="23" borderId="13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1" xfId="0" applyBorder="1" applyAlignment="1">
      <alignment horizontal="center"/>
    </xf>
    <xf numFmtId="0" fontId="23" fillId="0" borderId="86" xfId="0" applyFont="1" applyFill="1" applyBorder="1" applyAlignment="1">
      <alignment horizontal="center" vertical="center"/>
    </xf>
    <xf numFmtId="0" fontId="23" fillId="0" borderId="47" xfId="0" applyFont="1" applyFill="1" applyBorder="1" applyAlignment="1">
      <alignment horizontal="center" vertical="center"/>
    </xf>
    <xf numFmtId="0" fontId="23" fillId="0" borderId="89" xfId="0" applyFont="1" applyFill="1" applyBorder="1" applyAlignment="1">
      <alignment horizontal="center" vertical="center"/>
    </xf>
    <xf numFmtId="2" fontId="15" fillId="13" borderId="143" xfId="0" applyNumberFormat="1" applyFont="1" applyFill="1" applyBorder="1" applyAlignment="1">
      <alignment horizontal="center" vertical="center"/>
    </xf>
    <xf numFmtId="165" fontId="15" fillId="0" borderId="143" xfId="0" applyNumberFormat="1" applyFont="1" applyBorder="1" applyAlignment="1">
      <alignment horizontal="center" vertical="center"/>
    </xf>
    <xf numFmtId="165" fontId="15" fillId="24" borderId="143" xfId="0" applyNumberFormat="1" applyFont="1" applyFill="1" applyBorder="1" applyAlignment="1">
      <alignment horizontal="center" vertical="center"/>
    </xf>
    <xf numFmtId="165" fontId="15" fillId="13" borderId="144" xfId="0" applyNumberFormat="1" applyFont="1" applyFill="1" applyBorder="1" applyAlignment="1">
      <alignment horizontal="center" vertical="center"/>
    </xf>
    <xf numFmtId="0" fontId="15" fillId="0" borderId="0" xfId="0" applyFont="1" applyAlignment="1"/>
    <xf numFmtId="2" fontId="15" fillId="13" borderId="145" xfId="0" applyNumberFormat="1" applyFont="1" applyFill="1" applyBorder="1" applyAlignment="1">
      <alignment horizontal="center" vertical="center"/>
    </xf>
    <xf numFmtId="165" fontId="15" fillId="0" borderId="145" xfId="0" applyNumberFormat="1" applyFont="1" applyBorder="1" applyAlignment="1">
      <alignment horizontal="center" vertical="center"/>
    </xf>
    <xf numFmtId="165" fontId="15" fillId="24" borderId="145" xfId="0" applyNumberFormat="1" applyFont="1" applyFill="1" applyBorder="1" applyAlignment="1">
      <alignment horizontal="center" vertical="center"/>
    </xf>
    <xf numFmtId="165" fontId="15" fillId="13" borderId="146" xfId="0" applyNumberFormat="1" applyFont="1" applyFill="1" applyBorder="1" applyAlignment="1">
      <alignment horizontal="center" vertical="center"/>
    </xf>
    <xf numFmtId="0" fontId="15" fillId="0" borderId="140" xfId="0" applyFont="1" applyBorder="1" applyAlignment="1">
      <alignment horizontal="center" vertical="center"/>
    </xf>
    <xf numFmtId="0" fontId="15" fillId="24" borderId="141" xfId="0" applyFont="1" applyFill="1" applyBorder="1" applyAlignment="1">
      <alignment horizontal="center" vertical="center"/>
    </xf>
    <xf numFmtId="2" fontId="15" fillId="13" borderId="141" xfId="0" applyNumberFormat="1" applyFont="1" applyFill="1" applyBorder="1" applyAlignment="1">
      <alignment horizontal="center" vertical="center"/>
    </xf>
    <xf numFmtId="165" fontId="15" fillId="0" borderId="141" xfId="0" applyNumberFormat="1" applyFont="1" applyBorder="1" applyAlignment="1">
      <alignment horizontal="center" vertical="center"/>
    </xf>
    <xf numFmtId="165" fontId="15" fillId="24" borderId="141" xfId="0" applyNumberFormat="1" applyFont="1" applyFill="1" applyBorder="1" applyAlignment="1">
      <alignment horizontal="center" vertical="center"/>
    </xf>
    <xf numFmtId="165" fontId="15" fillId="13" borderId="142" xfId="0" applyNumberFormat="1" applyFont="1" applyFill="1" applyBorder="1" applyAlignment="1">
      <alignment horizontal="center" vertical="center"/>
    </xf>
    <xf numFmtId="0" fontId="36" fillId="0" borderId="8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0" xfId="0" applyFont="1" applyAlignment="1">
      <alignment wrapText="1"/>
    </xf>
    <xf numFmtId="4" fontId="15" fillId="24" borderId="143" xfId="0" applyNumberFormat="1" applyFont="1" applyFill="1" applyBorder="1" applyAlignment="1">
      <alignment horizontal="center" vertical="center"/>
    </xf>
    <xf numFmtId="2" fontId="0" fillId="24" borderId="0" xfId="0" applyNumberFormat="1" applyFill="1" applyBorder="1" applyAlignment="1">
      <alignment horizontal="center" vertical="center"/>
    </xf>
    <xf numFmtId="0" fontId="38" fillId="0" borderId="37" xfId="0" applyFont="1" applyBorder="1"/>
    <xf numFmtId="0" fontId="12" fillId="8" borderId="70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Fill="1" applyAlignment="1"/>
    <xf numFmtId="0" fontId="9" fillId="0" borderId="45" xfId="0" applyFont="1" applyFill="1" applyBorder="1" applyAlignment="1">
      <alignment horizontal="center" vertical="center" wrapText="1"/>
    </xf>
    <xf numFmtId="0" fontId="2" fillId="0" borderId="45" xfId="0" applyFont="1" applyFill="1" applyBorder="1" applyAlignment="1">
      <alignment horizontal="center" vertical="center" wrapText="1"/>
    </xf>
    <xf numFmtId="0" fontId="2" fillId="0" borderId="45" xfId="0" applyFont="1" applyFill="1" applyBorder="1" applyAlignment="1">
      <alignment horizontal="center" vertical="center"/>
    </xf>
    <xf numFmtId="3" fontId="9" fillId="0" borderId="45" xfId="0" applyNumberFormat="1" applyFont="1" applyFill="1" applyBorder="1" applyAlignment="1">
      <alignment horizontal="center" vertical="center"/>
    </xf>
    <xf numFmtId="164" fontId="9" fillId="0" borderId="45" xfId="0" applyNumberFormat="1" applyFont="1" applyFill="1" applyBorder="1" applyAlignment="1">
      <alignment horizontal="center" vertical="center"/>
    </xf>
    <xf numFmtId="0" fontId="11" fillId="4" borderId="64" xfId="0" applyFont="1" applyFill="1" applyBorder="1" applyAlignment="1">
      <alignment horizontal="center" vertical="center"/>
    </xf>
    <xf numFmtId="164" fontId="11" fillId="4" borderId="64" xfId="0" applyNumberFormat="1" applyFont="1" applyFill="1" applyBorder="1" applyAlignment="1">
      <alignment horizontal="center" vertical="center"/>
    </xf>
    <xf numFmtId="4" fontId="11" fillId="4" borderId="69" xfId="0" applyNumberFormat="1" applyFont="1" applyFill="1" applyBorder="1" applyAlignment="1">
      <alignment horizontal="center" vertical="center"/>
    </xf>
    <xf numFmtId="3" fontId="11" fillId="4" borderId="64" xfId="0" applyNumberFormat="1" applyFont="1" applyFill="1" applyBorder="1" applyAlignment="1">
      <alignment horizontal="center" vertical="center"/>
    </xf>
    <xf numFmtId="1" fontId="11" fillId="4" borderId="64" xfId="0" applyNumberFormat="1" applyFont="1" applyFill="1" applyBorder="1" applyAlignment="1">
      <alignment horizontal="center" vertical="center"/>
    </xf>
    <xf numFmtId="2" fontId="11" fillId="4" borderId="64" xfId="0" applyNumberFormat="1" applyFont="1" applyFill="1" applyBorder="1" applyAlignment="1">
      <alignment horizontal="center" vertical="center"/>
    </xf>
    <xf numFmtId="0" fontId="2" fillId="0" borderId="147" xfId="0" applyFont="1" applyFill="1" applyBorder="1" applyAlignment="1">
      <alignment horizontal="center" vertical="center"/>
    </xf>
    <xf numFmtId="0" fontId="9" fillId="0" borderId="54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4" fontId="15" fillId="0" borderId="145" xfId="0" applyNumberFormat="1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/>
    </xf>
    <xf numFmtId="164" fontId="7" fillId="0" borderId="45" xfId="0" applyNumberFormat="1" applyFont="1" applyBorder="1" applyAlignment="1">
      <alignment horizontal="center" vertical="center"/>
    </xf>
    <xf numFmtId="14" fontId="7" fillId="0" borderId="43" xfId="0" applyNumberFormat="1" applyFont="1" applyBorder="1" applyAlignment="1">
      <alignment horizontal="center" vertical="center"/>
    </xf>
    <xf numFmtId="3" fontId="7" fillId="3" borderId="46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3" fontId="7" fillId="3" borderId="40" xfId="0" applyNumberFormat="1" applyFont="1" applyFill="1" applyBorder="1" applyAlignment="1">
      <alignment horizontal="center" vertical="center"/>
    </xf>
    <xf numFmtId="0" fontId="7" fillId="0" borderId="66" xfId="0" applyFont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7" fillId="9" borderId="48" xfId="0" applyFont="1" applyFill="1" applyBorder="1" applyAlignment="1">
      <alignment horizontal="center" vertical="center"/>
    </xf>
    <xf numFmtId="164" fontId="7" fillId="0" borderId="48" xfId="0" applyNumberFormat="1" applyFont="1" applyBorder="1" applyAlignment="1">
      <alignment horizontal="center" vertical="center"/>
    </xf>
    <xf numFmtId="164" fontId="7" fillId="0" borderId="48" xfId="0" applyNumberFormat="1" applyFont="1" applyFill="1" applyBorder="1" applyAlignment="1">
      <alignment horizontal="center" vertical="center"/>
    </xf>
    <xf numFmtId="14" fontId="7" fillId="0" borderId="48" xfId="0" applyNumberFormat="1" applyFont="1" applyBorder="1" applyAlignment="1">
      <alignment horizontal="center" vertical="center"/>
    </xf>
    <xf numFmtId="3" fontId="7" fillId="0" borderId="48" xfId="0" applyNumberFormat="1" applyFont="1" applyBorder="1" applyAlignment="1">
      <alignment horizontal="center" vertical="center"/>
    </xf>
    <xf numFmtId="0" fontId="7" fillId="0" borderId="49" xfId="0" applyFont="1" applyBorder="1" applyAlignment="1"/>
    <xf numFmtId="0" fontId="7" fillId="0" borderId="41" xfId="0" applyFont="1" applyBorder="1" applyAlignment="1"/>
    <xf numFmtId="0" fontId="7" fillId="0" borderId="42" xfId="0" applyFont="1" applyBorder="1" applyAlignment="1"/>
    <xf numFmtId="0" fontId="2" fillId="0" borderId="128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2" fillId="0" borderId="148" xfId="0" applyFont="1" applyFill="1" applyBorder="1" applyAlignment="1">
      <alignment horizontal="center" vertical="center"/>
    </xf>
    <xf numFmtId="0" fontId="2" fillId="0" borderId="92" xfId="0" applyFont="1" applyFill="1" applyBorder="1" applyAlignment="1">
      <alignment horizontal="center" vertical="center" wrapText="1"/>
    </xf>
    <xf numFmtId="0" fontId="2" fillId="0" borderId="92" xfId="0" applyFont="1" applyFill="1" applyBorder="1" applyAlignment="1">
      <alignment horizontal="center" vertical="center"/>
    </xf>
    <xf numFmtId="3" fontId="9" fillId="7" borderId="149" xfId="0" applyNumberFormat="1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horizontal="center" vertical="center" wrapText="1"/>
    </xf>
    <xf numFmtId="2" fontId="9" fillId="7" borderId="150" xfId="0" applyNumberFormat="1" applyFont="1" applyFill="1" applyBorder="1" applyAlignment="1">
      <alignment horizontal="center" vertical="center"/>
    </xf>
    <xf numFmtId="2" fontId="11" fillId="8" borderId="70" xfId="0" applyNumberFormat="1" applyFont="1" applyFill="1" applyBorder="1" applyAlignment="1">
      <alignment horizontal="center" vertical="center"/>
    </xf>
    <xf numFmtId="4" fontId="37" fillId="0" borderId="0" xfId="0" applyNumberFormat="1" applyFont="1" applyFill="1" applyBorder="1" applyAlignment="1">
      <alignment horizontal="left" vertical="center" wrapText="1"/>
    </xf>
    <xf numFmtId="4" fontId="37" fillId="0" borderId="0" xfId="0" applyNumberFormat="1" applyFont="1" applyFill="1" applyBorder="1" applyAlignment="1">
      <alignment wrapText="1"/>
    </xf>
    <xf numFmtId="4" fontId="37" fillId="25" borderId="141" xfId="0" applyNumberFormat="1" applyFont="1" applyFill="1" applyBorder="1" applyAlignment="1">
      <alignment horizontal="center" vertical="center" wrapText="1"/>
    </xf>
    <xf numFmtId="4" fontId="15" fillId="0" borderId="143" xfId="0" applyNumberFormat="1" applyFont="1" applyBorder="1" applyAlignment="1">
      <alignment horizontal="center" vertical="center"/>
    </xf>
    <xf numFmtId="4" fontId="0" fillId="0" borderId="0" xfId="0" applyNumberFormat="1"/>
    <xf numFmtId="4" fontId="0" fillId="0" borderId="0" xfId="0" applyNumberFormat="1" applyBorder="1"/>
    <xf numFmtId="4" fontId="0" fillId="0" borderId="41" xfId="0" applyNumberFormat="1" applyBorder="1"/>
    <xf numFmtId="4" fontId="16" fillId="0" borderId="141" xfId="0" applyNumberFormat="1" applyFont="1" applyBorder="1" applyAlignment="1">
      <alignment horizontal="center" vertical="center"/>
    </xf>
    <xf numFmtId="0" fontId="2" fillId="0" borderId="151" xfId="0" applyFont="1" applyFill="1" applyBorder="1" applyAlignment="1">
      <alignment horizontal="center" vertical="center" wrapText="1"/>
    </xf>
    <xf numFmtId="4" fontId="9" fillId="0" borderId="45" xfId="0" applyNumberFormat="1" applyFont="1" applyFill="1" applyBorder="1" applyAlignment="1">
      <alignment horizontal="center" vertical="center"/>
    </xf>
    <xf numFmtId="0" fontId="36" fillId="0" borderId="0" xfId="0" applyFont="1" applyAlignment="1"/>
    <xf numFmtId="0" fontId="35" fillId="2" borderId="57" xfId="0" applyFont="1" applyFill="1" applyBorder="1" applyAlignment="1">
      <alignment horizontal="center" vertical="center" wrapText="1"/>
    </xf>
    <xf numFmtId="0" fontId="35" fillId="2" borderId="58" xfId="0" applyFont="1" applyFill="1" applyBorder="1" applyAlignment="1">
      <alignment horizontal="center" vertical="center" wrapText="1"/>
    </xf>
    <xf numFmtId="0" fontId="35" fillId="2" borderId="59" xfId="0" applyFont="1" applyFill="1" applyBorder="1" applyAlignment="1">
      <alignment horizontal="center" vertical="center"/>
    </xf>
    <xf numFmtId="0" fontId="35" fillId="2" borderId="59" xfId="0" applyFont="1" applyFill="1" applyBorder="1" applyAlignment="1">
      <alignment horizontal="center" vertical="center" wrapText="1"/>
    </xf>
    <xf numFmtId="14" fontId="35" fillId="2" borderId="59" xfId="0" applyNumberFormat="1" applyFont="1" applyFill="1" applyBorder="1" applyAlignment="1">
      <alignment horizontal="center" vertical="center" wrapText="1"/>
    </xf>
    <xf numFmtId="3" fontId="35" fillId="2" borderId="59" xfId="0" applyNumberFormat="1" applyFont="1" applyFill="1" applyBorder="1" applyAlignment="1">
      <alignment horizontal="center" vertical="center" wrapText="1"/>
    </xf>
    <xf numFmtId="0" fontId="35" fillId="2" borderId="61" xfId="0" applyFont="1" applyFill="1" applyBorder="1" applyAlignment="1">
      <alignment horizontal="center" vertical="center" wrapText="1"/>
    </xf>
    <xf numFmtId="0" fontId="35" fillId="2" borderId="61" xfId="0" applyFont="1" applyFill="1" applyBorder="1" applyAlignment="1">
      <alignment horizontal="center" vertical="center"/>
    </xf>
    <xf numFmtId="0" fontId="35" fillId="2" borderId="62" xfId="0" applyFont="1" applyFill="1" applyBorder="1" applyAlignment="1">
      <alignment horizontal="center" vertical="center" wrapText="1"/>
    </xf>
    <xf numFmtId="0" fontId="35" fillId="2" borderId="63" xfId="0" applyFont="1" applyFill="1" applyBorder="1" applyAlignment="1">
      <alignment horizontal="center" vertical="center" wrapText="1"/>
    </xf>
    <xf numFmtId="0" fontId="36" fillId="0" borderId="76" xfId="0" applyFont="1" applyBorder="1" applyAlignment="1">
      <alignment horizontal="center" vertical="center"/>
    </xf>
    <xf numFmtId="0" fontId="36" fillId="0" borderId="50" xfId="0" applyFont="1" applyBorder="1" applyAlignment="1">
      <alignment horizontal="center" vertical="center" wrapText="1"/>
    </xf>
    <xf numFmtId="0" fontId="36" fillId="27" borderId="43" xfId="0" applyFont="1" applyFill="1" applyBorder="1" applyAlignment="1">
      <alignment horizontal="center"/>
    </xf>
    <xf numFmtId="164" fontId="36" fillId="0" borderId="50" xfId="0" applyNumberFormat="1" applyFont="1" applyBorder="1" applyAlignment="1">
      <alignment horizontal="center" vertical="center"/>
    </xf>
    <xf numFmtId="2" fontId="36" fillId="0" borderId="43" xfId="0" applyNumberFormat="1" applyFont="1" applyBorder="1" applyAlignment="1">
      <alignment horizontal="center" vertical="center"/>
    </xf>
    <xf numFmtId="14" fontId="36" fillId="0" borderId="43" xfId="0" applyNumberFormat="1" applyFont="1" applyBorder="1" applyAlignment="1">
      <alignment horizontal="center" vertical="center"/>
    </xf>
    <xf numFmtId="3" fontId="36" fillId="0" borderId="43" xfId="0" applyNumberFormat="1" applyFont="1" applyBorder="1" applyAlignment="1">
      <alignment horizontal="center" vertical="center"/>
    </xf>
    <xf numFmtId="0" fontId="36" fillId="0" borderId="77" xfId="0" applyFont="1" applyBorder="1" applyAlignment="1">
      <alignment horizontal="center" vertical="center"/>
    </xf>
    <xf numFmtId="0" fontId="36" fillId="27" borderId="45" xfId="0" applyFont="1" applyFill="1" applyBorder="1" applyAlignment="1">
      <alignment horizontal="center"/>
    </xf>
    <xf numFmtId="2" fontId="36" fillId="0" borderId="45" xfId="0" applyNumberFormat="1" applyFont="1" applyBorder="1" applyAlignment="1">
      <alignment horizontal="center" vertical="center"/>
    </xf>
    <xf numFmtId="0" fontId="41" fillId="0" borderId="37" xfId="0" applyFont="1" applyBorder="1" applyAlignment="1">
      <alignment vertical="center"/>
    </xf>
    <xf numFmtId="0" fontId="36" fillId="0" borderId="66" xfId="0" applyFont="1" applyBorder="1" applyAlignment="1">
      <alignment horizontal="center" vertical="center"/>
    </xf>
    <xf numFmtId="164" fontId="36" fillId="0" borderId="45" xfId="0" applyNumberFormat="1" applyFont="1" applyBorder="1" applyAlignment="1">
      <alignment horizontal="center" vertical="center"/>
    </xf>
    <xf numFmtId="0" fontId="41" fillId="0" borderId="75" xfId="0" applyFont="1" applyBorder="1" applyAlignment="1">
      <alignment vertical="center"/>
    </xf>
    <xf numFmtId="0" fontId="41" fillId="0" borderId="78" xfId="0" applyFont="1" applyBorder="1" applyAlignment="1">
      <alignment horizontal="center" vertical="center"/>
    </xf>
    <xf numFmtId="0" fontId="36" fillId="0" borderId="52" xfId="0" applyFont="1" applyBorder="1" applyAlignment="1">
      <alignment horizontal="center" vertical="center" wrapText="1"/>
    </xf>
    <xf numFmtId="0" fontId="36" fillId="0" borderId="67" xfId="0" applyFont="1" applyBorder="1" applyAlignment="1">
      <alignment horizontal="center" vertical="center" wrapText="1"/>
    </xf>
    <xf numFmtId="0" fontId="36" fillId="27" borderId="48" xfId="0" applyFont="1" applyFill="1" applyBorder="1" applyAlignment="1">
      <alignment horizontal="center" vertical="center"/>
    </xf>
    <xf numFmtId="164" fontId="36" fillId="0" borderId="48" xfId="0" applyNumberFormat="1" applyFont="1" applyBorder="1" applyAlignment="1">
      <alignment horizontal="center" vertical="center"/>
    </xf>
    <xf numFmtId="2" fontId="36" fillId="0" borderId="48" xfId="0" applyNumberFormat="1" applyFont="1" applyFill="1" applyBorder="1" applyAlignment="1">
      <alignment horizontal="center" vertical="center"/>
    </xf>
    <xf numFmtId="14" fontId="36" fillId="0" borderId="48" xfId="0" applyNumberFormat="1" applyFont="1" applyBorder="1" applyAlignment="1">
      <alignment horizontal="center" vertical="center"/>
    </xf>
    <xf numFmtId="3" fontId="36" fillId="0" borderId="48" xfId="0" applyNumberFormat="1" applyFont="1" applyBorder="1" applyAlignment="1">
      <alignment horizontal="center" vertical="center"/>
    </xf>
    <xf numFmtId="164" fontId="36" fillId="0" borderId="0" xfId="0" applyNumberFormat="1" applyFont="1" applyAlignment="1">
      <alignment horizontal="center"/>
    </xf>
    <xf numFmtId="14" fontId="36" fillId="0" borderId="0" xfId="0" applyNumberFormat="1" applyFont="1"/>
    <xf numFmtId="3" fontId="36" fillId="0" borderId="0" xfId="0" applyNumberFormat="1" applyFont="1"/>
    <xf numFmtId="14" fontId="36" fillId="0" borderId="0" xfId="0" applyNumberFormat="1" applyFont="1" applyAlignment="1"/>
    <xf numFmtId="0" fontId="2" fillId="0" borderId="154" xfId="0" applyFont="1" applyFill="1" applyBorder="1" applyAlignment="1">
      <alignment horizontal="center" vertical="center"/>
    </xf>
    <xf numFmtId="0" fontId="2" fillId="0" borderId="155" xfId="0" applyFont="1" applyFill="1" applyBorder="1" applyAlignment="1">
      <alignment horizontal="center" vertical="center"/>
    </xf>
    <xf numFmtId="0" fontId="2" fillId="0" borderId="156" xfId="0" applyFont="1" applyFill="1" applyBorder="1" applyAlignment="1">
      <alignment horizontal="center" vertical="center"/>
    </xf>
    <xf numFmtId="4" fontId="9" fillId="0" borderId="158" xfId="0" applyNumberFormat="1" applyFont="1" applyFill="1" applyBorder="1" applyAlignment="1">
      <alignment horizontal="center" vertical="center"/>
    </xf>
    <xf numFmtId="4" fontId="9" fillId="0" borderId="159" xfId="0" applyNumberFormat="1" applyFont="1" applyFill="1" applyBorder="1" applyAlignment="1">
      <alignment horizontal="center" vertical="center"/>
    </xf>
    <xf numFmtId="4" fontId="9" fillId="0" borderId="160" xfId="0" applyNumberFormat="1" applyFont="1" applyFill="1" applyBorder="1" applyAlignment="1">
      <alignment horizontal="center" vertical="center"/>
    </xf>
    <xf numFmtId="4" fontId="2" fillId="0" borderId="147" xfId="0" applyNumberFormat="1" applyFont="1" applyFill="1" applyBorder="1" applyAlignment="1">
      <alignment horizontal="center" vertical="center"/>
    </xf>
    <xf numFmtId="164" fontId="12" fillId="8" borderId="129" xfId="0" applyNumberFormat="1" applyFont="1" applyFill="1" applyBorder="1" applyAlignment="1">
      <alignment horizontal="center" vertical="center"/>
    </xf>
    <xf numFmtId="0" fontId="2" fillId="0" borderId="162" xfId="0" applyFont="1" applyFill="1" applyBorder="1" applyAlignment="1">
      <alignment horizontal="center" vertical="center"/>
    </xf>
    <xf numFmtId="0" fontId="2" fillId="0" borderId="164" xfId="0" applyFont="1" applyFill="1" applyBorder="1" applyAlignment="1">
      <alignment horizontal="center" vertical="center"/>
    </xf>
    <xf numFmtId="0" fontId="2" fillId="0" borderId="66" xfId="0" applyFont="1" applyFill="1" applyBorder="1" applyAlignment="1">
      <alignment horizontal="center" vertical="center"/>
    </xf>
    <xf numFmtId="0" fontId="15" fillId="0" borderId="154" xfId="0" applyFont="1" applyFill="1" applyBorder="1" applyAlignment="1">
      <alignment horizontal="center" vertical="center"/>
    </xf>
    <xf numFmtId="0" fontId="15" fillId="0" borderId="165" xfId="0" applyFont="1" applyFill="1" applyBorder="1" applyAlignment="1">
      <alignment horizontal="center" vertical="center" wrapText="1"/>
    </xf>
    <xf numFmtId="0" fontId="15" fillId="0" borderId="66" xfId="0" applyFont="1" applyFill="1" applyBorder="1" applyAlignment="1">
      <alignment horizontal="center" vertical="center"/>
    </xf>
    <xf numFmtId="0" fontId="15" fillId="0" borderId="147" xfId="0" applyFont="1" applyFill="1" applyBorder="1" applyAlignment="1">
      <alignment horizontal="center" vertical="center"/>
    </xf>
    <xf numFmtId="0" fontId="15" fillId="0" borderId="166" xfId="0" applyFont="1" applyBorder="1" applyAlignment="1">
      <alignment horizontal="center" vertical="center"/>
    </xf>
    <xf numFmtId="0" fontId="15" fillId="0" borderId="167" xfId="0" applyFont="1" applyBorder="1" applyAlignment="1">
      <alignment horizontal="center" vertical="center" wrapText="1"/>
    </xf>
    <xf numFmtId="3" fontId="35" fillId="2" borderId="64" xfId="0" applyNumberFormat="1" applyFont="1" applyFill="1" applyBorder="1" applyAlignment="1">
      <alignment horizontal="center" vertical="center" wrapText="1"/>
    </xf>
    <xf numFmtId="3" fontId="36" fillId="0" borderId="48" xfId="0" quotePrefix="1" applyNumberFormat="1" applyFont="1" applyBorder="1" applyAlignment="1">
      <alignment horizontal="center" vertical="center"/>
    </xf>
    <xf numFmtId="44" fontId="19" fillId="0" borderId="94" xfId="1" applyNumberFormat="1" applyFont="1" applyBorder="1" applyAlignment="1">
      <alignment horizontal="center" vertical="center"/>
    </xf>
    <xf numFmtId="0" fontId="36" fillId="0" borderId="169" xfId="0" applyFont="1" applyBorder="1" applyAlignment="1">
      <alignment horizontal="center" vertical="center"/>
    </xf>
    <xf numFmtId="0" fontId="36" fillId="0" borderId="170" xfId="0" applyFont="1" applyBorder="1" applyAlignment="1">
      <alignment horizontal="center" vertical="center"/>
    </xf>
    <xf numFmtId="0" fontId="36" fillId="0" borderId="168" xfId="0" applyFont="1" applyBorder="1" applyAlignment="1">
      <alignment horizontal="center" vertical="center"/>
    </xf>
    <xf numFmtId="0" fontId="1" fillId="0" borderId="128" xfId="0" applyFont="1" applyFill="1" applyBorder="1" applyAlignment="1">
      <alignment horizontal="center" vertical="center"/>
    </xf>
    <xf numFmtId="164" fontId="2" fillId="0" borderId="45" xfId="0" applyNumberFormat="1" applyFont="1" applyFill="1" applyBorder="1" applyAlignment="1">
      <alignment horizontal="center" vertical="center"/>
    </xf>
    <xf numFmtId="164" fontId="2" fillId="0" borderId="92" xfId="0" applyNumberFormat="1" applyFont="1" applyFill="1" applyBorder="1" applyAlignment="1">
      <alignment horizontal="center" vertical="center"/>
    </xf>
    <xf numFmtId="164" fontId="2" fillId="0" borderId="161" xfId="0" applyNumberFormat="1" applyFont="1" applyFill="1" applyBorder="1" applyAlignment="1">
      <alignment horizontal="center" vertical="center"/>
    </xf>
    <xf numFmtId="164" fontId="2" fillId="0" borderId="163" xfId="0" applyNumberFormat="1" applyFont="1" applyFill="1" applyBorder="1" applyAlignment="1">
      <alignment horizontal="center" vertical="center"/>
    </xf>
    <xf numFmtId="0" fontId="2" fillId="0" borderId="171" xfId="0" applyFont="1" applyFill="1" applyBorder="1" applyAlignment="1">
      <alignment horizontal="center" vertical="center"/>
    </xf>
    <xf numFmtId="0" fontId="1" fillId="0" borderId="171" xfId="0" applyFont="1" applyFill="1" applyBorder="1" applyAlignment="1">
      <alignment horizontal="center" vertical="center"/>
    </xf>
    <xf numFmtId="0" fontId="2" fillId="0" borderId="172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64" fontId="2" fillId="0" borderId="173" xfId="0" applyNumberFormat="1" applyFont="1" applyFill="1" applyBorder="1" applyAlignment="1">
      <alignment horizontal="center" vertical="center"/>
    </xf>
    <xf numFmtId="4" fontId="9" fillId="0" borderId="175" xfId="0" applyNumberFormat="1" applyFont="1" applyFill="1" applyBorder="1" applyAlignment="1">
      <alignment horizontal="center" vertical="center"/>
    </xf>
    <xf numFmtId="3" fontId="9" fillId="7" borderId="176" xfId="0" applyNumberFormat="1" applyFont="1" applyFill="1" applyBorder="1" applyAlignment="1">
      <alignment horizontal="center" vertical="center"/>
    </xf>
    <xf numFmtId="1" fontId="9" fillId="6" borderId="176" xfId="0" applyNumberFormat="1" applyFont="1" applyFill="1" applyBorder="1" applyAlignment="1">
      <alignment horizontal="center" vertical="center"/>
    </xf>
    <xf numFmtId="9" fontId="9" fillId="5" borderId="176" xfId="0" applyNumberFormat="1" applyFont="1" applyFill="1" applyBorder="1" applyAlignment="1">
      <alignment horizontal="center" vertical="center"/>
    </xf>
    <xf numFmtId="1" fontId="9" fillId="7" borderId="149" xfId="0" applyNumberFormat="1" applyFont="1" applyFill="1" applyBorder="1" applyAlignment="1">
      <alignment horizontal="center" vertical="center"/>
    </xf>
    <xf numFmtId="2" fontId="9" fillId="7" borderId="177" xfId="0" applyNumberFormat="1" applyFont="1" applyFill="1" applyBorder="1" applyAlignment="1">
      <alignment horizontal="center" vertical="center"/>
    </xf>
    <xf numFmtId="2" fontId="9" fillId="6" borderId="176" xfId="0" applyNumberFormat="1" applyFont="1" applyFill="1" applyBorder="1" applyAlignment="1">
      <alignment horizontal="center" vertical="center"/>
    </xf>
    <xf numFmtId="3" fontId="9" fillId="7" borderId="179" xfId="0" applyNumberFormat="1" applyFont="1" applyFill="1" applyBorder="1" applyAlignment="1">
      <alignment horizontal="center" vertical="center"/>
    </xf>
    <xf numFmtId="1" fontId="9" fillId="6" borderId="179" xfId="0" applyNumberFormat="1" applyFont="1" applyFill="1" applyBorder="1" applyAlignment="1">
      <alignment horizontal="center" vertical="center"/>
    </xf>
    <xf numFmtId="9" fontId="9" fillId="5" borderId="179" xfId="0" applyNumberFormat="1" applyFont="1" applyFill="1" applyBorder="1" applyAlignment="1">
      <alignment horizontal="center" vertical="center"/>
    </xf>
    <xf numFmtId="1" fontId="9" fillId="7" borderId="179" xfId="0" applyNumberFormat="1" applyFont="1" applyFill="1" applyBorder="1" applyAlignment="1">
      <alignment horizontal="center" vertical="center"/>
    </xf>
    <xf numFmtId="2" fontId="9" fillId="7" borderId="179" xfId="0" applyNumberFormat="1" applyFont="1" applyFill="1" applyBorder="1" applyAlignment="1">
      <alignment horizontal="center" vertical="center"/>
    </xf>
    <xf numFmtId="2" fontId="9" fillId="6" borderId="179" xfId="0" applyNumberFormat="1" applyFont="1" applyFill="1" applyBorder="1" applyAlignment="1">
      <alignment horizontal="center" vertical="center"/>
    </xf>
    <xf numFmtId="0" fontId="15" fillId="0" borderId="181" xfId="0" applyFont="1" applyFill="1" applyBorder="1" applyAlignment="1">
      <alignment horizontal="center" vertical="center"/>
    </xf>
    <xf numFmtId="0" fontId="15" fillId="0" borderId="172" xfId="0" applyFont="1" applyFill="1" applyBorder="1" applyAlignment="1">
      <alignment horizontal="center" vertical="center"/>
    </xf>
    <xf numFmtId="0" fontId="15" fillId="0" borderId="182" xfId="0" applyFont="1" applyFill="1" applyBorder="1" applyAlignment="1">
      <alignment horizontal="center" vertical="center"/>
    </xf>
    <xf numFmtId="4" fontId="15" fillId="0" borderId="183" xfId="0" applyNumberFormat="1" applyFont="1" applyBorder="1" applyAlignment="1">
      <alignment horizontal="center" vertical="center"/>
    </xf>
    <xf numFmtId="0" fontId="15" fillId="0" borderId="157" xfId="0" applyFont="1" applyFill="1" applyBorder="1" applyAlignment="1">
      <alignment horizontal="center" vertical="center"/>
    </xf>
    <xf numFmtId="0" fontId="15" fillId="0" borderId="43" xfId="0" applyFont="1" applyFill="1" applyBorder="1" applyAlignment="1">
      <alignment horizontal="center" vertical="center" wrapText="1"/>
    </xf>
    <xf numFmtId="0" fontId="15" fillId="0" borderId="65" xfId="0" applyFont="1" applyFill="1" applyBorder="1" applyAlignment="1">
      <alignment horizontal="center" vertical="center"/>
    </xf>
    <xf numFmtId="4" fontId="15" fillId="24" borderId="184" xfId="0" applyNumberFormat="1" applyFont="1" applyFill="1" applyBorder="1" applyAlignment="1">
      <alignment horizontal="center" vertical="center"/>
    </xf>
    <xf numFmtId="4" fontId="15" fillId="0" borderId="45" xfId="0" applyNumberFormat="1" applyFont="1" applyBorder="1" applyAlignment="1">
      <alignment horizontal="center" vertical="center"/>
    </xf>
    <xf numFmtId="0" fontId="15" fillId="0" borderId="26" xfId="0" applyFont="1" applyFill="1" applyBorder="1" applyAlignment="1">
      <alignment horizontal="center" vertical="center"/>
    </xf>
    <xf numFmtId="0" fontId="15" fillId="0" borderId="185" xfId="0" applyFont="1" applyFill="1" applyBorder="1" applyAlignment="1">
      <alignment horizontal="center" vertical="center"/>
    </xf>
    <xf numFmtId="0" fontId="15" fillId="0" borderId="186" xfId="0" applyFont="1" applyFill="1" applyBorder="1" applyAlignment="1">
      <alignment horizontal="center" vertical="center"/>
    </xf>
    <xf numFmtId="0" fontId="15" fillId="0" borderId="187" xfId="0" applyFont="1" applyFill="1" applyBorder="1" applyAlignment="1">
      <alignment horizontal="center" vertical="center"/>
    </xf>
    <xf numFmtId="0" fontId="15" fillId="0" borderId="188" xfId="0" applyFont="1" applyFill="1" applyBorder="1" applyAlignment="1">
      <alignment horizontal="center" vertical="center"/>
    </xf>
    <xf numFmtId="10" fontId="9" fillId="4" borderId="71" xfId="0" applyNumberFormat="1" applyFont="1" applyFill="1" applyBorder="1" applyAlignment="1">
      <alignment horizontal="center" vertical="center"/>
    </xf>
    <xf numFmtId="10" fontId="9" fillId="4" borderId="70" xfId="0" applyNumberFormat="1" applyFont="1" applyFill="1" applyBorder="1" applyAlignment="1">
      <alignment horizontal="center" vertical="center"/>
    </xf>
    <xf numFmtId="10" fontId="9" fillId="5" borderId="178" xfId="0" applyNumberFormat="1" applyFont="1" applyFill="1" applyBorder="1" applyAlignment="1">
      <alignment horizontal="center" vertical="center"/>
    </xf>
    <xf numFmtId="10" fontId="9" fillId="5" borderId="180" xfId="0" applyNumberFormat="1" applyFont="1" applyFill="1" applyBorder="1" applyAlignment="1">
      <alignment horizontal="center" vertical="center"/>
    </xf>
    <xf numFmtId="10" fontId="9" fillId="5" borderId="74" xfId="0" applyNumberFormat="1" applyFont="1" applyFill="1" applyBorder="1" applyAlignment="1">
      <alignment horizontal="center" vertical="center"/>
    </xf>
    <xf numFmtId="10" fontId="9" fillId="5" borderId="176" xfId="0" applyNumberFormat="1" applyFont="1" applyFill="1" applyBorder="1" applyAlignment="1">
      <alignment horizontal="center" vertical="center"/>
    </xf>
    <xf numFmtId="10" fontId="9" fillId="5" borderId="179" xfId="0" applyNumberFormat="1" applyFont="1" applyFill="1" applyBorder="1" applyAlignment="1">
      <alignment horizontal="center" vertical="center"/>
    </xf>
    <xf numFmtId="10" fontId="9" fillId="5" borderId="50" xfId="0" applyNumberFormat="1" applyFont="1" applyFill="1" applyBorder="1" applyAlignment="1">
      <alignment horizontal="center" vertical="center"/>
    </xf>
    <xf numFmtId="164" fontId="2" fillId="0" borderId="174" xfId="0" applyNumberFormat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0" borderId="25" xfId="0" applyFont="1" applyBorder="1"/>
    <xf numFmtId="0" fontId="5" fillId="0" borderId="24" xfId="0" applyFont="1" applyBorder="1"/>
    <xf numFmtId="164" fontId="6" fillId="2" borderId="6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0" fontId="6" fillId="0" borderId="29" xfId="0" applyFont="1" applyBorder="1" applyAlignment="1">
      <alignment horizontal="center" vertical="center" wrapText="1"/>
    </xf>
    <xf numFmtId="0" fontId="5" fillId="0" borderId="31" xfId="0" applyFont="1" applyBorder="1"/>
    <xf numFmtId="0" fontId="5" fillId="0" borderId="32" xfId="0" applyFont="1" applyBorder="1"/>
    <xf numFmtId="0" fontId="4" fillId="0" borderId="2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11" fillId="2" borderId="60" xfId="0" applyNumberFormat="1" applyFont="1" applyFill="1" applyBorder="1" applyAlignment="1">
      <alignment horizontal="center" vertical="center" wrapText="1"/>
    </xf>
    <xf numFmtId="0" fontId="5" fillId="0" borderId="58" xfId="0" applyFont="1" applyBorder="1"/>
    <xf numFmtId="0" fontId="6" fillId="0" borderId="37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4" fontId="4" fillId="0" borderId="15" xfId="0" applyNumberFormat="1" applyFont="1" applyBorder="1" applyAlignment="1">
      <alignment horizontal="center" vertical="center"/>
    </xf>
    <xf numFmtId="0" fontId="5" fillId="0" borderId="15" xfId="0" applyFont="1" applyBorder="1"/>
    <xf numFmtId="0" fontId="5" fillId="0" borderId="23" xfId="0" applyFont="1" applyBorder="1"/>
    <xf numFmtId="164" fontId="35" fillId="2" borderId="83" xfId="0" applyNumberFormat="1" applyFont="1" applyFill="1" applyBorder="1" applyAlignment="1">
      <alignment horizontal="center" vertical="center" wrapText="1"/>
    </xf>
    <xf numFmtId="164" fontId="35" fillId="2" borderId="84" xfId="0" applyNumberFormat="1" applyFont="1" applyFill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164" fontId="35" fillId="2" borderId="60" xfId="0" applyNumberFormat="1" applyFont="1" applyFill="1" applyBorder="1" applyAlignment="1">
      <alignment horizontal="center" vertical="center" wrapText="1"/>
    </xf>
    <xf numFmtId="0" fontId="41" fillId="0" borderId="58" xfId="0" applyFont="1" applyBorder="1"/>
    <xf numFmtId="0" fontId="35" fillId="0" borderId="152" xfId="0" applyFont="1" applyBorder="1" applyAlignment="1">
      <alignment horizontal="center" vertical="center" wrapText="1"/>
    </xf>
    <xf numFmtId="0" fontId="35" fillId="0" borderId="153" xfId="0" applyFont="1" applyBorder="1" applyAlignment="1">
      <alignment horizontal="center" vertical="center" wrapText="1"/>
    </xf>
    <xf numFmtId="0" fontId="42" fillId="0" borderId="153" xfId="0" applyFont="1" applyBorder="1" applyAlignment="1">
      <alignment horizontal="center" vertical="center" wrapText="1"/>
    </xf>
    <xf numFmtId="0" fontId="13" fillId="7" borderId="72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11" fillId="4" borderId="68" xfId="0" applyFont="1" applyFill="1" applyBorder="1" applyAlignment="1">
      <alignment horizontal="center" vertical="center"/>
    </xf>
    <xf numFmtId="0" fontId="5" fillId="0" borderId="64" xfId="0" applyFont="1" applyBorder="1"/>
    <xf numFmtId="0" fontId="33" fillId="24" borderId="68" xfId="0" applyFont="1" applyFill="1" applyBorder="1" applyAlignment="1">
      <alignment horizontal="center"/>
    </xf>
    <xf numFmtId="0" fontId="33" fillId="24" borderId="64" xfId="0" applyFont="1" applyFill="1" applyBorder="1" applyAlignment="1">
      <alignment horizontal="center"/>
    </xf>
    <xf numFmtId="0" fontId="33" fillId="24" borderId="93" xfId="0" applyFont="1" applyFill="1" applyBorder="1" applyAlignment="1">
      <alignment horizontal="center"/>
    </xf>
    <xf numFmtId="165" fontId="37" fillId="23" borderId="134" xfId="0" applyNumberFormat="1" applyFont="1" applyFill="1" applyBorder="1" applyAlignment="1">
      <alignment horizontal="center" vertical="center" wrapText="1"/>
    </xf>
    <xf numFmtId="165" fontId="0" fillId="24" borderId="138" xfId="0" applyNumberFormat="1" applyFill="1" applyBorder="1" applyAlignment="1">
      <alignment horizontal="center" vertical="center"/>
    </xf>
    <xf numFmtId="0" fontId="38" fillId="0" borderId="26" xfId="0" applyFont="1" applyBorder="1" applyAlignment="1">
      <alignment horizontal="left"/>
    </xf>
    <xf numFmtId="0" fontId="38" fillId="0" borderId="25" xfId="0" applyFont="1" applyBorder="1" applyAlignment="1">
      <alignment horizontal="left"/>
    </xf>
    <xf numFmtId="0" fontId="38" fillId="0" borderId="24" xfId="0" applyFont="1" applyBorder="1" applyAlignment="1">
      <alignment horizontal="left"/>
    </xf>
    <xf numFmtId="0" fontId="22" fillId="22" borderId="130" xfId="0" applyFont="1" applyFill="1" applyBorder="1" applyAlignment="1">
      <alignment horizontal="center" vertical="center" wrapText="1"/>
    </xf>
    <xf numFmtId="0" fontId="22" fillId="22" borderId="131" xfId="0" applyFont="1" applyFill="1" applyBorder="1" applyAlignment="1">
      <alignment horizontal="center" vertical="center" wrapText="1"/>
    </xf>
    <xf numFmtId="0" fontId="22" fillId="22" borderId="132" xfId="0" applyFont="1" applyFill="1" applyBorder="1" applyAlignment="1">
      <alignment horizontal="center" vertical="center" wrapText="1"/>
    </xf>
    <xf numFmtId="0" fontId="22" fillId="0" borderId="133" xfId="0" applyFont="1" applyFill="1" applyBorder="1" applyAlignment="1">
      <alignment horizontal="center" vertical="center" wrapText="1"/>
    </xf>
    <xf numFmtId="0" fontId="22" fillId="0" borderId="137" xfId="0" applyFont="1" applyFill="1" applyBorder="1" applyAlignment="1">
      <alignment horizontal="center" vertical="center" wrapText="1"/>
    </xf>
    <xf numFmtId="2" fontId="22" fillId="0" borderId="134" xfId="0" applyNumberFormat="1" applyFont="1" applyFill="1" applyBorder="1" applyAlignment="1">
      <alignment horizontal="left" vertical="center" wrapText="1"/>
    </xf>
    <xf numFmtId="0" fontId="22" fillId="0" borderId="138" xfId="0" applyFont="1" applyFill="1" applyBorder="1" applyAlignment="1">
      <alignment horizontal="left" vertical="center" wrapText="1"/>
    </xf>
    <xf numFmtId="0" fontId="37" fillId="0" borderId="134" xfId="0" applyFont="1" applyFill="1" applyBorder="1" applyAlignment="1">
      <alignment horizontal="center" vertical="center" wrapText="1"/>
    </xf>
    <xf numFmtId="0" fontId="37" fillId="0" borderId="138" xfId="0" applyFont="1" applyFill="1" applyBorder="1" applyAlignment="1">
      <alignment horizontal="center" vertical="center" wrapText="1"/>
    </xf>
    <xf numFmtId="165" fontId="39" fillId="0" borderId="134" xfId="0" applyNumberFormat="1" applyFont="1" applyFill="1" applyBorder="1" applyAlignment="1">
      <alignment horizontal="center" vertical="center" wrapText="1"/>
    </xf>
    <xf numFmtId="165" fontId="39" fillId="0" borderId="138" xfId="0" applyNumberFormat="1" applyFont="1" applyFill="1" applyBorder="1" applyAlignment="1">
      <alignment horizontal="center" vertical="center" wrapText="1"/>
    </xf>
    <xf numFmtId="49" fontId="38" fillId="0" borderId="136" xfId="0" applyNumberFormat="1" applyFont="1" applyFill="1" applyBorder="1" applyAlignment="1">
      <alignment horizontal="center" vertical="center" wrapText="1"/>
    </xf>
    <xf numFmtId="49" fontId="38" fillId="0" borderId="139" xfId="0" applyNumberFormat="1" applyFont="1" applyFill="1" applyBorder="1" applyAlignment="1">
      <alignment horizontal="center" vertical="center" wrapText="1"/>
    </xf>
    <xf numFmtId="0" fontId="32" fillId="21" borderId="125" xfId="0" applyFont="1" applyFill="1" applyBorder="1" applyAlignment="1">
      <alignment horizontal="center" vertical="center" wrapText="1"/>
    </xf>
    <xf numFmtId="0" fontId="32" fillId="21" borderId="126" xfId="0" applyFont="1" applyFill="1" applyBorder="1" applyAlignment="1">
      <alignment horizontal="center" vertical="center" wrapText="1"/>
    </xf>
    <xf numFmtId="0" fontId="32" fillId="21" borderId="124" xfId="0" applyFont="1" applyFill="1" applyBorder="1" applyAlignment="1">
      <alignment horizontal="center" vertical="center" wrapText="1"/>
    </xf>
    <xf numFmtId="44" fontId="16" fillId="21" borderId="26" xfId="0" applyNumberFormat="1" applyFont="1" applyFill="1" applyBorder="1" applyAlignment="1">
      <alignment horizontal="center" vertical="center"/>
    </xf>
    <xf numFmtId="44" fontId="16" fillId="21" borderId="24" xfId="0" applyNumberFormat="1" applyFont="1" applyFill="1" applyBorder="1" applyAlignment="1">
      <alignment horizontal="center" vertical="center"/>
    </xf>
    <xf numFmtId="0" fontId="16" fillId="21" borderId="75" xfId="0" applyFont="1" applyFill="1" applyBorder="1" applyAlignment="1">
      <alignment horizontal="center" vertical="center"/>
    </xf>
    <xf numFmtId="0" fontId="16" fillId="21" borderId="42" xfId="0" applyFont="1" applyFill="1" applyBorder="1" applyAlignment="1">
      <alignment horizontal="center" vertical="center"/>
    </xf>
    <xf numFmtId="10" fontId="28" fillId="0" borderId="0" xfId="0" applyNumberFormat="1" applyFont="1" applyFill="1" applyBorder="1" applyAlignment="1">
      <alignment horizontal="center" vertical="center"/>
    </xf>
    <xf numFmtId="10" fontId="28" fillId="0" borderId="127" xfId="0" applyNumberFormat="1" applyFont="1" applyFill="1" applyBorder="1" applyAlignment="1">
      <alignment horizontal="center" vertical="center"/>
    </xf>
    <xf numFmtId="0" fontId="16" fillId="21" borderId="26" xfId="0" applyFont="1" applyFill="1" applyBorder="1" applyAlignment="1">
      <alignment horizontal="center" vertical="center" wrapText="1"/>
    </xf>
    <xf numFmtId="0" fontId="16" fillId="21" borderId="24" xfId="0" applyFont="1" applyFill="1" applyBorder="1" applyAlignment="1">
      <alignment horizontal="center" vertical="center" wrapText="1"/>
    </xf>
    <xf numFmtId="0" fontId="16" fillId="21" borderId="75" xfId="0" applyFont="1" applyFill="1" applyBorder="1" applyAlignment="1">
      <alignment horizontal="center" vertical="center" wrapText="1"/>
    </xf>
    <xf numFmtId="0" fontId="16" fillId="21" borderId="42" xfId="0" applyFont="1" applyFill="1" applyBorder="1" applyAlignment="1">
      <alignment horizontal="center" vertical="center" wrapText="1"/>
    </xf>
    <xf numFmtId="10" fontId="28" fillId="0" borderId="68" xfId="0" applyNumberFormat="1" applyFont="1" applyFill="1" applyBorder="1" applyAlignment="1">
      <alignment horizontal="center" vertical="center"/>
    </xf>
    <xf numFmtId="10" fontId="28" fillId="0" borderId="93" xfId="0" applyNumberFormat="1" applyFont="1" applyFill="1" applyBorder="1" applyAlignment="1">
      <alignment horizontal="center" vertical="center"/>
    </xf>
    <xf numFmtId="0" fontId="27" fillId="0" borderId="94" xfId="0" applyFont="1" applyBorder="1" applyAlignment="1">
      <alignment horizontal="center"/>
    </xf>
    <xf numFmtId="0" fontId="23" fillId="0" borderId="96" xfId="0" applyFont="1" applyBorder="1" applyAlignment="1">
      <alignment horizontal="center" vertical="center" wrapText="1"/>
    </xf>
    <xf numFmtId="0" fontId="23" fillId="0" borderId="94" xfId="0" applyFont="1" applyBorder="1" applyAlignment="1">
      <alignment horizontal="center" vertical="center" wrapText="1"/>
    </xf>
    <xf numFmtId="0" fontId="23" fillId="0" borderId="103" xfId="0" applyFont="1" applyBorder="1" applyAlignment="1">
      <alignment horizontal="center" vertical="center" wrapText="1"/>
    </xf>
    <xf numFmtId="0" fontId="23" fillId="0" borderId="108" xfId="0" applyFont="1" applyBorder="1" applyAlignment="1">
      <alignment horizontal="center" vertical="center" wrapText="1"/>
    </xf>
    <xf numFmtId="0" fontId="23" fillId="0" borderId="113" xfId="0" applyFont="1" applyBorder="1" applyAlignment="1">
      <alignment horizontal="center" vertical="center" wrapText="1"/>
    </xf>
    <xf numFmtId="0" fontId="23" fillId="0" borderId="104" xfId="0" applyFont="1" applyBorder="1" applyAlignment="1">
      <alignment horizontal="center" vertical="center" wrapText="1"/>
    </xf>
    <xf numFmtId="0" fontId="23" fillId="0" borderId="109" xfId="0" applyFont="1" applyBorder="1" applyAlignment="1">
      <alignment horizontal="center" vertical="center" wrapText="1"/>
    </xf>
    <xf numFmtId="0" fontId="23" fillId="0" borderId="114" xfId="0" applyFont="1" applyBorder="1" applyAlignment="1">
      <alignment horizontal="center" vertical="center" wrapText="1"/>
    </xf>
    <xf numFmtId="0" fontId="23" fillId="15" borderId="95" xfId="0" applyFont="1" applyFill="1" applyBorder="1" applyAlignment="1">
      <alignment horizontal="center" vertical="center" wrapText="1"/>
    </xf>
    <xf numFmtId="0" fontId="23" fillId="15" borderId="98" xfId="0" applyFont="1" applyFill="1" applyBorder="1" applyAlignment="1">
      <alignment horizontal="center" vertical="center" wrapText="1"/>
    </xf>
    <xf numFmtId="0" fontId="23" fillId="16" borderId="96" xfId="0" applyFont="1" applyFill="1" applyBorder="1" applyAlignment="1">
      <alignment horizontal="center" vertical="center" wrapText="1"/>
    </xf>
    <xf numFmtId="0" fontId="23" fillId="16" borderId="94" xfId="0" applyFont="1" applyFill="1" applyBorder="1" applyAlignment="1">
      <alignment horizontal="center" vertical="center" wrapText="1"/>
    </xf>
    <xf numFmtId="0" fontId="23" fillId="0" borderId="96" xfId="0" applyFont="1" applyFill="1" applyBorder="1" applyAlignment="1">
      <alignment horizontal="center" vertical="center"/>
    </xf>
    <xf numFmtId="0" fontId="23" fillId="0" borderId="94" xfId="0" applyFont="1" applyFill="1" applyBorder="1" applyAlignment="1">
      <alignment horizontal="center" vertical="center"/>
    </xf>
    <xf numFmtId="0" fontId="23" fillId="0" borderId="96" xfId="0" applyFont="1" applyBorder="1" applyAlignment="1">
      <alignment horizontal="center" vertical="center"/>
    </xf>
    <xf numFmtId="0" fontId="23" fillId="0" borderId="94" xfId="0" applyFont="1" applyBorder="1" applyAlignment="1">
      <alignment horizontal="center" vertical="center"/>
    </xf>
    <xf numFmtId="0" fontId="23" fillId="0" borderId="105" xfId="0" applyFont="1" applyBorder="1" applyAlignment="1">
      <alignment horizontal="center" vertical="center" wrapText="1"/>
    </xf>
    <xf numFmtId="0" fontId="23" fillId="0" borderId="110" xfId="0" applyFont="1" applyBorder="1" applyAlignment="1">
      <alignment horizontal="center" vertical="center" wrapText="1"/>
    </xf>
    <xf numFmtId="0" fontId="23" fillId="0" borderId="115" xfId="0" applyFont="1" applyBorder="1" applyAlignment="1">
      <alignment horizontal="center" vertical="center" wrapText="1"/>
    </xf>
    <xf numFmtId="0" fontId="23" fillId="0" borderId="107" xfId="0" applyFont="1" applyBorder="1" applyAlignment="1">
      <alignment horizontal="center"/>
    </xf>
    <xf numFmtId="0" fontId="23" fillId="0" borderId="96" xfId="0" applyFont="1" applyBorder="1" applyAlignment="1">
      <alignment horizontal="center"/>
    </xf>
    <xf numFmtId="0" fontId="23" fillId="0" borderId="97" xfId="0" applyFont="1" applyBorder="1" applyAlignment="1">
      <alignment horizontal="center"/>
    </xf>
    <xf numFmtId="44" fontId="30" fillId="14" borderId="0" xfId="0" applyNumberFormat="1" applyFont="1" applyFill="1" applyBorder="1" applyAlignment="1">
      <alignment horizontal="center"/>
    </xf>
    <xf numFmtId="0" fontId="21" fillId="0" borderId="95" xfId="0" applyFont="1" applyBorder="1" applyAlignment="1">
      <alignment horizontal="center" vertical="center"/>
    </xf>
    <xf numFmtId="0" fontId="21" fillId="0" borderId="96" xfId="0" applyFont="1" applyBorder="1" applyAlignment="1">
      <alignment horizontal="center" vertical="center"/>
    </xf>
    <xf numFmtId="0" fontId="21" fillId="0" borderId="97" xfId="0" applyFont="1" applyBorder="1" applyAlignment="1">
      <alignment horizontal="center" vertical="center"/>
    </xf>
    <xf numFmtId="0" fontId="21" fillId="0" borderId="98" xfId="0" applyFont="1" applyBorder="1" applyAlignment="1">
      <alignment horizontal="center" vertical="center"/>
    </xf>
    <xf numFmtId="0" fontId="21" fillId="0" borderId="94" xfId="0" applyFont="1" applyBorder="1" applyAlignment="1">
      <alignment horizontal="center" vertical="center"/>
    </xf>
    <xf numFmtId="0" fontId="21" fillId="0" borderId="99" xfId="0" applyFont="1" applyBorder="1" applyAlignment="1">
      <alignment horizontal="center" vertical="center"/>
    </xf>
    <xf numFmtId="0" fontId="21" fillId="0" borderId="100" xfId="0" applyFont="1" applyBorder="1" applyAlignment="1">
      <alignment horizontal="center" vertical="center"/>
    </xf>
    <xf numFmtId="0" fontId="21" fillId="0" borderId="101" xfId="0" applyFont="1" applyBorder="1" applyAlignment="1">
      <alignment horizontal="center" vertical="center"/>
    </xf>
    <xf numFmtId="0" fontId="21" fillId="0" borderId="102" xfId="0" applyFont="1" applyBorder="1" applyAlignment="1">
      <alignment horizontal="center" vertical="center"/>
    </xf>
    <xf numFmtId="0" fontId="23" fillId="0" borderId="95" xfId="0" applyFont="1" applyFill="1" applyBorder="1" applyAlignment="1">
      <alignment horizontal="center" vertical="center" wrapText="1"/>
    </xf>
    <xf numFmtId="0" fontId="23" fillId="0" borderId="98" xfId="0" applyFont="1" applyFill="1" applyBorder="1" applyAlignment="1">
      <alignment horizontal="center" vertical="center" wrapText="1"/>
    </xf>
    <xf numFmtId="3" fontId="36" fillId="3" borderId="189" xfId="0" applyNumberFormat="1" applyFont="1" applyFill="1" applyBorder="1" applyAlignment="1">
      <alignment horizontal="center" vertical="center"/>
    </xf>
    <xf numFmtId="3" fontId="36" fillId="3" borderId="190" xfId="0" applyNumberFormat="1" applyFont="1" applyFill="1" applyBorder="1" applyAlignment="1">
      <alignment horizontal="center" vertical="center"/>
    </xf>
    <xf numFmtId="2" fontId="36" fillId="0" borderId="48" xfId="0" applyNumberFormat="1" applyFont="1" applyBorder="1" applyAlignment="1">
      <alignment horizontal="center" vertical="center"/>
    </xf>
    <xf numFmtId="0" fontId="36" fillId="0" borderId="191" xfId="0" applyFont="1" applyBorder="1" applyAlignment="1"/>
    <xf numFmtId="3" fontId="36" fillId="27" borderId="80" xfId="0" applyNumberFormat="1" applyFont="1" applyFill="1" applyBorder="1" applyAlignment="1">
      <alignment horizontal="center" vertical="center"/>
    </xf>
    <xf numFmtId="3" fontId="36" fillId="27" borderId="45" xfId="0" applyNumberFormat="1" applyFont="1" applyFill="1" applyBorder="1" applyAlignment="1">
      <alignment horizontal="center" vertical="center"/>
    </xf>
    <xf numFmtId="0" fontId="36" fillId="26" borderId="48" xfId="0" applyFont="1" applyFill="1" applyBorder="1" applyAlignment="1"/>
    <xf numFmtId="0" fontId="36" fillId="0" borderId="48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INSTALAÇÃO</a:t>
            </a:r>
          </a:p>
        </c:rich>
      </c:tx>
      <c:layout>
        <c:manualLayout>
          <c:xMode val="edge"/>
          <c:yMode val="edge"/>
          <c:x val="0.40190671666102107"/>
          <c:y val="8.35864299380164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INSTALAÇÃO</c:v>
          </c:tx>
          <c:spPr>
            <a:solidFill>
              <a:srgbClr val="ED7D31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8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9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2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3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4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5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6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7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8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9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2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3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4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5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6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7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8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9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2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'CONTROLE DE OBRA BURJ LAVIE'!$A$3:$A$35</c:f>
              <c:strCache>
                <c:ptCount val="2"/>
                <c:pt idx="0">
                  <c:v>J05 - LOTE 1</c:v>
                </c:pt>
                <c:pt idx="1">
                  <c:v>J05 - LOTE 2</c:v>
                </c:pt>
              </c:strCache>
            </c:strRef>
          </c:cat>
          <c:val>
            <c:numRef>
              <c:f>'CONTROLE DE OBRA BURJ LAVIE'!$Q$3:$Q$35</c:f>
              <c:numCache>
                <c:formatCode>0.00%</c:formatCode>
                <c:ptCount val="33"/>
                <c:pt idx="0">
                  <c:v>0.43518518518518517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947136912"/>
        <c:axId val="947133648"/>
      </c:barChart>
      <c:catAx>
        <c:axId val="947136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7133648"/>
        <c:crosses val="autoZero"/>
        <c:auto val="1"/>
        <c:lblAlgn val="ctr"/>
        <c:lblOffset val="100"/>
        <c:noMultiLvlLbl val="1"/>
      </c:catAx>
      <c:valAx>
        <c:axId val="947133648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713691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800" b="1">
                <a:solidFill>
                  <a:schemeClr val="tx1"/>
                </a:solidFill>
              </a:rPr>
              <a:t>RESUMO</a:t>
            </a:r>
          </a:p>
        </c:rich>
      </c:tx>
      <c:layout>
        <c:manualLayout>
          <c:xMode val="edge"/>
          <c:yMode val="edge"/>
          <c:x val="0.41108066760590173"/>
          <c:y val="2.65682734021772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560842353542249"/>
          <c:y val="0.19790242487733564"/>
          <c:w val="0.83584785162008424"/>
          <c:h val="0.64650396770579122"/>
        </c:manualLayout>
      </c:layout>
      <c:barChart>
        <c:barDir val="col"/>
        <c:grouping val="clustered"/>
        <c:varyColors val="1"/>
        <c:ser>
          <c:idx val="0"/>
          <c:order val="0"/>
          <c:tx>
            <c:v>LIBERAÇÃO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LIBERADO, FABRICADO E INSTALADO</c:v>
              </c:pt>
            </c:strLit>
          </c:cat>
          <c:val>
            <c:numRef>
              <c:f>'CONTROLE DE OBRA BURJ LAVIE'!$J$36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</c:extLst>
        </c:ser>
        <c:ser>
          <c:idx val="1"/>
          <c:order val="1"/>
          <c:tx>
            <c:v>FABRICAÇÃO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LIBERADO, FABRICADO E INSTALADO</c:v>
              </c:pt>
            </c:strLit>
          </c:cat>
          <c:val>
            <c:numRef>
              <c:f>'CONTROLE DE OBRA BURJ LAVIE'!$M$36</c:f>
              <c:numCache>
                <c:formatCode>0.00%</c:formatCode>
                <c:ptCount val="1"/>
                <c:pt idx="0">
                  <c:v>0.29938271604938271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</c:extLst>
        </c:ser>
        <c:ser>
          <c:idx val="2"/>
          <c:order val="2"/>
          <c:tx>
            <c:v>INSTALAÇÃO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LIBERADO, FABRICADO E INSTALADO</c:v>
              </c:pt>
            </c:strLit>
          </c:cat>
          <c:val>
            <c:numRef>
              <c:f>'CONTROLE DE OBRA BURJ LAVIE'!$Q$36</c:f>
              <c:numCache>
                <c:formatCode>0.00%</c:formatCode>
                <c:ptCount val="1"/>
                <c:pt idx="0">
                  <c:v>0.21759259259259259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7135824"/>
        <c:axId val="947126576"/>
      </c:barChart>
      <c:catAx>
        <c:axId val="947135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7126576"/>
        <c:crosses val="autoZero"/>
        <c:auto val="1"/>
        <c:lblAlgn val="ctr"/>
        <c:lblOffset val="100"/>
        <c:noMultiLvlLbl val="1"/>
      </c:catAx>
      <c:valAx>
        <c:axId val="9471265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713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FABRICAÇÃO</a:t>
            </a:r>
          </a:p>
        </c:rich>
      </c:tx>
      <c:layout>
        <c:manualLayout>
          <c:xMode val="edge"/>
          <c:yMode val="edge"/>
          <c:x val="0.40190671666102107"/>
          <c:y val="8.35864299380164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FABRICAÇÃO</c:v>
          </c:tx>
          <c:spPr>
            <a:solidFill>
              <a:srgbClr val="ED7D31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8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9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2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3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4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5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6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7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8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9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2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3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4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5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6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7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8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9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2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'CONTROLE DE OBRA BURJ LAVIE'!$A$3:$A$35</c:f>
              <c:strCache>
                <c:ptCount val="2"/>
                <c:pt idx="0">
                  <c:v>J05 - LOTE 1</c:v>
                </c:pt>
                <c:pt idx="1">
                  <c:v>J05 - LOTE 2</c:v>
                </c:pt>
              </c:strCache>
            </c:strRef>
          </c:cat>
          <c:val>
            <c:numRef>
              <c:f>'CONTROLE DE OBRA BURJ LAVIE'!$M$3:$M$35</c:f>
              <c:numCache>
                <c:formatCode>0.00%</c:formatCode>
                <c:ptCount val="33"/>
                <c:pt idx="0">
                  <c:v>0.59876543209876543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947139632"/>
        <c:axId val="947124400"/>
      </c:barChart>
      <c:catAx>
        <c:axId val="947139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7124400"/>
        <c:crosses val="autoZero"/>
        <c:auto val="1"/>
        <c:lblAlgn val="ctr"/>
        <c:lblOffset val="100"/>
        <c:noMultiLvlLbl val="1"/>
      </c:catAx>
      <c:valAx>
        <c:axId val="947124400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713963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LIBERAÇÃO DE MEDIDAS</a:t>
            </a:r>
          </a:p>
        </c:rich>
      </c:tx>
      <c:layout>
        <c:manualLayout>
          <c:xMode val="edge"/>
          <c:yMode val="edge"/>
          <c:x val="0.40190671666102107"/>
          <c:y val="8.35864299380164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LIBERAÇÃO DE MEDIDAS</c:v>
          </c:tx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6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7"/>
            <c:invertIfNegative val="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8"/>
            <c:invertIfNegative val="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9"/>
            <c:invertIfNegative val="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0"/>
            <c:invertIfNegative val="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1"/>
            <c:invertIfNegative val="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2"/>
            <c:invertIfNegative val="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3"/>
            <c:invertIfNegative val="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4"/>
            <c:invertIfNegative val="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5"/>
            <c:invertIfNegative val="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6"/>
            <c:invertIfNegative val="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7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8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9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0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1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2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'CONTROLE DE OBRA BURJ LAVIE'!$A$3:$A$35</c:f>
              <c:strCache>
                <c:ptCount val="2"/>
                <c:pt idx="0">
                  <c:v>J05 - LOTE 1</c:v>
                </c:pt>
                <c:pt idx="1">
                  <c:v>J05 - LOTE 2</c:v>
                </c:pt>
              </c:strCache>
            </c:strRef>
          </c:cat>
          <c:val>
            <c:numRef>
              <c:f>'CONTROLE DE OBRA BURJ LAVIE'!$J$3:$J$35</c:f>
              <c:numCache>
                <c:formatCode>0%</c:formatCode>
                <c:ptCount val="33"/>
                <c:pt idx="0">
                  <c:v>1</c:v>
                </c:pt>
                <c:pt idx="1">
                  <c:v>1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947138000"/>
        <c:axId val="947134736"/>
      </c:barChart>
      <c:catAx>
        <c:axId val="947138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7134736"/>
        <c:crosses val="autoZero"/>
        <c:auto val="1"/>
        <c:lblAlgn val="ctr"/>
        <c:lblOffset val="100"/>
        <c:noMultiLvlLbl val="1"/>
      </c:catAx>
      <c:valAx>
        <c:axId val="947134736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71380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723900</xdr:colOff>
      <xdr:row>0</xdr:row>
      <xdr:rowOff>0</xdr:rowOff>
    </xdr:from>
    <xdr:ext cx="1323975" cy="5905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68025" y="0"/>
          <a:ext cx="13239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723900</xdr:colOff>
      <xdr:row>0</xdr:row>
      <xdr:rowOff>0</xdr:rowOff>
    </xdr:from>
    <xdr:ext cx="1323975" cy="59055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68025" y="0"/>
          <a:ext cx="13239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723900</xdr:colOff>
      <xdr:row>0</xdr:row>
      <xdr:rowOff>0</xdr:rowOff>
    </xdr:from>
    <xdr:ext cx="1323975" cy="590550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68025" y="0"/>
          <a:ext cx="1323975" cy="5905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723900</xdr:colOff>
      <xdr:row>0</xdr:row>
      <xdr:rowOff>0</xdr:rowOff>
    </xdr:from>
    <xdr:ext cx="1323975" cy="5905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716000" y="0"/>
          <a:ext cx="13239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723900</xdr:colOff>
      <xdr:row>0</xdr:row>
      <xdr:rowOff>0</xdr:rowOff>
    </xdr:from>
    <xdr:ext cx="1323975" cy="59055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716000" y="0"/>
          <a:ext cx="1323975" cy="5905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723900</xdr:colOff>
      <xdr:row>0</xdr:row>
      <xdr:rowOff>0</xdr:rowOff>
    </xdr:from>
    <xdr:ext cx="1323975" cy="5905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39500" y="0"/>
          <a:ext cx="13239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723900</xdr:colOff>
      <xdr:row>0</xdr:row>
      <xdr:rowOff>0</xdr:rowOff>
    </xdr:from>
    <xdr:ext cx="1323975" cy="59055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85350" y="0"/>
          <a:ext cx="1323975" cy="5905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723900</xdr:colOff>
      <xdr:row>0</xdr:row>
      <xdr:rowOff>0</xdr:rowOff>
    </xdr:from>
    <xdr:ext cx="1323975" cy="5905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723900</xdr:colOff>
      <xdr:row>0</xdr:row>
      <xdr:rowOff>0</xdr:rowOff>
    </xdr:from>
    <xdr:ext cx="1323975" cy="59055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07850" y="0"/>
          <a:ext cx="13239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723900</xdr:colOff>
      <xdr:row>0</xdr:row>
      <xdr:rowOff>0</xdr:rowOff>
    </xdr:from>
    <xdr:ext cx="1323975" cy="590550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07850" y="0"/>
          <a:ext cx="1323975" cy="5905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723900</xdr:colOff>
      <xdr:row>0</xdr:row>
      <xdr:rowOff>0</xdr:rowOff>
    </xdr:from>
    <xdr:ext cx="1323975" cy="5905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28550" y="0"/>
          <a:ext cx="13239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723900</xdr:colOff>
      <xdr:row>0</xdr:row>
      <xdr:rowOff>0</xdr:rowOff>
    </xdr:from>
    <xdr:ext cx="1323975" cy="59055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28550" y="0"/>
          <a:ext cx="1323975" cy="5905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655320</xdr:colOff>
      <xdr:row>64</xdr:row>
      <xdr:rowOff>127354</xdr:rowOff>
    </xdr:from>
    <xdr:ext cx="9694332" cy="2280566"/>
    <xdr:graphicFrame macro="">
      <xdr:nvGraphicFramePr>
        <xdr:cNvPr id="4" name="Chart 3" title="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601980</xdr:colOff>
      <xdr:row>79</xdr:row>
      <xdr:rowOff>99906</xdr:rowOff>
    </xdr:from>
    <xdr:ext cx="9669780" cy="2757594"/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676275</xdr:colOff>
      <xdr:row>0</xdr:row>
      <xdr:rowOff>38100</xdr:rowOff>
    </xdr:from>
    <xdr:ext cx="1295400" cy="495300"/>
    <xdr:pic>
      <xdr:nvPicPr>
        <xdr:cNvPr id="7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801725" y="38100"/>
          <a:ext cx="12954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647700</xdr:colOff>
      <xdr:row>51</xdr:row>
      <xdr:rowOff>1694</xdr:rowOff>
    </xdr:from>
    <xdr:ext cx="9694332" cy="2307166"/>
    <xdr:graphicFrame macro="">
      <xdr:nvGraphicFramePr>
        <xdr:cNvPr id="10" name="Chart 3" title="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685800</xdr:colOff>
      <xdr:row>37</xdr:row>
      <xdr:rowOff>117122</xdr:rowOff>
    </xdr:from>
    <xdr:ext cx="9673166" cy="2206978"/>
    <xdr:graphicFrame macro="">
      <xdr:nvGraphicFramePr>
        <xdr:cNvPr id="11" name="Chart 3" title="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139700</xdr:colOff>
      <xdr:row>0</xdr:row>
      <xdr:rowOff>0</xdr:rowOff>
    </xdr:from>
    <xdr:to>
      <xdr:col>10</xdr:col>
      <xdr:colOff>428810</xdr:colOff>
      <xdr:row>0</xdr:row>
      <xdr:rowOff>539751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0" y="0"/>
          <a:ext cx="1394010" cy="5397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139700</xdr:colOff>
      <xdr:row>0</xdr:row>
      <xdr:rowOff>0</xdr:rowOff>
    </xdr:from>
    <xdr:to>
      <xdr:col>10</xdr:col>
      <xdr:colOff>428810</xdr:colOff>
      <xdr:row>0</xdr:row>
      <xdr:rowOff>539751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3200" y="0"/>
          <a:ext cx="1371150" cy="5397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676275</xdr:colOff>
      <xdr:row>0</xdr:row>
      <xdr:rowOff>38100</xdr:rowOff>
    </xdr:from>
    <xdr:ext cx="1295400" cy="495300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03625" y="38100"/>
          <a:ext cx="1295400" cy="4953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135965</xdr:colOff>
      <xdr:row>0</xdr:row>
      <xdr:rowOff>64247</xdr:rowOff>
    </xdr:from>
    <xdr:to>
      <xdr:col>2</xdr:col>
      <xdr:colOff>2490611</xdr:colOff>
      <xdr:row>2</xdr:row>
      <xdr:rowOff>10583</xdr:rowOff>
    </xdr:to>
    <xdr:pic>
      <xdr:nvPicPr>
        <xdr:cNvPr id="7" name="Imagem 6" descr="C:\Users\OBRASLENOVO12\OneDrive\Documentos\ADM - Antonio Neto\Mídias\Marca Pórtico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6165" y="64247"/>
          <a:ext cx="2359585" cy="879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1" sqref="B11"/>
    </sheetView>
  </sheetViews>
  <sheetFormatPr defaultColWidth="14.44140625" defaultRowHeight="15" customHeight="1" x14ac:dyDescent="0.3"/>
  <cols>
    <col min="1" max="1" width="14.5546875" customWidth="1"/>
    <col min="2" max="2" width="24.77734375" customWidth="1"/>
    <col min="3" max="3" width="11" customWidth="1"/>
    <col min="4" max="4" width="8.77734375" customWidth="1"/>
    <col min="5" max="5" width="8.21875" customWidth="1"/>
    <col min="6" max="6" width="9" style="22" customWidth="1"/>
    <col min="7" max="7" width="10.5546875" customWidth="1"/>
    <col min="8" max="8" width="6.77734375" style="42" bestFit="1" customWidth="1"/>
    <col min="9" max="9" width="10.44140625" bestFit="1" customWidth="1"/>
    <col min="10" max="10" width="6.77734375" bestFit="1" customWidth="1"/>
    <col min="11" max="11" width="10.44140625" bestFit="1" customWidth="1"/>
    <col min="12" max="12" width="6.77734375" bestFit="1" customWidth="1"/>
    <col min="13" max="13" width="10.44140625" bestFit="1" customWidth="1"/>
    <col min="14" max="14" width="6.77734375" bestFit="1" customWidth="1"/>
    <col min="15" max="15" width="10.21875" style="40" bestFit="1" customWidth="1"/>
    <col min="16" max="16" width="11.77734375" bestFit="1" customWidth="1"/>
    <col min="17" max="17" width="9.5546875" bestFit="1" customWidth="1"/>
    <col min="18" max="18" width="10.21875" bestFit="1" customWidth="1"/>
    <col min="19" max="19" width="8.77734375" bestFit="1" customWidth="1"/>
    <col min="20" max="33" width="8.77734375" customWidth="1"/>
  </cols>
  <sheetData>
    <row r="1" spans="1:19" ht="45.75" customHeight="1" thickBot="1" x14ac:dyDescent="0.35">
      <c r="A1" s="562" t="s">
        <v>27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4"/>
    </row>
    <row r="2" spans="1:19" ht="27" customHeight="1" x14ac:dyDescent="0.3">
      <c r="A2" s="63" t="s">
        <v>0</v>
      </c>
      <c r="B2" s="4" t="s">
        <v>1</v>
      </c>
      <c r="C2" s="5" t="s">
        <v>2</v>
      </c>
      <c r="D2" s="565" t="s">
        <v>8</v>
      </c>
      <c r="E2" s="566"/>
      <c r="F2" s="25" t="s">
        <v>22</v>
      </c>
      <c r="G2" s="5" t="s">
        <v>3</v>
      </c>
      <c r="H2" s="43" t="s">
        <v>4</v>
      </c>
      <c r="I2" s="5" t="s">
        <v>3</v>
      </c>
      <c r="J2" s="43" t="s">
        <v>4</v>
      </c>
      <c r="K2" s="5" t="s">
        <v>3</v>
      </c>
      <c r="L2" s="43" t="s">
        <v>4</v>
      </c>
      <c r="M2" s="5" t="s">
        <v>3</v>
      </c>
      <c r="N2" s="43" t="s">
        <v>4</v>
      </c>
      <c r="O2" s="62" t="s">
        <v>23</v>
      </c>
      <c r="P2" s="5" t="s">
        <v>6</v>
      </c>
      <c r="Q2" s="79" t="s">
        <v>25</v>
      </c>
      <c r="R2" s="80" t="s">
        <v>24</v>
      </c>
      <c r="S2" s="64" t="s">
        <v>7</v>
      </c>
    </row>
    <row r="3" spans="1:19" s="99" customFormat="1" ht="14.4" x14ac:dyDescent="0.3">
      <c r="A3" s="567" t="s">
        <v>26</v>
      </c>
      <c r="B3" s="102"/>
      <c r="C3" s="103"/>
      <c r="D3" s="47"/>
      <c r="E3" s="47"/>
      <c r="F3" s="50">
        <f>SUM(D3*E3*C3)</f>
        <v>0</v>
      </c>
      <c r="G3" s="58"/>
      <c r="H3" s="44"/>
      <c r="I3" s="29"/>
      <c r="J3" s="30"/>
      <c r="K3" s="30"/>
      <c r="L3" s="30"/>
      <c r="M3" s="30"/>
      <c r="N3" s="30"/>
      <c r="O3" s="38">
        <f t="shared" ref="O3:O14" si="0">SUM(E3*D3)*(H3+J3)</f>
        <v>0</v>
      </c>
      <c r="P3" s="6">
        <f t="shared" ref="P3:P13" si="1">C3-H3-J3-L3-N3</f>
        <v>0</v>
      </c>
      <c r="Q3" s="7">
        <v>46</v>
      </c>
      <c r="R3" s="61">
        <f>SUM(D3*E3*(Q3))</f>
        <v>0</v>
      </c>
      <c r="S3" s="65">
        <f t="shared" ref="S3:S66" si="2">H3+J3+L3+N3-Q3</f>
        <v>-46</v>
      </c>
    </row>
    <row r="4" spans="1:19" s="31" customFormat="1" ht="14.4" x14ac:dyDescent="0.3">
      <c r="A4" s="568"/>
      <c r="B4" s="83"/>
      <c r="C4" s="53"/>
      <c r="D4" s="54"/>
      <c r="E4" s="54"/>
      <c r="F4" s="50">
        <f>SUM(D4*E4*C4)</f>
        <v>0</v>
      </c>
      <c r="G4" s="52"/>
      <c r="H4" s="51"/>
      <c r="I4" s="34"/>
      <c r="J4" s="35"/>
      <c r="K4" s="35"/>
      <c r="L4" s="35"/>
      <c r="M4" s="35"/>
      <c r="N4" s="35"/>
      <c r="O4" s="38">
        <f t="shared" si="0"/>
        <v>0</v>
      </c>
      <c r="P4" s="6">
        <f t="shared" si="1"/>
        <v>0</v>
      </c>
      <c r="Q4" s="11">
        <v>47</v>
      </c>
      <c r="R4" s="61">
        <f t="shared" ref="R4:R67" si="3">SUM(D4*E4*(Q4))</f>
        <v>0</v>
      </c>
      <c r="S4" s="65">
        <f t="shared" si="2"/>
        <v>-47</v>
      </c>
    </row>
    <row r="5" spans="1:19" s="31" customFormat="1" ht="14.4" x14ac:dyDescent="0.3">
      <c r="A5" s="568"/>
      <c r="B5" s="12"/>
      <c r="C5" s="53"/>
      <c r="D5" s="54"/>
      <c r="E5" s="54"/>
      <c r="F5" s="50">
        <f>SUM(D5*E5*C5)</f>
        <v>0</v>
      </c>
      <c r="G5" s="52"/>
      <c r="H5" s="51"/>
      <c r="I5" s="34"/>
      <c r="J5" s="35"/>
      <c r="K5" s="35"/>
      <c r="L5" s="35"/>
      <c r="M5" s="35"/>
      <c r="N5" s="35"/>
      <c r="O5" s="38">
        <f t="shared" si="0"/>
        <v>0</v>
      </c>
      <c r="P5" s="6">
        <f t="shared" si="1"/>
        <v>0</v>
      </c>
      <c r="Q5" s="11">
        <v>47</v>
      </c>
      <c r="R5" s="61">
        <f t="shared" si="3"/>
        <v>0</v>
      </c>
      <c r="S5" s="65">
        <f t="shared" si="2"/>
        <v>-47</v>
      </c>
    </row>
    <row r="6" spans="1:19" s="31" customFormat="1" ht="14.4" x14ac:dyDescent="0.3">
      <c r="A6" s="568"/>
      <c r="B6" s="12"/>
      <c r="C6" s="53"/>
      <c r="D6" s="54"/>
      <c r="E6" s="54"/>
      <c r="F6" s="57">
        <f t="shared" ref="F6:F57" si="4">SUM(D6*E6*C6)</f>
        <v>0</v>
      </c>
      <c r="G6" s="52"/>
      <c r="H6" s="51"/>
      <c r="I6" s="34"/>
      <c r="J6" s="35"/>
      <c r="K6" s="35"/>
      <c r="L6" s="35"/>
      <c r="M6" s="35"/>
      <c r="N6" s="35"/>
      <c r="O6" s="38">
        <f t="shared" si="0"/>
        <v>0</v>
      </c>
      <c r="P6" s="6">
        <f t="shared" si="1"/>
        <v>0</v>
      </c>
      <c r="Q6" s="11">
        <v>47</v>
      </c>
      <c r="R6" s="61">
        <f t="shared" si="3"/>
        <v>0</v>
      </c>
      <c r="S6" s="65">
        <f t="shared" si="2"/>
        <v>-47</v>
      </c>
    </row>
    <row r="7" spans="1:19" s="31" customFormat="1" ht="14.4" x14ac:dyDescent="0.3">
      <c r="A7" s="568"/>
      <c r="B7" s="83"/>
      <c r="C7" s="98"/>
      <c r="D7" s="54"/>
      <c r="E7" s="54"/>
      <c r="F7" s="57">
        <f t="shared" si="4"/>
        <v>0</v>
      </c>
      <c r="G7" s="52"/>
      <c r="H7" s="51"/>
      <c r="I7" s="34"/>
      <c r="J7" s="35"/>
      <c r="K7" s="35"/>
      <c r="L7" s="35"/>
      <c r="M7" s="35"/>
      <c r="N7" s="35"/>
      <c r="O7" s="38">
        <f t="shared" si="0"/>
        <v>0</v>
      </c>
      <c r="P7" s="6">
        <f t="shared" si="1"/>
        <v>0</v>
      </c>
      <c r="Q7" s="11">
        <v>47</v>
      </c>
      <c r="R7" s="61">
        <f t="shared" si="3"/>
        <v>0</v>
      </c>
      <c r="S7" s="65">
        <f t="shared" si="2"/>
        <v>-47</v>
      </c>
    </row>
    <row r="8" spans="1:19" s="99" customFormat="1" ht="14.4" x14ac:dyDescent="0.3">
      <c r="A8" s="568"/>
      <c r="B8" s="134"/>
      <c r="C8" s="98"/>
      <c r="D8" s="54"/>
      <c r="E8" s="54"/>
      <c r="F8" s="57">
        <f>SUM(D8*E8*C8)</f>
        <v>0</v>
      </c>
      <c r="G8" s="52"/>
      <c r="H8" s="51"/>
      <c r="I8" s="34"/>
      <c r="J8" s="35"/>
      <c r="K8" s="34"/>
      <c r="L8" s="35"/>
      <c r="M8" s="34"/>
      <c r="N8" s="35"/>
      <c r="O8" s="38">
        <f t="shared" si="0"/>
        <v>0</v>
      </c>
      <c r="P8" s="6">
        <f t="shared" si="1"/>
        <v>0</v>
      </c>
      <c r="Q8" s="11">
        <v>26</v>
      </c>
      <c r="R8" s="61">
        <f>SUM(D8*E8*(Q8))</f>
        <v>0</v>
      </c>
      <c r="S8" s="65">
        <f t="shared" si="2"/>
        <v>-26</v>
      </c>
    </row>
    <row r="9" spans="1:19" s="99" customFormat="1" ht="14.4" x14ac:dyDescent="0.3">
      <c r="A9" s="568"/>
      <c r="B9" s="135"/>
      <c r="C9" s="98"/>
      <c r="D9" s="54"/>
      <c r="E9" s="54"/>
      <c r="F9" s="57">
        <f>SUM(D9*E9*C9)</f>
        <v>0</v>
      </c>
      <c r="G9" s="52"/>
      <c r="H9" s="51"/>
      <c r="I9" s="34"/>
      <c r="J9" s="35"/>
      <c r="K9" s="34"/>
      <c r="L9" s="35"/>
      <c r="M9" s="34"/>
      <c r="N9" s="35"/>
      <c r="O9" s="38">
        <f t="shared" si="0"/>
        <v>0</v>
      </c>
      <c r="P9" s="6">
        <f t="shared" si="1"/>
        <v>0</v>
      </c>
      <c r="Q9" s="11">
        <v>6</v>
      </c>
      <c r="R9" s="61">
        <f>SUM(D9*E9*(Q9))</f>
        <v>0</v>
      </c>
      <c r="S9" s="65">
        <f t="shared" si="2"/>
        <v>-6</v>
      </c>
    </row>
    <row r="10" spans="1:19" s="99" customFormat="1" ht="14.4" x14ac:dyDescent="0.3">
      <c r="A10" s="568"/>
      <c r="B10" s="135"/>
      <c r="C10" s="98"/>
      <c r="D10" s="54"/>
      <c r="E10" s="54"/>
      <c r="F10" s="57">
        <f>SUM(D10*E10*C10)</f>
        <v>0</v>
      </c>
      <c r="G10" s="52"/>
      <c r="H10" s="51"/>
      <c r="I10" s="34"/>
      <c r="J10" s="35"/>
      <c r="K10" s="34"/>
      <c r="L10" s="35"/>
      <c r="M10" s="34"/>
      <c r="N10" s="35"/>
      <c r="O10" s="38">
        <f t="shared" si="0"/>
        <v>0</v>
      </c>
      <c r="P10" s="6">
        <f t="shared" si="1"/>
        <v>0</v>
      </c>
      <c r="Q10" s="11">
        <v>1</v>
      </c>
      <c r="R10" s="61">
        <f>SUM(D10*E10*(Q10))</f>
        <v>0</v>
      </c>
      <c r="S10" s="65">
        <f t="shared" si="2"/>
        <v>-1</v>
      </c>
    </row>
    <row r="11" spans="1:19" s="99" customFormat="1" ht="14.4" x14ac:dyDescent="0.3">
      <c r="A11" s="568"/>
      <c r="B11" s="136"/>
      <c r="C11" s="98"/>
      <c r="D11" s="54"/>
      <c r="E11" s="54"/>
      <c r="F11" s="57">
        <f t="shared" si="4"/>
        <v>0</v>
      </c>
      <c r="G11" s="52"/>
      <c r="H11" s="51"/>
      <c r="I11" s="34"/>
      <c r="J11" s="35"/>
      <c r="K11" s="34"/>
      <c r="L11" s="35"/>
      <c r="M11" s="34"/>
      <c r="N11" s="35"/>
      <c r="O11" s="38">
        <f t="shared" si="0"/>
        <v>0</v>
      </c>
      <c r="P11" s="6">
        <f t="shared" si="1"/>
        <v>0</v>
      </c>
      <c r="Q11" s="11">
        <v>1</v>
      </c>
      <c r="R11" s="61">
        <f>SUM(D11*E11*(Q11))</f>
        <v>0</v>
      </c>
      <c r="S11" s="65">
        <f t="shared" si="2"/>
        <v>-1</v>
      </c>
    </row>
    <row r="12" spans="1:19" s="101" customFormat="1" ht="14.4" x14ac:dyDescent="0.3">
      <c r="A12" s="568"/>
      <c r="B12" s="97"/>
      <c r="C12" s="100"/>
      <c r="D12" s="85"/>
      <c r="E12" s="85"/>
      <c r="F12" s="86">
        <f t="shared" si="4"/>
        <v>0</v>
      </c>
      <c r="G12" s="87"/>
      <c r="H12" s="88"/>
      <c r="I12" s="89"/>
      <c r="J12" s="90"/>
      <c r="K12" s="90"/>
      <c r="L12" s="90"/>
      <c r="M12" s="90"/>
      <c r="N12" s="90"/>
      <c r="O12" s="91">
        <f t="shared" si="0"/>
        <v>0</v>
      </c>
      <c r="P12" s="6">
        <f t="shared" si="1"/>
        <v>0</v>
      </c>
      <c r="Q12" s="93">
        <v>32</v>
      </c>
      <c r="R12" s="94">
        <f t="shared" si="3"/>
        <v>0</v>
      </c>
      <c r="S12" s="95">
        <f t="shared" si="2"/>
        <v>-32</v>
      </c>
    </row>
    <row r="13" spans="1:19" s="96" customFormat="1" ht="14.4" x14ac:dyDescent="0.3">
      <c r="A13" s="568"/>
      <c r="B13" s="83"/>
      <c r="C13" s="84"/>
      <c r="D13" s="85"/>
      <c r="E13" s="85"/>
      <c r="F13" s="86">
        <f t="shared" si="4"/>
        <v>0</v>
      </c>
      <c r="G13" s="87"/>
      <c r="H13" s="88"/>
      <c r="I13" s="89"/>
      <c r="J13" s="90"/>
      <c r="K13" s="90"/>
      <c r="L13" s="90"/>
      <c r="M13" s="90"/>
      <c r="N13" s="90"/>
      <c r="O13" s="91">
        <f t="shared" si="0"/>
        <v>0</v>
      </c>
      <c r="P13" s="6">
        <f t="shared" si="1"/>
        <v>0</v>
      </c>
      <c r="Q13" s="93">
        <v>8</v>
      </c>
      <c r="R13" s="94">
        <f t="shared" si="3"/>
        <v>0</v>
      </c>
      <c r="S13" s="95">
        <f t="shared" si="2"/>
        <v>-8</v>
      </c>
    </row>
    <row r="14" spans="1:19" s="96" customFormat="1" ht="14.4" x14ac:dyDescent="0.3">
      <c r="A14" s="568"/>
      <c r="B14" s="83"/>
      <c r="C14" s="84"/>
      <c r="D14" s="85"/>
      <c r="E14" s="85"/>
      <c r="F14" s="86">
        <f t="shared" si="4"/>
        <v>0</v>
      </c>
      <c r="G14" s="87"/>
      <c r="H14" s="88"/>
      <c r="I14" s="89"/>
      <c r="J14" s="90"/>
      <c r="K14" s="90"/>
      <c r="L14" s="90"/>
      <c r="M14" s="90"/>
      <c r="N14" s="90"/>
      <c r="O14" s="91">
        <f t="shared" si="0"/>
        <v>0</v>
      </c>
      <c r="P14" s="92">
        <f t="shared" ref="P14:P75" si="5">C14-H14-J14-L14-N14</f>
        <v>0</v>
      </c>
      <c r="Q14" s="93">
        <v>8</v>
      </c>
      <c r="R14" s="94">
        <f t="shared" si="3"/>
        <v>0</v>
      </c>
      <c r="S14" s="95">
        <f t="shared" si="2"/>
        <v>-8</v>
      </c>
    </row>
    <row r="15" spans="1:19" s="31" customFormat="1" ht="14.25" customHeight="1" x14ac:dyDescent="0.3">
      <c r="A15" s="568"/>
      <c r="B15" s="23"/>
      <c r="C15" s="53"/>
      <c r="D15" s="55"/>
      <c r="E15" s="56"/>
      <c r="F15" s="28">
        <f t="shared" si="4"/>
        <v>0</v>
      </c>
      <c r="G15" s="49"/>
      <c r="H15" s="45"/>
      <c r="I15" s="34"/>
      <c r="J15" s="35"/>
      <c r="K15" s="35"/>
      <c r="L15" s="35"/>
      <c r="M15" s="35"/>
      <c r="N15" s="35"/>
      <c r="O15" s="38">
        <f>SUM(E15*D15)*(H15+J15+L15+N15)</f>
        <v>0</v>
      </c>
      <c r="P15" s="6">
        <f t="shared" si="5"/>
        <v>0</v>
      </c>
      <c r="Q15" s="11"/>
      <c r="R15" s="61">
        <f t="shared" si="3"/>
        <v>0</v>
      </c>
      <c r="S15" s="65">
        <f t="shared" si="2"/>
        <v>0</v>
      </c>
    </row>
    <row r="16" spans="1:19" s="99" customFormat="1" ht="14.4" x14ac:dyDescent="0.3">
      <c r="A16" s="568"/>
      <c r="B16" s="134"/>
      <c r="C16" s="24"/>
      <c r="D16" s="48"/>
      <c r="E16" s="33"/>
      <c r="F16" s="28">
        <f t="shared" si="4"/>
        <v>0</v>
      </c>
      <c r="G16" s="34"/>
      <c r="H16" s="45"/>
      <c r="I16" s="34"/>
      <c r="J16" s="35"/>
      <c r="K16" s="35"/>
      <c r="L16" s="35"/>
      <c r="M16" s="35"/>
      <c r="N16" s="35"/>
      <c r="O16" s="38">
        <f t="shared" ref="O16:O79" si="6">SUM(E16*D16)*(H16+J16+L16+N16)</f>
        <v>0</v>
      </c>
      <c r="P16" s="6">
        <f t="shared" si="5"/>
        <v>0</v>
      </c>
      <c r="Q16" s="11"/>
      <c r="R16" s="61">
        <f t="shared" si="3"/>
        <v>0</v>
      </c>
      <c r="S16" s="65">
        <f t="shared" si="2"/>
        <v>0</v>
      </c>
    </row>
    <row r="17" spans="1:19" s="31" customFormat="1" ht="14.25" customHeight="1" x14ac:dyDescent="0.3">
      <c r="A17" s="568"/>
      <c r="B17" s="135"/>
      <c r="C17" s="32"/>
      <c r="D17" s="33"/>
      <c r="E17" s="33"/>
      <c r="F17" s="28">
        <f t="shared" si="4"/>
        <v>0</v>
      </c>
      <c r="G17" s="34"/>
      <c r="H17" s="45"/>
      <c r="I17" s="34"/>
      <c r="J17" s="35"/>
      <c r="K17" s="35"/>
      <c r="L17" s="35"/>
      <c r="M17" s="35"/>
      <c r="N17" s="35"/>
      <c r="O17" s="38">
        <f t="shared" si="6"/>
        <v>0</v>
      </c>
      <c r="P17" s="6">
        <f t="shared" si="5"/>
        <v>0</v>
      </c>
      <c r="Q17" s="11"/>
      <c r="R17" s="61">
        <f t="shared" si="3"/>
        <v>0</v>
      </c>
      <c r="S17" s="65">
        <f t="shared" si="2"/>
        <v>0</v>
      </c>
    </row>
    <row r="18" spans="1:19" s="31" customFormat="1" ht="14.25" customHeight="1" x14ac:dyDescent="0.3">
      <c r="A18" s="568"/>
      <c r="B18" s="135"/>
      <c r="C18" s="32"/>
      <c r="D18" s="33"/>
      <c r="E18" s="33"/>
      <c r="F18" s="28">
        <f t="shared" si="4"/>
        <v>0</v>
      </c>
      <c r="G18" s="34"/>
      <c r="H18" s="45"/>
      <c r="I18" s="34"/>
      <c r="J18" s="35"/>
      <c r="K18" s="34"/>
      <c r="L18" s="35"/>
      <c r="M18" s="35"/>
      <c r="N18" s="35"/>
      <c r="O18" s="38">
        <f t="shared" si="6"/>
        <v>0</v>
      </c>
      <c r="P18" s="6">
        <f t="shared" si="5"/>
        <v>0</v>
      </c>
      <c r="Q18" s="11"/>
      <c r="R18" s="61">
        <f t="shared" si="3"/>
        <v>0</v>
      </c>
      <c r="S18" s="65">
        <f t="shared" si="2"/>
        <v>0</v>
      </c>
    </row>
    <row r="19" spans="1:19" s="31" customFormat="1" ht="14.25" customHeight="1" x14ac:dyDescent="0.3">
      <c r="A19" s="568"/>
      <c r="B19" s="135"/>
      <c r="C19" s="24"/>
      <c r="D19" s="33"/>
      <c r="E19" s="33"/>
      <c r="F19" s="28">
        <f t="shared" si="4"/>
        <v>0</v>
      </c>
      <c r="G19" s="34"/>
      <c r="H19" s="45"/>
      <c r="I19" s="34"/>
      <c r="J19" s="35"/>
      <c r="K19" s="35"/>
      <c r="L19" s="35"/>
      <c r="M19" s="35"/>
      <c r="N19" s="35"/>
      <c r="O19" s="38">
        <f t="shared" si="6"/>
        <v>0</v>
      </c>
      <c r="P19" s="6">
        <f t="shared" si="5"/>
        <v>0</v>
      </c>
      <c r="Q19" s="11"/>
      <c r="R19" s="61">
        <f t="shared" si="3"/>
        <v>0</v>
      </c>
      <c r="S19" s="65">
        <f t="shared" si="2"/>
        <v>0</v>
      </c>
    </row>
    <row r="20" spans="1:19" s="31" customFormat="1" ht="14.25" customHeight="1" x14ac:dyDescent="0.3">
      <c r="A20" s="568"/>
      <c r="B20" s="135"/>
      <c r="C20" s="24"/>
      <c r="D20" s="33"/>
      <c r="E20" s="33"/>
      <c r="F20" s="28">
        <f t="shared" si="4"/>
        <v>0</v>
      </c>
      <c r="G20" s="34"/>
      <c r="H20" s="45"/>
      <c r="I20" s="34"/>
      <c r="J20" s="45"/>
      <c r="K20" s="35"/>
      <c r="L20" s="35"/>
      <c r="M20" s="35"/>
      <c r="N20" s="35"/>
      <c r="O20" s="38">
        <f t="shared" si="6"/>
        <v>0</v>
      </c>
      <c r="P20" s="6">
        <f t="shared" si="5"/>
        <v>0</v>
      </c>
      <c r="Q20" s="11"/>
      <c r="R20" s="61">
        <f t="shared" si="3"/>
        <v>0</v>
      </c>
      <c r="S20" s="65">
        <f t="shared" si="2"/>
        <v>0</v>
      </c>
    </row>
    <row r="21" spans="1:19" s="31" customFormat="1" ht="14.25" customHeight="1" x14ac:dyDescent="0.3">
      <c r="A21" s="568"/>
      <c r="B21" s="135"/>
      <c r="C21" s="24"/>
      <c r="D21" s="33"/>
      <c r="E21" s="33"/>
      <c r="F21" s="28">
        <f t="shared" si="4"/>
        <v>0</v>
      </c>
      <c r="G21" s="34"/>
      <c r="H21" s="45"/>
      <c r="I21" s="34"/>
      <c r="J21" s="35"/>
      <c r="K21" s="35"/>
      <c r="L21" s="35"/>
      <c r="M21" s="35"/>
      <c r="N21" s="35"/>
      <c r="O21" s="38">
        <f t="shared" si="6"/>
        <v>0</v>
      </c>
      <c r="P21" s="6">
        <f t="shared" si="5"/>
        <v>0</v>
      </c>
      <c r="Q21" s="36"/>
      <c r="R21" s="61">
        <f t="shared" si="3"/>
        <v>0</v>
      </c>
      <c r="S21" s="65">
        <f t="shared" si="2"/>
        <v>0</v>
      </c>
    </row>
    <row r="22" spans="1:19" s="31" customFormat="1" ht="14.25" customHeight="1" x14ac:dyDescent="0.3">
      <c r="A22" s="568"/>
      <c r="B22" s="135"/>
      <c r="C22" s="24"/>
      <c r="D22" s="33"/>
      <c r="E22" s="33"/>
      <c r="F22" s="28">
        <f t="shared" si="4"/>
        <v>0</v>
      </c>
      <c r="G22" s="34"/>
      <c r="H22" s="45"/>
      <c r="I22" s="34"/>
      <c r="J22" s="35"/>
      <c r="K22" s="35"/>
      <c r="L22" s="35"/>
      <c r="M22" s="35"/>
      <c r="N22" s="35"/>
      <c r="O22" s="38">
        <f t="shared" si="6"/>
        <v>0</v>
      </c>
      <c r="P22" s="6">
        <f t="shared" si="5"/>
        <v>0</v>
      </c>
      <c r="Q22" s="36"/>
      <c r="R22" s="61">
        <f t="shared" si="3"/>
        <v>0</v>
      </c>
      <c r="S22" s="65">
        <f t="shared" si="2"/>
        <v>0</v>
      </c>
    </row>
    <row r="23" spans="1:19" s="31" customFormat="1" ht="14.25" customHeight="1" x14ac:dyDescent="0.3">
      <c r="A23" s="568"/>
      <c r="B23" s="135"/>
      <c r="C23" s="24"/>
      <c r="D23" s="33"/>
      <c r="E23" s="33"/>
      <c r="F23" s="28">
        <f t="shared" si="4"/>
        <v>0</v>
      </c>
      <c r="G23" s="34"/>
      <c r="H23" s="45"/>
      <c r="I23" s="34"/>
      <c r="J23" s="35"/>
      <c r="K23" s="35"/>
      <c r="L23" s="35"/>
      <c r="M23" s="35"/>
      <c r="N23" s="35"/>
      <c r="O23" s="38">
        <f t="shared" si="6"/>
        <v>0</v>
      </c>
      <c r="P23" s="6">
        <f t="shared" si="5"/>
        <v>0</v>
      </c>
      <c r="Q23" s="36"/>
      <c r="R23" s="61">
        <f t="shared" si="3"/>
        <v>0</v>
      </c>
      <c r="S23" s="65">
        <f t="shared" si="2"/>
        <v>0</v>
      </c>
    </row>
    <row r="24" spans="1:19" s="31" customFormat="1" ht="14.25" customHeight="1" x14ac:dyDescent="0.3">
      <c r="A24" s="568"/>
      <c r="B24" s="135"/>
      <c r="C24" s="24"/>
      <c r="D24" s="33"/>
      <c r="E24" s="33"/>
      <c r="F24" s="28">
        <f t="shared" si="4"/>
        <v>0</v>
      </c>
      <c r="G24" s="34"/>
      <c r="H24" s="45"/>
      <c r="I24" s="34"/>
      <c r="J24" s="35"/>
      <c r="K24" s="35"/>
      <c r="L24" s="35"/>
      <c r="M24" s="35"/>
      <c r="N24" s="35"/>
      <c r="O24" s="38">
        <f t="shared" si="6"/>
        <v>0</v>
      </c>
      <c r="P24" s="6">
        <f t="shared" si="5"/>
        <v>0</v>
      </c>
      <c r="Q24" s="36"/>
      <c r="R24" s="61">
        <f t="shared" si="3"/>
        <v>0</v>
      </c>
      <c r="S24" s="65">
        <f t="shared" si="2"/>
        <v>0</v>
      </c>
    </row>
    <row r="25" spans="1:19" s="31" customFormat="1" ht="14.25" customHeight="1" x14ac:dyDescent="0.3">
      <c r="A25" s="568"/>
      <c r="B25" s="135"/>
      <c r="C25" s="24"/>
      <c r="D25" s="33"/>
      <c r="E25" s="33"/>
      <c r="F25" s="28">
        <f t="shared" si="4"/>
        <v>0</v>
      </c>
      <c r="G25" s="34"/>
      <c r="H25" s="45"/>
      <c r="I25" s="34"/>
      <c r="J25" s="35"/>
      <c r="K25" s="35"/>
      <c r="L25" s="35"/>
      <c r="M25" s="35"/>
      <c r="N25" s="35"/>
      <c r="O25" s="38">
        <f t="shared" si="6"/>
        <v>0</v>
      </c>
      <c r="P25" s="6">
        <f t="shared" si="5"/>
        <v>0</v>
      </c>
      <c r="Q25" s="36"/>
      <c r="R25" s="61">
        <f t="shared" si="3"/>
        <v>0</v>
      </c>
      <c r="S25" s="65">
        <f t="shared" si="2"/>
        <v>0</v>
      </c>
    </row>
    <row r="26" spans="1:19" s="31" customFormat="1" ht="14.4" x14ac:dyDescent="0.3">
      <c r="A26" s="568"/>
      <c r="B26" s="135"/>
      <c r="C26" s="24"/>
      <c r="D26" s="33"/>
      <c r="E26" s="33"/>
      <c r="F26" s="28">
        <f t="shared" si="4"/>
        <v>0</v>
      </c>
      <c r="G26" s="34"/>
      <c r="H26" s="45"/>
      <c r="I26" s="34"/>
      <c r="J26" s="35"/>
      <c r="K26" s="35"/>
      <c r="L26" s="35"/>
      <c r="M26" s="35"/>
      <c r="N26" s="35"/>
      <c r="O26" s="38">
        <f>SUM(E26*D26)*(H26+J26+L26+N26)</f>
        <v>0</v>
      </c>
      <c r="P26" s="6">
        <f t="shared" si="5"/>
        <v>0</v>
      </c>
      <c r="Q26" s="36"/>
      <c r="R26" s="61">
        <f>SUM(D26*E26*(Q26))</f>
        <v>0</v>
      </c>
      <c r="S26" s="65">
        <f t="shared" si="2"/>
        <v>0</v>
      </c>
    </row>
    <row r="27" spans="1:19" s="31" customFormat="1" ht="14.25" customHeight="1" x14ac:dyDescent="0.3">
      <c r="A27" s="568"/>
      <c r="B27" s="136"/>
      <c r="C27" s="24"/>
      <c r="D27" s="33"/>
      <c r="E27" s="33"/>
      <c r="F27" s="28">
        <f t="shared" si="4"/>
        <v>0</v>
      </c>
      <c r="G27" s="34"/>
      <c r="H27" s="45"/>
      <c r="I27" s="34"/>
      <c r="J27" s="45"/>
      <c r="K27" s="35"/>
      <c r="L27" s="35"/>
      <c r="M27" s="35"/>
      <c r="N27" s="35"/>
      <c r="O27" s="38">
        <f t="shared" si="6"/>
        <v>0</v>
      </c>
      <c r="P27" s="6">
        <f t="shared" si="5"/>
        <v>0</v>
      </c>
      <c r="Q27" s="36"/>
      <c r="R27" s="61">
        <f t="shared" si="3"/>
        <v>0</v>
      </c>
      <c r="S27" s="65">
        <f t="shared" si="2"/>
        <v>0</v>
      </c>
    </row>
    <row r="28" spans="1:19" s="31" customFormat="1" ht="14.25" customHeight="1" x14ac:dyDescent="0.3">
      <c r="A28" s="568"/>
      <c r="B28" s="23"/>
      <c r="C28" s="24"/>
      <c r="D28" s="33"/>
      <c r="E28" s="33"/>
      <c r="F28" s="28">
        <f t="shared" si="4"/>
        <v>0</v>
      </c>
      <c r="G28" s="34"/>
      <c r="H28" s="45"/>
      <c r="I28" s="34"/>
      <c r="J28" s="35"/>
      <c r="K28" s="35"/>
      <c r="L28" s="35"/>
      <c r="M28" s="35"/>
      <c r="N28" s="35"/>
      <c r="O28" s="38">
        <f t="shared" si="6"/>
        <v>0</v>
      </c>
      <c r="P28" s="6">
        <f t="shared" si="5"/>
        <v>0</v>
      </c>
      <c r="Q28" s="36"/>
      <c r="R28" s="61">
        <f t="shared" si="3"/>
        <v>0</v>
      </c>
      <c r="S28" s="65">
        <f t="shared" si="2"/>
        <v>0</v>
      </c>
    </row>
    <row r="29" spans="1:19" s="31" customFormat="1" ht="14.25" customHeight="1" x14ac:dyDescent="0.3">
      <c r="A29" s="568"/>
      <c r="B29" s="23"/>
      <c r="C29" s="24"/>
      <c r="D29" s="33"/>
      <c r="E29" s="33"/>
      <c r="F29" s="28">
        <f t="shared" si="4"/>
        <v>0</v>
      </c>
      <c r="G29" s="34"/>
      <c r="H29" s="45"/>
      <c r="I29" s="34"/>
      <c r="J29" s="35"/>
      <c r="K29" s="35"/>
      <c r="L29" s="35"/>
      <c r="M29" s="35"/>
      <c r="N29" s="35"/>
      <c r="O29" s="38">
        <f t="shared" si="6"/>
        <v>0</v>
      </c>
      <c r="P29" s="6">
        <f t="shared" si="5"/>
        <v>0</v>
      </c>
      <c r="Q29" s="36"/>
      <c r="R29" s="61">
        <f t="shared" si="3"/>
        <v>0</v>
      </c>
      <c r="S29" s="65">
        <f t="shared" si="2"/>
        <v>0</v>
      </c>
    </row>
    <row r="30" spans="1:19" s="31" customFormat="1" ht="14.25" customHeight="1" x14ac:dyDescent="0.3">
      <c r="A30" s="568"/>
      <c r="B30" s="23"/>
      <c r="C30" s="24"/>
      <c r="D30" s="33"/>
      <c r="E30" s="33"/>
      <c r="F30" s="28">
        <f t="shared" si="4"/>
        <v>0</v>
      </c>
      <c r="G30" s="34"/>
      <c r="H30" s="45"/>
      <c r="I30" s="34"/>
      <c r="J30" s="35"/>
      <c r="K30" s="35"/>
      <c r="L30" s="35"/>
      <c r="M30" s="35"/>
      <c r="N30" s="35"/>
      <c r="O30" s="38">
        <f t="shared" si="6"/>
        <v>0</v>
      </c>
      <c r="P30" s="6">
        <f t="shared" si="5"/>
        <v>0</v>
      </c>
      <c r="Q30" s="36"/>
      <c r="R30" s="61">
        <f t="shared" si="3"/>
        <v>0</v>
      </c>
      <c r="S30" s="65">
        <f t="shared" si="2"/>
        <v>0</v>
      </c>
    </row>
    <row r="31" spans="1:19" s="31" customFormat="1" ht="14.25" customHeight="1" x14ac:dyDescent="0.3">
      <c r="A31" s="568"/>
      <c r="B31" s="23"/>
      <c r="C31" s="24"/>
      <c r="D31" s="33"/>
      <c r="E31" s="33"/>
      <c r="F31" s="37">
        <f t="shared" si="4"/>
        <v>0</v>
      </c>
      <c r="G31" s="34"/>
      <c r="H31" s="45"/>
      <c r="I31" s="34"/>
      <c r="J31" s="35"/>
      <c r="K31" s="35"/>
      <c r="L31" s="35"/>
      <c r="M31" s="35"/>
      <c r="N31" s="35"/>
      <c r="O31" s="38">
        <f t="shared" si="6"/>
        <v>0</v>
      </c>
      <c r="P31" s="6">
        <f>C31-H31-J31-L31-N31</f>
        <v>0</v>
      </c>
      <c r="Q31" s="36"/>
      <c r="R31" s="61">
        <f t="shared" si="3"/>
        <v>0</v>
      </c>
      <c r="S31" s="65">
        <f t="shared" si="2"/>
        <v>0</v>
      </c>
    </row>
    <row r="32" spans="1:19" s="31" customFormat="1" ht="14.25" customHeight="1" x14ac:dyDescent="0.3">
      <c r="A32" s="568"/>
      <c r="B32" s="23"/>
      <c r="C32" s="24"/>
      <c r="D32" s="33"/>
      <c r="E32" s="33"/>
      <c r="F32" s="37">
        <f t="shared" si="4"/>
        <v>0</v>
      </c>
      <c r="G32" s="34"/>
      <c r="H32" s="66"/>
      <c r="I32" s="34"/>
      <c r="J32" s="35"/>
      <c r="K32" s="34"/>
      <c r="L32" s="35"/>
      <c r="M32" s="34"/>
      <c r="N32" s="35"/>
      <c r="O32" s="38">
        <f t="shared" si="6"/>
        <v>0</v>
      </c>
      <c r="P32" s="6">
        <f t="shared" si="5"/>
        <v>0</v>
      </c>
      <c r="Q32" s="36"/>
      <c r="R32" s="61">
        <f t="shared" si="3"/>
        <v>0</v>
      </c>
      <c r="S32" s="65">
        <f t="shared" si="2"/>
        <v>0</v>
      </c>
    </row>
    <row r="33" spans="1:19" s="31" customFormat="1" ht="14.25" customHeight="1" x14ac:dyDescent="0.3">
      <c r="A33" s="568"/>
      <c r="B33" s="23"/>
      <c r="C33" s="24"/>
      <c r="D33" s="33"/>
      <c r="E33" s="33"/>
      <c r="F33" s="37">
        <f t="shared" si="4"/>
        <v>0</v>
      </c>
      <c r="G33" s="34"/>
      <c r="H33" s="45"/>
      <c r="I33" s="34"/>
      <c r="J33" s="35"/>
      <c r="K33" s="35"/>
      <c r="L33" s="35"/>
      <c r="M33" s="35"/>
      <c r="N33" s="35"/>
      <c r="O33" s="38">
        <f t="shared" si="6"/>
        <v>0</v>
      </c>
      <c r="P33" s="6">
        <f t="shared" si="5"/>
        <v>0</v>
      </c>
      <c r="Q33" s="36"/>
      <c r="R33" s="61">
        <f t="shared" si="3"/>
        <v>0</v>
      </c>
      <c r="S33" s="65">
        <f t="shared" si="2"/>
        <v>0</v>
      </c>
    </row>
    <row r="34" spans="1:19" s="31" customFormat="1" ht="14.25" customHeight="1" x14ac:dyDescent="0.3">
      <c r="A34" s="568"/>
      <c r="B34" s="23"/>
      <c r="C34" s="24"/>
      <c r="D34" s="33"/>
      <c r="E34" s="33"/>
      <c r="F34" s="37">
        <f t="shared" si="4"/>
        <v>0</v>
      </c>
      <c r="G34" s="34"/>
      <c r="H34" s="45"/>
      <c r="I34" s="34"/>
      <c r="J34" s="35"/>
      <c r="K34" s="35"/>
      <c r="L34" s="35"/>
      <c r="M34" s="35"/>
      <c r="N34" s="35"/>
      <c r="O34" s="38">
        <f t="shared" si="6"/>
        <v>0</v>
      </c>
      <c r="P34" s="6">
        <f t="shared" si="5"/>
        <v>0</v>
      </c>
      <c r="Q34" s="36"/>
      <c r="R34" s="61">
        <f t="shared" si="3"/>
        <v>0</v>
      </c>
      <c r="S34" s="65">
        <f t="shared" si="2"/>
        <v>0</v>
      </c>
    </row>
    <row r="35" spans="1:19" s="31" customFormat="1" ht="14.25" customHeight="1" x14ac:dyDescent="0.3">
      <c r="A35" s="568"/>
      <c r="B35" s="23"/>
      <c r="C35" s="24"/>
      <c r="D35" s="33"/>
      <c r="E35" s="33"/>
      <c r="F35" s="37">
        <f t="shared" si="4"/>
        <v>0</v>
      </c>
      <c r="G35" s="34"/>
      <c r="H35" s="45"/>
      <c r="I35" s="34"/>
      <c r="J35" s="35"/>
      <c r="K35" s="35"/>
      <c r="L35" s="35"/>
      <c r="M35" s="35"/>
      <c r="N35" s="35"/>
      <c r="O35" s="38">
        <f t="shared" si="6"/>
        <v>0</v>
      </c>
      <c r="P35" s="6">
        <f t="shared" si="5"/>
        <v>0</v>
      </c>
      <c r="Q35" s="36"/>
      <c r="R35" s="61">
        <f t="shared" si="3"/>
        <v>0</v>
      </c>
      <c r="S35" s="65">
        <f t="shared" si="2"/>
        <v>0</v>
      </c>
    </row>
    <row r="36" spans="1:19" s="31" customFormat="1" ht="14.25" customHeight="1" x14ac:dyDescent="0.3">
      <c r="A36" s="568"/>
      <c r="B36" s="23"/>
      <c r="C36" s="24"/>
      <c r="D36" s="33"/>
      <c r="E36" s="33"/>
      <c r="F36" s="37">
        <f t="shared" si="4"/>
        <v>0</v>
      </c>
      <c r="G36" s="34"/>
      <c r="H36" s="45"/>
      <c r="I36" s="34"/>
      <c r="J36" s="35"/>
      <c r="K36" s="35"/>
      <c r="L36" s="35"/>
      <c r="M36" s="35"/>
      <c r="N36" s="35"/>
      <c r="O36" s="38">
        <f t="shared" si="6"/>
        <v>0</v>
      </c>
      <c r="P36" s="6">
        <f t="shared" si="5"/>
        <v>0</v>
      </c>
      <c r="Q36" s="36"/>
      <c r="R36" s="61">
        <f t="shared" si="3"/>
        <v>0</v>
      </c>
      <c r="S36" s="65">
        <f t="shared" si="2"/>
        <v>0</v>
      </c>
    </row>
    <row r="37" spans="1:19" s="31" customFormat="1" ht="14.25" customHeight="1" x14ac:dyDescent="0.3">
      <c r="A37" s="568"/>
      <c r="B37" s="23"/>
      <c r="C37" s="24"/>
      <c r="D37" s="33"/>
      <c r="E37" s="33"/>
      <c r="F37" s="37">
        <f t="shared" si="4"/>
        <v>0</v>
      </c>
      <c r="G37" s="34"/>
      <c r="H37" s="45"/>
      <c r="I37" s="34"/>
      <c r="J37" s="35"/>
      <c r="K37" s="35"/>
      <c r="L37" s="35"/>
      <c r="M37" s="35"/>
      <c r="N37" s="35"/>
      <c r="O37" s="38">
        <f t="shared" si="6"/>
        <v>0</v>
      </c>
      <c r="P37" s="6">
        <f t="shared" si="5"/>
        <v>0</v>
      </c>
      <c r="Q37" s="36"/>
      <c r="R37" s="61">
        <f t="shared" si="3"/>
        <v>0</v>
      </c>
      <c r="S37" s="65">
        <f t="shared" si="2"/>
        <v>0</v>
      </c>
    </row>
    <row r="38" spans="1:19" s="31" customFormat="1" ht="14.25" customHeight="1" x14ac:dyDescent="0.3">
      <c r="A38" s="568"/>
      <c r="B38" s="23"/>
      <c r="C38" s="24"/>
      <c r="D38" s="33"/>
      <c r="E38" s="33"/>
      <c r="F38" s="37">
        <f t="shared" si="4"/>
        <v>0</v>
      </c>
      <c r="G38" s="34"/>
      <c r="H38" s="45"/>
      <c r="I38" s="34"/>
      <c r="J38" s="35"/>
      <c r="K38" s="35"/>
      <c r="L38" s="35"/>
      <c r="M38" s="35"/>
      <c r="N38" s="35"/>
      <c r="O38" s="38">
        <f t="shared" si="6"/>
        <v>0</v>
      </c>
      <c r="P38" s="6">
        <f t="shared" si="5"/>
        <v>0</v>
      </c>
      <c r="Q38" s="36"/>
      <c r="R38" s="61">
        <f t="shared" si="3"/>
        <v>0</v>
      </c>
      <c r="S38" s="65">
        <f t="shared" si="2"/>
        <v>0</v>
      </c>
    </row>
    <row r="39" spans="1:19" s="31" customFormat="1" ht="14.25" customHeight="1" x14ac:dyDescent="0.3">
      <c r="A39" s="568"/>
      <c r="B39" s="23"/>
      <c r="C39" s="24"/>
      <c r="D39" s="33"/>
      <c r="E39" s="33"/>
      <c r="F39" s="37">
        <f t="shared" si="4"/>
        <v>0</v>
      </c>
      <c r="G39" s="34"/>
      <c r="H39" s="45"/>
      <c r="I39" s="34"/>
      <c r="J39" s="35"/>
      <c r="K39" s="35"/>
      <c r="L39" s="35"/>
      <c r="M39" s="35"/>
      <c r="N39" s="35"/>
      <c r="O39" s="38">
        <f t="shared" si="6"/>
        <v>0</v>
      </c>
      <c r="P39" s="6">
        <f t="shared" si="5"/>
        <v>0</v>
      </c>
      <c r="Q39" s="36"/>
      <c r="R39" s="61">
        <f t="shared" si="3"/>
        <v>0</v>
      </c>
      <c r="S39" s="65">
        <f t="shared" si="2"/>
        <v>0</v>
      </c>
    </row>
    <row r="40" spans="1:19" s="31" customFormat="1" ht="14.25" customHeight="1" x14ac:dyDescent="0.3">
      <c r="A40" s="568"/>
      <c r="B40" s="23"/>
      <c r="C40" s="24"/>
      <c r="D40" s="33"/>
      <c r="E40" s="33"/>
      <c r="F40" s="37">
        <f t="shared" si="4"/>
        <v>0</v>
      </c>
      <c r="G40" s="34"/>
      <c r="H40" s="45"/>
      <c r="I40" s="34"/>
      <c r="J40" s="35"/>
      <c r="K40" s="35"/>
      <c r="L40" s="35"/>
      <c r="M40" s="35"/>
      <c r="N40" s="35"/>
      <c r="O40" s="38">
        <f t="shared" si="6"/>
        <v>0</v>
      </c>
      <c r="P40" s="6">
        <f t="shared" si="5"/>
        <v>0</v>
      </c>
      <c r="Q40" s="36"/>
      <c r="R40" s="61">
        <f t="shared" si="3"/>
        <v>0</v>
      </c>
      <c r="S40" s="65">
        <f t="shared" si="2"/>
        <v>0</v>
      </c>
    </row>
    <row r="41" spans="1:19" s="31" customFormat="1" ht="14.25" customHeight="1" x14ac:dyDescent="0.3">
      <c r="A41" s="568"/>
      <c r="B41" s="23"/>
      <c r="C41" s="24"/>
      <c r="D41" s="33"/>
      <c r="E41" s="33"/>
      <c r="F41" s="37">
        <f t="shared" si="4"/>
        <v>0</v>
      </c>
      <c r="G41" s="34"/>
      <c r="H41" s="35"/>
      <c r="I41" s="34"/>
      <c r="J41" s="35"/>
      <c r="K41" s="35"/>
      <c r="L41" s="35"/>
      <c r="M41" s="35"/>
      <c r="N41" s="35"/>
      <c r="O41" s="38">
        <f t="shared" si="6"/>
        <v>0</v>
      </c>
      <c r="P41" s="6">
        <f t="shared" si="5"/>
        <v>0</v>
      </c>
      <c r="Q41" s="36"/>
      <c r="R41" s="61">
        <f t="shared" si="3"/>
        <v>0</v>
      </c>
      <c r="S41" s="65">
        <f t="shared" si="2"/>
        <v>0</v>
      </c>
    </row>
    <row r="42" spans="1:19" s="31" customFormat="1" ht="14.25" customHeight="1" x14ac:dyDescent="0.3">
      <c r="A42" s="568"/>
      <c r="B42" s="23"/>
      <c r="C42" s="24"/>
      <c r="D42" s="33"/>
      <c r="E42" s="33"/>
      <c r="F42" s="37">
        <f t="shared" si="4"/>
        <v>0</v>
      </c>
      <c r="G42" s="34"/>
      <c r="H42" s="45"/>
      <c r="I42" s="34"/>
      <c r="J42" s="35"/>
      <c r="K42" s="35"/>
      <c r="L42" s="35"/>
      <c r="M42" s="35"/>
      <c r="N42" s="35"/>
      <c r="O42" s="38">
        <f t="shared" si="6"/>
        <v>0</v>
      </c>
      <c r="P42" s="6">
        <f t="shared" si="5"/>
        <v>0</v>
      </c>
      <c r="Q42" s="36"/>
      <c r="R42" s="61">
        <f t="shared" si="3"/>
        <v>0</v>
      </c>
      <c r="S42" s="65">
        <f t="shared" si="2"/>
        <v>0</v>
      </c>
    </row>
    <row r="43" spans="1:19" s="31" customFormat="1" ht="14.25" customHeight="1" x14ac:dyDescent="0.3">
      <c r="A43" s="568"/>
      <c r="B43" s="23"/>
      <c r="C43" s="24"/>
      <c r="D43" s="33"/>
      <c r="E43" s="33"/>
      <c r="F43" s="37">
        <f t="shared" si="4"/>
        <v>0</v>
      </c>
      <c r="G43" s="34"/>
      <c r="H43" s="45"/>
      <c r="I43" s="34"/>
      <c r="J43" s="35"/>
      <c r="K43" s="35"/>
      <c r="L43" s="35"/>
      <c r="M43" s="35"/>
      <c r="N43" s="35"/>
      <c r="O43" s="38">
        <f t="shared" si="6"/>
        <v>0</v>
      </c>
      <c r="P43" s="6">
        <f t="shared" si="5"/>
        <v>0</v>
      </c>
      <c r="Q43" s="36"/>
      <c r="R43" s="61">
        <f t="shared" si="3"/>
        <v>0</v>
      </c>
      <c r="S43" s="65">
        <f t="shared" si="2"/>
        <v>0</v>
      </c>
    </row>
    <row r="44" spans="1:19" s="31" customFormat="1" ht="14.25" customHeight="1" x14ac:dyDescent="0.3">
      <c r="A44" s="568"/>
      <c r="B44" s="23"/>
      <c r="C44" s="24"/>
      <c r="D44" s="33"/>
      <c r="E44" s="33"/>
      <c r="F44" s="37">
        <f t="shared" si="4"/>
        <v>0</v>
      </c>
      <c r="G44" s="34"/>
      <c r="H44" s="45"/>
      <c r="I44" s="34"/>
      <c r="J44" s="35"/>
      <c r="K44" s="35"/>
      <c r="L44" s="35"/>
      <c r="M44" s="35"/>
      <c r="N44" s="35"/>
      <c r="O44" s="38">
        <f t="shared" si="6"/>
        <v>0</v>
      </c>
      <c r="P44" s="6">
        <f t="shared" si="5"/>
        <v>0</v>
      </c>
      <c r="Q44" s="36"/>
      <c r="R44" s="61">
        <f t="shared" si="3"/>
        <v>0</v>
      </c>
      <c r="S44" s="65">
        <f t="shared" si="2"/>
        <v>0</v>
      </c>
    </row>
    <row r="45" spans="1:19" s="31" customFormat="1" ht="14.25" customHeight="1" x14ac:dyDescent="0.3">
      <c r="A45" s="568"/>
      <c r="B45" s="23"/>
      <c r="C45" s="24"/>
      <c r="D45" s="33"/>
      <c r="E45" s="33"/>
      <c r="F45" s="37">
        <f t="shared" si="4"/>
        <v>0</v>
      </c>
      <c r="G45" s="34"/>
      <c r="H45" s="45"/>
      <c r="I45" s="34"/>
      <c r="J45" s="35"/>
      <c r="K45" s="35"/>
      <c r="L45" s="35"/>
      <c r="M45" s="35"/>
      <c r="N45" s="35"/>
      <c r="O45" s="38">
        <f t="shared" si="6"/>
        <v>0</v>
      </c>
      <c r="P45" s="6">
        <f t="shared" si="5"/>
        <v>0</v>
      </c>
      <c r="Q45" s="36"/>
      <c r="R45" s="61">
        <f t="shared" si="3"/>
        <v>0</v>
      </c>
      <c r="S45" s="65">
        <f t="shared" si="2"/>
        <v>0</v>
      </c>
    </row>
    <row r="46" spans="1:19" s="31" customFormat="1" ht="14.25" customHeight="1" x14ac:dyDescent="0.3">
      <c r="A46" s="568"/>
      <c r="B46" s="23"/>
      <c r="C46" s="24"/>
      <c r="D46" s="33"/>
      <c r="E46" s="33"/>
      <c r="F46" s="37">
        <f t="shared" si="4"/>
        <v>0</v>
      </c>
      <c r="G46" s="34"/>
      <c r="H46" s="45"/>
      <c r="I46" s="34"/>
      <c r="J46" s="35"/>
      <c r="K46" s="35"/>
      <c r="L46" s="35"/>
      <c r="M46" s="35"/>
      <c r="N46" s="35"/>
      <c r="O46" s="38">
        <f t="shared" si="6"/>
        <v>0</v>
      </c>
      <c r="P46" s="6">
        <f t="shared" si="5"/>
        <v>0</v>
      </c>
      <c r="Q46" s="36"/>
      <c r="R46" s="61">
        <f t="shared" si="3"/>
        <v>0</v>
      </c>
      <c r="S46" s="65">
        <f t="shared" si="2"/>
        <v>0</v>
      </c>
    </row>
    <row r="47" spans="1:19" s="31" customFormat="1" ht="14.25" customHeight="1" x14ac:dyDescent="0.3">
      <c r="A47" s="568"/>
      <c r="B47" s="23"/>
      <c r="C47" s="24"/>
      <c r="D47" s="33"/>
      <c r="E47" s="33"/>
      <c r="F47" s="37">
        <f t="shared" si="4"/>
        <v>0</v>
      </c>
      <c r="G47" s="34"/>
      <c r="H47" s="45"/>
      <c r="I47" s="34"/>
      <c r="J47" s="35"/>
      <c r="K47" s="35"/>
      <c r="L47" s="35"/>
      <c r="M47" s="35"/>
      <c r="N47" s="35"/>
      <c r="O47" s="38">
        <f t="shared" si="6"/>
        <v>0</v>
      </c>
      <c r="P47" s="6">
        <f t="shared" si="5"/>
        <v>0</v>
      </c>
      <c r="Q47" s="36"/>
      <c r="R47" s="61">
        <f t="shared" si="3"/>
        <v>0</v>
      </c>
      <c r="S47" s="65">
        <f t="shared" si="2"/>
        <v>0</v>
      </c>
    </row>
    <row r="48" spans="1:19" s="31" customFormat="1" ht="14.25" customHeight="1" x14ac:dyDescent="0.3">
      <c r="A48" s="568"/>
      <c r="B48" s="81"/>
      <c r="C48" s="24"/>
      <c r="D48" s="33"/>
      <c r="E48" s="33"/>
      <c r="F48" s="37">
        <f t="shared" si="4"/>
        <v>0</v>
      </c>
      <c r="G48" s="34"/>
      <c r="H48" s="45"/>
      <c r="I48" s="34"/>
      <c r="J48" s="35"/>
      <c r="K48" s="35"/>
      <c r="L48" s="35"/>
      <c r="M48" s="35"/>
      <c r="N48" s="35"/>
      <c r="O48" s="38">
        <f t="shared" si="6"/>
        <v>0</v>
      </c>
      <c r="P48" s="6">
        <f t="shared" si="5"/>
        <v>0</v>
      </c>
      <c r="Q48" s="36"/>
      <c r="R48" s="61">
        <f t="shared" si="3"/>
        <v>0</v>
      </c>
      <c r="S48" s="65">
        <f t="shared" si="2"/>
        <v>0</v>
      </c>
    </row>
    <row r="49" spans="1:19" s="31" customFormat="1" ht="14.25" customHeight="1" x14ac:dyDescent="0.3">
      <c r="A49" s="568"/>
      <c r="B49" s="27"/>
      <c r="C49" s="24"/>
      <c r="D49" s="33"/>
      <c r="E49" s="33"/>
      <c r="F49" s="37">
        <f t="shared" si="4"/>
        <v>0</v>
      </c>
      <c r="G49" s="34"/>
      <c r="H49" s="45"/>
      <c r="I49" s="34"/>
      <c r="J49" s="45"/>
      <c r="K49" s="35"/>
      <c r="L49" s="35"/>
      <c r="M49" s="35"/>
      <c r="N49" s="35"/>
      <c r="O49" s="38">
        <f t="shared" si="6"/>
        <v>0</v>
      </c>
      <c r="P49" s="6">
        <f t="shared" si="5"/>
        <v>0</v>
      </c>
      <c r="Q49" s="36"/>
      <c r="R49" s="61">
        <f t="shared" si="3"/>
        <v>0</v>
      </c>
      <c r="S49" s="65">
        <f t="shared" si="2"/>
        <v>0</v>
      </c>
    </row>
    <row r="50" spans="1:19" s="31" customFormat="1" ht="14.25" customHeight="1" x14ac:dyDescent="0.3">
      <c r="A50" s="568"/>
      <c r="B50" s="27"/>
      <c r="C50" s="24"/>
      <c r="D50" s="33"/>
      <c r="E50" s="33"/>
      <c r="F50" s="37">
        <f t="shared" si="4"/>
        <v>0</v>
      </c>
      <c r="G50" s="34"/>
      <c r="H50" s="45"/>
      <c r="I50" s="34"/>
      <c r="J50" s="45"/>
      <c r="K50" s="35"/>
      <c r="L50" s="35"/>
      <c r="M50" s="35"/>
      <c r="N50" s="35"/>
      <c r="O50" s="38">
        <f t="shared" si="6"/>
        <v>0</v>
      </c>
      <c r="P50" s="6">
        <f t="shared" si="5"/>
        <v>0</v>
      </c>
      <c r="Q50" s="36"/>
      <c r="R50" s="61">
        <f t="shared" si="3"/>
        <v>0</v>
      </c>
      <c r="S50" s="65">
        <f t="shared" si="2"/>
        <v>0</v>
      </c>
    </row>
    <row r="51" spans="1:19" s="31" customFormat="1" ht="14.25" customHeight="1" x14ac:dyDescent="0.3">
      <c r="A51" s="568"/>
      <c r="B51" s="27"/>
      <c r="C51" s="24"/>
      <c r="D51" s="33"/>
      <c r="E51" s="33"/>
      <c r="F51" s="37">
        <f t="shared" si="4"/>
        <v>0</v>
      </c>
      <c r="G51" s="34"/>
      <c r="H51" s="45"/>
      <c r="I51" s="34"/>
      <c r="J51" s="35"/>
      <c r="K51" s="35"/>
      <c r="L51" s="35"/>
      <c r="M51" s="35"/>
      <c r="N51" s="35"/>
      <c r="O51" s="38">
        <f t="shared" si="6"/>
        <v>0</v>
      </c>
      <c r="P51" s="6">
        <f t="shared" si="5"/>
        <v>0</v>
      </c>
      <c r="Q51" s="36"/>
      <c r="R51" s="61">
        <f t="shared" si="3"/>
        <v>0</v>
      </c>
      <c r="S51" s="65">
        <f t="shared" si="2"/>
        <v>0</v>
      </c>
    </row>
    <row r="52" spans="1:19" s="31" customFormat="1" ht="14.25" customHeight="1" x14ac:dyDescent="0.3">
      <c r="A52" s="568"/>
      <c r="B52" s="27"/>
      <c r="C52" s="24"/>
      <c r="D52" s="33"/>
      <c r="E52" s="33"/>
      <c r="F52" s="37">
        <f t="shared" si="4"/>
        <v>0</v>
      </c>
      <c r="G52" s="34"/>
      <c r="H52" s="45"/>
      <c r="I52" s="34"/>
      <c r="J52" s="35"/>
      <c r="K52" s="35"/>
      <c r="L52" s="35"/>
      <c r="M52" s="35"/>
      <c r="N52" s="35"/>
      <c r="O52" s="38">
        <f t="shared" si="6"/>
        <v>0</v>
      </c>
      <c r="P52" s="6">
        <f t="shared" si="5"/>
        <v>0</v>
      </c>
      <c r="Q52" s="36"/>
      <c r="R52" s="61">
        <f t="shared" si="3"/>
        <v>0</v>
      </c>
      <c r="S52" s="65">
        <f t="shared" si="2"/>
        <v>0</v>
      </c>
    </row>
    <row r="53" spans="1:19" s="31" customFormat="1" ht="14.25" customHeight="1" x14ac:dyDescent="0.3">
      <c r="A53" s="568"/>
      <c r="B53" s="27"/>
      <c r="C53" s="24"/>
      <c r="D53" s="33"/>
      <c r="E53" s="33"/>
      <c r="F53" s="37">
        <f t="shared" si="4"/>
        <v>0</v>
      </c>
      <c r="G53" s="34"/>
      <c r="H53" s="45"/>
      <c r="I53" s="34"/>
      <c r="J53" s="35"/>
      <c r="K53" s="35"/>
      <c r="L53" s="35"/>
      <c r="M53" s="35"/>
      <c r="N53" s="35"/>
      <c r="O53" s="38">
        <f t="shared" si="6"/>
        <v>0</v>
      </c>
      <c r="P53" s="6">
        <f t="shared" si="5"/>
        <v>0</v>
      </c>
      <c r="Q53" s="36"/>
      <c r="R53" s="61">
        <f t="shared" si="3"/>
        <v>0</v>
      </c>
      <c r="S53" s="65">
        <f t="shared" si="2"/>
        <v>0</v>
      </c>
    </row>
    <row r="54" spans="1:19" s="31" customFormat="1" ht="14.25" customHeight="1" x14ac:dyDescent="0.3">
      <c r="A54" s="568"/>
      <c r="B54" s="27"/>
      <c r="C54" s="24"/>
      <c r="D54" s="33"/>
      <c r="E54" s="33"/>
      <c r="F54" s="37">
        <f t="shared" si="4"/>
        <v>0</v>
      </c>
      <c r="G54" s="34"/>
      <c r="H54" s="45"/>
      <c r="I54" s="34"/>
      <c r="J54" s="35"/>
      <c r="K54" s="35"/>
      <c r="L54" s="35"/>
      <c r="M54" s="35"/>
      <c r="N54" s="35"/>
      <c r="O54" s="38">
        <f t="shared" si="6"/>
        <v>0</v>
      </c>
      <c r="P54" s="6">
        <f t="shared" si="5"/>
        <v>0</v>
      </c>
      <c r="Q54" s="36"/>
      <c r="R54" s="61">
        <f t="shared" si="3"/>
        <v>0</v>
      </c>
      <c r="S54" s="65">
        <f t="shared" si="2"/>
        <v>0</v>
      </c>
    </row>
    <row r="55" spans="1:19" s="31" customFormat="1" ht="14.25" customHeight="1" x14ac:dyDescent="0.3">
      <c r="A55" s="568"/>
      <c r="B55" s="27"/>
      <c r="C55" s="24"/>
      <c r="D55" s="33"/>
      <c r="E55" s="33"/>
      <c r="F55" s="37">
        <f t="shared" si="4"/>
        <v>0</v>
      </c>
      <c r="G55" s="34"/>
      <c r="H55" s="45"/>
      <c r="I55" s="34"/>
      <c r="J55" s="35"/>
      <c r="K55" s="35"/>
      <c r="L55" s="35"/>
      <c r="M55" s="35"/>
      <c r="N55" s="35"/>
      <c r="O55" s="38">
        <f t="shared" si="6"/>
        <v>0</v>
      </c>
      <c r="P55" s="6">
        <f t="shared" si="5"/>
        <v>0</v>
      </c>
      <c r="Q55" s="36"/>
      <c r="R55" s="61">
        <f t="shared" si="3"/>
        <v>0</v>
      </c>
      <c r="S55" s="65">
        <f t="shared" si="2"/>
        <v>0</v>
      </c>
    </row>
    <row r="56" spans="1:19" s="31" customFormat="1" ht="14.25" customHeight="1" x14ac:dyDescent="0.3">
      <c r="A56" s="568"/>
      <c r="B56" s="27"/>
      <c r="C56" s="24"/>
      <c r="D56" s="33"/>
      <c r="E56" s="33"/>
      <c r="F56" s="37">
        <f t="shared" si="4"/>
        <v>0</v>
      </c>
      <c r="G56" s="34"/>
      <c r="H56" s="45"/>
      <c r="I56" s="34"/>
      <c r="J56" s="35"/>
      <c r="K56" s="35"/>
      <c r="L56" s="35"/>
      <c r="M56" s="35"/>
      <c r="N56" s="35"/>
      <c r="O56" s="38">
        <f t="shared" si="6"/>
        <v>0</v>
      </c>
      <c r="P56" s="6">
        <f t="shared" si="5"/>
        <v>0</v>
      </c>
      <c r="Q56" s="36"/>
      <c r="R56" s="61">
        <f t="shared" si="3"/>
        <v>0</v>
      </c>
      <c r="S56" s="65">
        <f t="shared" si="2"/>
        <v>0</v>
      </c>
    </row>
    <row r="57" spans="1:19" s="31" customFormat="1" ht="14.25" customHeight="1" x14ac:dyDescent="0.3">
      <c r="A57" s="568"/>
      <c r="B57" s="27"/>
      <c r="C57" s="24"/>
      <c r="D57" s="33"/>
      <c r="E57" s="33"/>
      <c r="F57" s="37">
        <f t="shared" si="4"/>
        <v>0</v>
      </c>
      <c r="G57" s="34"/>
      <c r="H57" s="45"/>
      <c r="I57" s="34"/>
      <c r="J57" s="35"/>
      <c r="K57" s="35"/>
      <c r="L57" s="35"/>
      <c r="M57" s="35"/>
      <c r="N57" s="35"/>
      <c r="O57" s="38">
        <f t="shared" si="6"/>
        <v>0</v>
      </c>
      <c r="P57" s="6">
        <f t="shared" si="5"/>
        <v>0</v>
      </c>
      <c r="Q57" s="36"/>
      <c r="R57" s="61">
        <f t="shared" si="3"/>
        <v>0</v>
      </c>
      <c r="S57" s="65">
        <f t="shared" si="2"/>
        <v>0</v>
      </c>
    </row>
    <row r="58" spans="1:19" s="31" customFormat="1" ht="14.25" customHeight="1" x14ac:dyDescent="0.3">
      <c r="A58" s="568"/>
      <c r="B58" s="27"/>
      <c r="C58" s="24"/>
      <c r="D58" s="33"/>
      <c r="E58" s="33"/>
      <c r="F58" s="37"/>
      <c r="G58" s="34"/>
      <c r="H58" s="45"/>
      <c r="I58" s="34"/>
      <c r="J58" s="35"/>
      <c r="K58" s="35"/>
      <c r="L58" s="35"/>
      <c r="M58" s="35"/>
      <c r="N58" s="35"/>
      <c r="O58" s="38">
        <f t="shared" si="6"/>
        <v>0</v>
      </c>
      <c r="P58" s="6">
        <f t="shared" si="5"/>
        <v>0</v>
      </c>
      <c r="Q58" s="36"/>
      <c r="R58" s="61">
        <f t="shared" si="3"/>
        <v>0</v>
      </c>
      <c r="S58" s="65">
        <f t="shared" si="2"/>
        <v>0</v>
      </c>
    </row>
    <row r="59" spans="1:19" s="31" customFormat="1" ht="14.25" customHeight="1" x14ac:dyDescent="0.3">
      <c r="A59" s="568"/>
      <c r="B59" s="27"/>
      <c r="C59" s="24"/>
      <c r="D59" s="33"/>
      <c r="E59" s="33"/>
      <c r="F59" s="37"/>
      <c r="G59" s="34"/>
      <c r="H59" s="45"/>
      <c r="I59" s="34"/>
      <c r="J59" s="35"/>
      <c r="K59" s="35"/>
      <c r="L59" s="35"/>
      <c r="M59" s="35"/>
      <c r="N59" s="35"/>
      <c r="O59" s="38">
        <f t="shared" si="6"/>
        <v>0</v>
      </c>
      <c r="P59" s="6">
        <f t="shared" si="5"/>
        <v>0</v>
      </c>
      <c r="Q59" s="36"/>
      <c r="R59" s="61">
        <f t="shared" si="3"/>
        <v>0</v>
      </c>
      <c r="S59" s="65">
        <f t="shared" si="2"/>
        <v>0</v>
      </c>
    </row>
    <row r="60" spans="1:19" s="31" customFormat="1" ht="14.25" customHeight="1" x14ac:dyDescent="0.3">
      <c r="A60" s="568"/>
      <c r="B60" s="27"/>
      <c r="C60" s="24"/>
      <c r="D60" s="33"/>
      <c r="E60" s="33"/>
      <c r="F60" s="37"/>
      <c r="G60" s="34"/>
      <c r="H60" s="45"/>
      <c r="I60" s="34"/>
      <c r="J60" s="35"/>
      <c r="K60" s="35"/>
      <c r="L60" s="35"/>
      <c r="M60" s="35"/>
      <c r="N60" s="35"/>
      <c r="O60" s="38">
        <f t="shared" si="6"/>
        <v>0</v>
      </c>
      <c r="P60" s="6">
        <f t="shared" si="5"/>
        <v>0</v>
      </c>
      <c r="Q60" s="36"/>
      <c r="R60" s="61">
        <f t="shared" si="3"/>
        <v>0</v>
      </c>
      <c r="S60" s="65">
        <f t="shared" si="2"/>
        <v>0</v>
      </c>
    </row>
    <row r="61" spans="1:19" s="31" customFormat="1" ht="14.25" customHeight="1" x14ac:dyDescent="0.3">
      <c r="A61" s="568"/>
      <c r="B61" s="27"/>
      <c r="C61" s="24"/>
      <c r="D61" s="33"/>
      <c r="E61" s="33"/>
      <c r="F61" s="37"/>
      <c r="G61" s="34"/>
      <c r="H61" s="45"/>
      <c r="I61" s="34"/>
      <c r="J61" s="35"/>
      <c r="K61" s="35"/>
      <c r="L61" s="35"/>
      <c r="M61" s="35"/>
      <c r="N61" s="35"/>
      <c r="O61" s="38">
        <f t="shared" si="6"/>
        <v>0</v>
      </c>
      <c r="P61" s="6">
        <f t="shared" si="5"/>
        <v>0</v>
      </c>
      <c r="Q61" s="36"/>
      <c r="R61" s="61">
        <f t="shared" si="3"/>
        <v>0</v>
      </c>
      <c r="S61" s="65">
        <f t="shared" si="2"/>
        <v>0</v>
      </c>
    </row>
    <row r="62" spans="1:19" s="31" customFormat="1" ht="14.25" customHeight="1" x14ac:dyDescent="0.3">
      <c r="A62" s="568"/>
      <c r="B62" s="27"/>
      <c r="C62" s="24"/>
      <c r="D62" s="33"/>
      <c r="E62" s="33"/>
      <c r="F62" s="37"/>
      <c r="G62" s="34"/>
      <c r="H62" s="45"/>
      <c r="I62" s="34"/>
      <c r="J62" s="35"/>
      <c r="K62" s="35"/>
      <c r="L62" s="35"/>
      <c r="M62" s="35"/>
      <c r="N62" s="35"/>
      <c r="O62" s="38">
        <f t="shared" si="6"/>
        <v>0</v>
      </c>
      <c r="P62" s="6">
        <f t="shared" si="5"/>
        <v>0</v>
      </c>
      <c r="Q62" s="36"/>
      <c r="R62" s="61">
        <f t="shared" si="3"/>
        <v>0</v>
      </c>
      <c r="S62" s="65">
        <f t="shared" si="2"/>
        <v>0</v>
      </c>
    </row>
    <row r="63" spans="1:19" ht="14.25" customHeight="1" x14ac:dyDescent="0.3">
      <c r="A63" s="568"/>
      <c r="B63" s="14"/>
      <c r="C63" s="13"/>
      <c r="D63" s="9"/>
      <c r="E63" s="9"/>
      <c r="F63" s="26"/>
      <c r="G63" s="10"/>
      <c r="H63" s="46"/>
      <c r="I63" s="10"/>
      <c r="J63" s="8"/>
      <c r="K63" s="8"/>
      <c r="L63" s="8"/>
      <c r="M63" s="8"/>
      <c r="N63" s="8"/>
      <c r="O63" s="38">
        <f t="shared" si="6"/>
        <v>0</v>
      </c>
      <c r="P63" s="6">
        <f t="shared" si="5"/>
        <v>0</v>
      </c>
      <c r="Q63" s="11"/>
      <c r="R63" s="61">
        <f t="shared" si="3"/>
        <v>0</v>
      </c>
      <c r="S63" s="65">
        <f t="shared" si="2"/>
        <v>0</v>
      </c>
    </row>
    <row r="64" spans="1:19" ht="14.25" customHeight="1" x14ac:dyDescent="0.3">
      <c r="A64" s="568"/>
      <c r="B64" s="14"/>
      <c r="C64" s="13"/>
      <c r="D64" s="9"/>
      <c r="E64" s="9"/>
      <c r="F64" s="26"/>
      <c r="G64" s="10"/>
      <c r="H64" s="46"/>
      <c r="I64" s="10"/>
      <c r="J64" s="8"/>
      <c r="K64" s="8"/>
      <c r="L64" s="8"/>
      <c r="M64" s="8"/>
      <c r="N64" s="8"/>
      <c r="O64" s="38">
        <f t="shared" si="6"/>
        <v>0</v>
      </c>
      <c r="P64" s="6">
        <f t="shared" si="5"/>
        <v>0</v>
      </c>
      <c r="Q64" s="11"/>
      <c r="R64" s="61">
        <f t="shared" si="3"/>
        <v>0</v>
      </c>
      <c r="S64" s="65">
        <f t="shared" si="2"/>
        <v>0</v>
      </c>
    </row>
    <row r="65" spans="1:19" ht="14.25" customHeight="1" x14ac:dyDescent="0.3">
      <c r="A65" s="568"/>
      <c r="B65" s="14"/>
      <c r="C65" s="13"/>
      <c r="D65" s="9"/>
      <c r="E65" s="9"/>
      <c r="F65" s="26"/>
      <c r="G65" s="10"/>
      <c r="H65" s="46"/>
      <c r="I65" s="10"/>
      <c r="J65" s="8"/>
      <c r="K65" s="8"/>
      <c r="L65" s="8"/>
      <c r="M65" s="8"/>
      <c r="N65" s="8"/>
      <c r="O65" s="38">
        <f t="shared" si="6"/>
        <v>0</v>
      </c>
      <c r="P65" s="6">
        <f t="shared" si="5"/>
        <v>0</v>
      </c>
      <c r="Q65" s="11"/>
      <c r="R65" s="61">
        <f t="shared" si="3"/>
        <v>0</v>
      </c>
      <c r="S65" s="65">
        <f t="shared" si="2"/>
        <v>0</v>
      </c>
    </row>
    <row r="66" spans="1:19" ht="14.25" customHeight="1" x14ac:dyDescent="0.3">
      <c r="A66" s="568"/>
      <c r="B66" s="14"/>
      <c r="C66" s="13"/>
      <c r="D66" s="9"/>
      <c r="E66" s="9"/>
      <c r="F66" s="26"/>
      <c r="G66" s="10"/>
      <c r="H66" s="46"/>
      <c r="I66" s="10"/>
      <c r="J66" s="8"/>
      <c r="K66" s="8"/>
      <c r="L66" s="8"/>
      <c r="M66" s="8"/>
      <c r="N66" s="8"/>
      <c r="O66" s="38">
        <f t="shared" si="6"/>
        <v>0</v>
      </c>
      <c r="P66" s="6">
        <f t="shared" si="5"/>
        <v>0</v>
      </c>
      <c r="Q66" s="11"/>
      <c r="R66" s="61">
        <f t="shared" si="3"/>
        <v>0</v>
      </c>
      <c r="S66" s="65">
        <f t="shared" si="2"/>
        <v>0</v>
      </c>
    </row>
    <row r="67" spans="1:19" ht="14.25" customHeight="1" x14ac:dyDescent="0.3">
      <c r="A67" s="568"/>
      <c r="B67" s="14"/>
      <c r="C67" s="13"/>
      <c r="D67" s="9"/>
      <c r="E67" s="9"/>
      <c r="F67" s="26"/>
      <c r="G67" s="10"/>
      <c r="H67" s="46"/>
      <c r="I67" s="10"/>
      <c r="J67" s="8"/>
      <c r="K67" s="8"/>
      <c r="L67" s="8"/>
      <c r="M67" s="8"/>
      <c r="N67" s="8"/>
      <c r="O67" s="38">
        <f t="shared" si="6"/>
        <v>0</v>
      </c>
      <c r="P67" s="6">
        <f t="shared" si="5"/>
        <v>0</v>
      </c>
      <c r="Q67" s="11"/>
      <c r="R67" s="61">
        <f t="shared" si="3"/>
        <v>0</v>
      </c>
      <c r="S67" s="65">
        <f t="shared" ref="S67:S97" si="7">H67+J67+L67+N67-Q67</f>
        <v>0</v>
      </c>
    </row>
    <row r="68" spans="1:19" ht="14.25" customHeight="1" x14ac:dyDescent="0.3">
      <c r="A68" s="568"/>
      <c r="B68" s="14"/>
      <c r="C68" s="13"/>
      <c r="D68" s="9"/>
      <c r="E68" s="9"/>
      <c r="F68" s="26"/>
      <c r="G68" s="10"/>
      <c r="H68" s="46"/>
      <c r="I68" s="10"/>
      <c r="J68" s="8"/>
      <c r="K68" s="8"/>
      <c r="L68" s="8"/>
      <c r="M68" s="8"/>
      <c r="N68" s="8"/>
      <c r="O68" s="38">
        <f t="shared" si="6"/>
        <v>0</v>
      </c>
      <c r="P68" s="6">
        <f t="shared" si="5"/>
        <v>0</v>
      </c>
      <c r="Q68" s="11"/>
      <c r="R68" s="61">
        <f t="shared" ref="R68:R96" si="8">SUM(D68*E68*(Q68))</f>
        <v>0</v>
      </c>
      <c r="S68" s="65">
        <f t="shared" si="7"/>
        <v>0</v>
      </c>
    </row>
    <row r="69" spans="1:19" ht="14.25" customHeight="1" x14ac:dyDescent="0.3">
      <c r="A69" s="568"/>
      <c r="B69" s="14"/>
      <c r="C69" s="13"/>
      <c r="D69" s="9"/>
      <c r="E69" s="9"/>
      <c r="F69" s="26"/>
      <c r="G69" s="10"/>
      <c r="H69" s="46"/>
      <c r="I69" s="10"/>
      <c r="J69" s="8"/>
      <c r="K69" s="8"/>
      <c r="L69" s="8"/>
      <c r="M69" s="8"/>
      <c r="N69" s="8"/>
      <c r="O69" s="38">
        <f t="shared" si="6"/>
        <v>0</v>
      </c>
      <c r="P69" s="6">
        <f t="shared" si="5"/>
        <v>0</v>
      </c>
      <c r="Q69" s="11"/>
      <c r="R69" s="61">
        <f t="shared" si="8"/>
        <v>0</v>
      </c>
      <c r="S69" s="65">
        <f t="shared" si="7"/>
        <v>0</v>
      </c>
    </row>
    <row r="70" spans="1:19" ht="14.25" customHeight="1" x14ac:dyDescent="0.3">
      <c r="A70" s="568"/>
      <c r="B70" s="14"/>
      <c r="C70" s="13"/>
      <c r="D70" s="9"/>
      <c r="E70" s="9"/>
      <c r="F70" s="26"/>
      <c r="G70" s="10"/>
      <c r="H70" s="46"/>
      <c r="I70" s="10"/>
      <c r="J70" s="8"/>
      <c r="K70" s="8"/>
      <c r="L70" s="8"/>
      <c r="M70" s="8"/>
      <c r="N70" s="8"/>
      <c r="O70" s="38">
        <f t="shared" si="6"/>
        <v>0</v>
      </c>
      <c r="P70" s="6">
        <f t="shared" si="5"/>
        <v>0</v>
      </c>
      <c r="Q70" s="11"/>
      <c r="R70" s="61">
        <f t="shared" si="8"/>
        <v>0</v>
      </c>
      <c r="S70" s="65">
        <f t="shared" si="7"/>
        <v>0</v>
      </c>
    </row>
    <row r="71" spans="1:19" ht="14.25" customHeight="1" x14ac:dyDescent="0.3">
      <c r="A71" s="568"/>
      <c r="B71" s="14"/>
      <c r="C71" s="13"/>
      <c r="D71" s="9"/>
      <c r="E71" s="9"/>
      <c r="F71" s="26"/>
      <c r="G71" s="10"/>
      <c r="H71" s="46"/>
      <c r="I71" s="10"/>
      <c r="J71" s="8"/>
      <c r="K71" s="8"/>
      <c r="L71" s="8"/>
      <c r="M71" s="8"/>
      <c r="N71" s="8"/>
      <c r="O71" s="38">
        <f t="shared" si="6"/>
        <v>0</v>
      </c>
      <c r="P71" s="6">
        <f t="shared" si="5"/>
        <v>0</v>
      </c>
      <c r="Q71" s="11"/>
      <c r="R71" s="61">
        <f t="shared" si="8"/>
        <v>0</v>
      </c>
      <c r="S71" s="65">
        <f t="shared" si="7"/>
        <v>0</v>
      </c>
    </row>
    <row r="72" spans="1:19" ht="14.25" customHeight="1" x14ac:dyDescent="0.3">
      <c r="A72" s="568"/>
      <c r="B72" s="14"/>
      <c r="C72" s="13"/>
      <c r="D72" s="9"/>
      <c r="E72" s="9"/>
      <c r="F72" s="26"/>
      <c r="G72" s="10"/>
      <c r="H72" s="46"/>
      <c r="I72" s="10"/>
      <c r="J72" s="8"/>
      <c r="K72" s="8"/>
      <c r="L72" s="8"/>
      <c r="M72" s="8"/>
      <c r="N72" s="8"/>
      <c r="O72" s="38">
        <f t="shared" si="6"/>
        <v>0</v>
      </c>
      <c r="P72" s="6">
        <f t="shared" si="5"/>
        <v>0</v>
      </c>
      <c r="Q72" s="11"/>
      <c r="R72" s="61">
        <f t="shared" si="8"/>
        <v>0</v>
      </c>
      <c r="S72" s="65">
        <f t="shared" si="7"/>
        <v>0</v>
      </c>
    </row>
    <row r="73" spans="1:19" ht="14.25" customHeight="1" x14ac:dyDescent="0.3">
      <c r="A73" s="568"/>
      <c r="B73" s="14"/>
      <c r="C73" s="13"/>
      <c r="D73" s="9"/>
      <c r="E73" s="9"/>
      <c r="F73" s="26"/>
      <c r="G73" s="10"/>
      <c r="H73" s="46"/>
      <c r="I73" s="10"/>
      <c r="J73" s="8"/>
      <c r="K73" s="8"/>
      <c r="L73" s="8"/>
      <c r="M73" s="8"/>
      <c r="N73" s="8"/>
      <c r="O73" s="38">
        <f t="shared" si="6"/>
        <v>0</v>
      </c>
      <c r="P73" s="6">
        <f t="shared" si="5"/>
        <v>0</v>
      </c>
      <c r="Q73" s="11"/>
      <c r="R73" s="61">
        <f t="shared" si="8"/>
        <v>0</v>
      </c>
      <c r="S73" s="65">
        <f t="shared" si="7"/>
        <v>0</v>
      </c>
    </row>
    <row r="74" spans="1:19" ht="14.25" customHeight="1" x14ac:dyDescent="0.3">
      <c r="A74" s="568"/>
      <c r="B74" s="14"/>
      <c r="C74" s="13"/>
      <c r="D74" s="9"/>
      <c r="E74" s="9"/>
      <c r="F74" s="26"/>
      <c r="G74" s="10"/>
      <c r="H74" s="46"/>
      <c r="I74" s="10"/>
      <c r="J74" s="8"/>
      <c r="K74" s="8"/>
      <c r="L74" s="8"/>
      <c r="M74" s="8"/>
      <c r="N74" s="8"/>
      <c r="O74" s="38">
        <f t="shared" si="6"/>
        <v>0</v>
      </c>
      <c r="P74" s="6">
        <f t="shared" si="5"/>
        <v>0</v>
      </c>
      <c r="Q74" s="11"/>
      <c r="R74" s="61">
        <f t="shared" si="8"/>
        <v>0</v>
      </c>
      <c r="S74" s="65">
        <f t="shared" si="7"/>
        <v>0</v>
      </c>
    </row>
    <row r="75" spans="1:19" ht="14.25" customHeight="1" x14ac:dyDescent="0.3">
      <c r="A75" s="568"/>
      <c r="B75" s="14"/>
      <c r="C75" s="13"/>
      <c r="D75" s="9"/>
      <c r="E75" s="9"/>
      <c r="F75" s="26"/>
      <c r="G75" s="10"/>
      <c r="H75" s="46"/>
      <c r="I75" s="10"/>
      <c r="J75" s="8"/>
      <c r="K75" s="8"/>
      <c r="L75" s="8"/>
      <c r="M75" s="8"/>
      <c r="N75" s="8"/>
      <c r="O75" s="38">
        <f t="shared" si="6"/>
        <v>0</v>
      </c>
      <c r="P75" s="6">
        <f t="shared" si="5"/>
        <v>0</v>
      </c>
      <c r="Q75" s="11"/>
      <c r="R75" s="61">
        <f t="shared" si="8"/>
        <v>0</v>
      </c>
      <c r="S75" s="65">
        <f t="shared" si="7"/>
        <v>0</v>
      </c>
    </row>
    <row r="76" spans="1:19" ht="14.25" customHeight="1" x14ac:dyDescent="0.3">
      <c r="A76" s="568"/>
      <c r="B76" s="14"/>
      <c r="C76" s="13"/>
      <c r="D76" s="9"/>
      <c r="E76" s="9"/>
      <c r="F76" s="26"/>
      <c r="G76" s="10"/>
      <c r="H76" s="46"/>
      <c r="I76" s="10"/>
      <c r="J76" s="8"/>
      <c r="K76" s="8"/>
      <c r="L76" s="8"/>
      <c r="M76" s="8"/>
      <c r="N76" s="8"/>
      <c r="O76" s="38">
        <f t="shared" si="6"/>
        <v>0</v>
      </c>
      <c r="P76" s="6">
        <f t="shared" ref="P76:P97" si="9">C76-H76-J76-L76-N76</f>
        <v>0</v>
      </c>
      <c r="Q76" s="11"/>
      <c r="R76" s="61">
        <f t="shared" si="8"/>
        <v>0</v>
      </c>
      <c r="S76" s="65">
        <f t="shared" si="7"/>
        <v>0</v>
      </c>
    </row>
    <row r="77" spans="1:19" ht="14.25" customHeight="1" x14ac:dyDescent="0.3">
      <c r="A77" s="568"/>
      <c r="B77" s="14"/>
      <c r="C77" s="13"/>
      <c r="D77" s="9"/>
      <c r="E77" s="9"/>
      <c r="F77" s="26"/>
      <c r="G77" s="10"/>
      <c r="H77" s="46"/>
      <c r="I77" s="10"/>
      <c r="J77" s="8"/>
      <c r="K77" s="8"/>
      <c r="L77" s="8"/>
      <c r="M77" s="8"/>
      <c r="N77" s="8"/>
      <c r="O77" s="38">
        <f t="shared" si="6"/>
        <v>0</v>
      </c>
      <c r="P77" s="6">
        <f t="shared" si="9"/>
        <v>0</v>
      </c>
      <c r="Q77" s="11"/>
      <c r="R77" s="61">
        <f t="shared" si="8"/>
        <v>0</v>
      </c>
      <c r="S77" s="65">
        <f t="shared" si="7"/>
        <v>0</v>
      </c>
    </row>
    <row r="78" spans="1:19" ht="14.25" customHeight="1" x14ac:dyDescent="0.3">
      <c r="A78" s="568"/>
      <c r="B78" s="14"/>
      <c r="C78" s="13"/>
      <c r="D78" s="9"/>
      <c r="E78" s="9"/>
      <c r="F78" s="26"/>
      <c r="G78" s="10"/>
      <c r="H78" s="46"/>
      <c r="I78" s="10"/>
      <c r="J78" s="8"/>
      <c r="K78" s="8"/>
      <c r="L78" s="8"/>
      <c r="M78" s="8"/>
      <c r="N78" s="8"/>
      <c r="O78" s="38">
        <f t="shared" si="6"/>
        <v>0</v>
      </c>
      <c r="P78" s="6">
        <f t="shared" si="9"/>
        <v>0</v>
      </c>
      <c r="Q78" s="11"/>
      <c r="R78" s="61">
        <f t="shared" si="8"/>
        <v>0</v>
      </c>
      <c r="S78" s="65">
        <f t="shared" si="7"/>
        <v>0</v>
      </c>
    </row>
    <row r="79" spans="1:19" ht="14.25" customHeight="1" x14ac:dyDescent="0.3">
      <c r="A79" s="568"/>
      <c r="B79" s="14"/>
      <c r="C79" s="13"/>
      <c r="D79" s="9"/>
      <c r="E79" s="9"/>
      <c r="F79" s="26"/>
      <c r="G79" s="10"/>
      <c r="H79" s="46"/>
      <c r="I79" s="10"/>
      <c r="J79" s="8"/>
      <c r="K79" s="8"/>
      <c r="L79" s="8"/>
      <c r="M79" s="8"/>
      <c r="N79" s="8"/>
      <c r="O79" s="38">
        <f t="shared" si="6"/>
        <v>0</v>
      </c>
      <c r="P79" s="6">
        <f t="shared" si="9"/>
        <v>0</v>
      </c>
      <c r="Q79" s="11"/>
      <c r="R79" s="61">
        <f t="shared" si="8"/>
        <v>0</v>
      </c>
      <c r="S79" s="65">
        <f t="shared" si="7"/>
        <v>0</v>
      </c>
    </row>
    <row r="80" spans="1:19" ht="14.25" customHeight="1" x14ac:dyDescent="0.3">
      <c r="A80" s="568"/>
      <c r="B80" s="14"/>
      <c r="C80" s="13"/>
      <c r="D80" s="9"/>
      <c r="E80" s="9"/>
      <c r="F80" s="26"/>
      <c r="G80" s="10"/>
      <c r="H80" s="46"/>
      <c r="I80" s="10"/>
      <c r="J80" s="8"/>
      <c r="K80" s="8"/>
      <c r="L80" s="8"/>
      <c r="M80" s="8"/>
      <c r="N80" s="8"/>
      <c r="O80" s="38">
        <f t="shared" ref="O80:O86" si="10">SUM(E80*D80)*(H80+J80+L80+N80)</f>
        <v>0</v>
      </c>
      <c r="P80" s="6">
        <f t="shared" si="9"/>
        <v>0</v>
      </c>
      <c r="Q80" s="11"/>
      <c r="R80" s="61">
        <f t="shared" si="8"/>
        <v>0</v>
      </c>
      <c r="S80" s="65">
        <f t="shared" si="7"/>
        <v>0</v>
      </c>
    </row>
    <row r="81" spans="1:19" ht="14.25" customHeight="1" x14ac:dyDescent="0.3">
      <c r="A81" s="568"/>
      <c r="B81" s="14"/>
      <c r="C81" s="13"/>
      <c r="D81" s="9"/>
      <c r="E81" s="9"/>
      <c r="F81" s="26"/>
      <c r="G81" s="10"/>
      <c r="H81" s="46"/>
      <c r="I81" s="10"/>
      <c r="J81" s="8"/>
      <c r="K81" s="8"/>
      <c r="L81" s="8"/>
      <c r="M81" s="8"/>
      <c r="N81" s="8"/>
      <c r="O81" s="38">
        <f t="shared" si="10"/>
        <v>0</v>
      </c>
      <c r="P81" s="6">
        <f t="shared" si="9"/>
        <v>0</v>
      </c>
      <c r="Q81" s="11"/>
      <c r="R81" s="61">
        <f t="shared" si="8"/>
        <v>0</v>
      </c>
      <c r="S81" s="65">
        <f t="shared" si="7"/>
        <v>0</v>
      </c>
    </row>
    <row r="82" spans="1:19" ht="14.25" customHeight="1" x14ac:dyDescent="0.3">
      <c r="A82" s="568"/>
      <c r="B82" s="14"/>
      <c r="C82" s="13"/>
      <c r="D82" s="9"/>
      <c r="E82" s="9"/>
      <c r="F82" s="26"/>
      <c r="G82" s="10"/>
      <c r="H82" s="46"/>
      <c r="I82" s="10"/>
      <c r="J82" s="8"/>
      <c r="K82" s="8"/>
      <c r="L82" s="8"/>
      <c r="M82" s="8"/>
      <c r="N82" s="8"/>
      <c r="O82" s="38">
        <f t="shared" si="10"/>
        <v>0</v>
      </c>
      <c r="P82" s="6">
        <f t="shared" si="9"/>
        <v>0</v>
      </c>
      <c r="Q82" s="11"/>
      <c r="R82" s="61">
        <f t="shared" si="8"/>
        <v>0</v>
      </c>
      <c r="S82" s="65">
        <f t="shared" si="7"/>
        <v>0</v>
      </c>
    </row>
    <row r="83" spans="1:19" ht="14.25" customHeight="1" x14ac:dyDescent="0.3">
      <c r="A83" s="568"/>
      <c r="B83" s="14"/>
      <c r="C83" s="13"/>
      <c r="D83" s="9"/>
      <c r="E83" s="9"/>
      <c r="F83" s="26"/>
      <c r="G83" s="10"/>
      <c r="H83" s="46"/>
      <c r="I83" s="10"/>
      <c r="J83" s="8"/>
      <c r="K83" s="8"/>
      <c r="L83" s="8"/>
      <c r="M83" s="8"/>
      <c r="N83" s="8"/>
      <c r="O83" s="38">
        <f t="shared" si="10"/>
        <v>0</v>
      </c>
      <c r="P83" s="6">
        <f t="shared" si="9"/>
        <v>0</v>
      </c>
      <c r="Q83" s="11"/>
      <c r="R83" s="61">
        <f t="shared" si="8"/>
        <v>0</v>
      </c>
      <c r="S83" s="65">
        <f t="shared" si="7"/>
        <v>0</v>
      </c>
    </row>
    <row r="84" spans="1:19" ht="14.25" customHeight="1" x14ac:dyDescent="0.3">
      <c r="A84" s="568"/>
      <c r="B84" s="14"/>
      <c r="C84" s="13"/>
      <c r="D84" s="9"/>
      <c r="E84" s="9"/>
      <c r="F84" s="26"/>
      <c r="G84" s="10"/>
      <c r="H84" s="46"/>
      <c r="I84" s="10"/>
      <c r="J84" s="8"/>
      <c r="K84" s="8"/>
      <c r="L84" s="8"/>
      <c r="M84" s="8"/>
      <c r="N84" s="8"/>
      <c r="O84" s="38">
        <f t="shared" si="10"/>
        <v>0</v>
      </c>
      <c r="P84" s="6">
        <f t="shared" si="9"/>
        <v>0</v>
      </c>
      <c r="Q84" s="11"/>
      <c r="R84" s="61">
        <f t="shared" si="8"/>
        <v>0</v>
      </c>
      <c r="S84" s="65">
        <f t="shared" si="7"/>
        <v>0</v>
      </c>
    </row>
    <row r="85" spans="1:19" ht="14.25" customHeight="1" x14ac:dyDescent="0.3">
      <c r="A85" s="568"/>
      <c r="B85" s="14"/>
      <c r="C85" s="13"/>
      <c r="D85" s="9"/>
      <c r="E85" s="9"/>
      <c r="F85" s="26"/>
      <c r="G85" s="10"/>
      <c r="H85" s="46"/>
      <c r="I85" s="10"/>
      <c r="J85" s="8"/>
      <c r="K85" s="8"/>
      <c r="L85" s="8"/>
      <c r="M85" s="8"/>
      <c r="N85" s="8"/>
      <c r="O85" s="38">
        <f t="shared" si="10"/>
        <v>0</v>
      </c>
      <c r="P85" s="6">
        <f t="shared" si="9"/>
        <v>0</v>
      </c>
      <c r="Q85" s="11"/>
      <c r="R85" s="61">
        <f t="shared" si="8"/>
        <v>0</v>
      </c>
      <c r="S85" s="65">
        <f t="shared" si="7"/>
        <v>0</v>
      </c>
    </row>
    <row r="86" spans="1:19" ht="14.25" customHeight="1" x14ac:dyDescent="0.3">
      <c r="A86" s="568"/>
      <c r="B86" s="14"/>
      <c r="C86" s="13"/>
      <c r="D86" s="9"/>
      <c r="E86" s="9"/>
      <c r="F86" s="26"/>
      <c r="G86" s="10"/>
      <c r="H86" s="46"/>
      <c r="I86" s="10"/>
      <c r="J86" s="8"/>
      <c r="K86" s="8"/>
      <c r="L86" s="8"/>
      <c r="M86" s="8"/>
      <c r="N86" s="8"/>
      <c r="O86" s="38">
        <f t="shared" si="10"/>
        <v>0</v>
      </c>
      <c r="P86" s="6">
        <f t="shared" si="9"/>
        <v>0</v>
      </c>
      <c r="Q86" s="11"/>
      <c r="R86" s="61">
        <f t="shared" si="8"/>
        <v>0</v>
      </c>
      <c r="S86" s="65">
        <f t="shared" si="7"/>
        <v>0</v>
      </c>
    </row>
    <row r="87" spans="1:19" ht="14.25" customHeight="1" x14ac:dyDescent="0.3">
      <c r="A87" s="568"/>
      <c r="B87" s="14"/>
      <c r="C87" s="13"/>
      <c r="D87" s="9"/>
      <c r="E87" s="9"/>
      <c r="F87" s="26"/>
      <c r="G87" s="10"/>
      <c r="H87" s="46"/>
      <c r="I87" s="10"/>
      <c r="J87" s="8"/>
      <c r="K87" s="8"/>
      <c r="L87" s="8"/>
      <c r="M87" s="8"/>
      <c r="N87" s="8"/>
      <c r="O87" s="39">
        <f t="shared" ref="O87:O96" si="11">SUM(E87*D87)*(H87+J87)</f>
        <v>0</v>
      </c>
      <c r="P87" s="6">
        <f t="shared" si="9"/>
        <v>0</v>
      </c>
      <c r="Q87" s="11"/>
      <c r="R87" s="61">
        <f t="shared" si="8"/>
        <v>0</v>
      </c>
      <c r="S87" s="65">
        <f t="shared" si="7"/>
        <v>0</v>
      </c>
    </row>
    <row r="88" spans="1:19" ht="14.25" customHeight="1" x14ac:dyDescent="0.3">
      <c r="A88" s="568"/>
      <c r="B88" s="14"/>
      <c r="C88" s="13"/>
      <c r="D88" s="9"/>
      <c r="E88" s="9"/>
      <c r="F88" s="26"/>
      <c r="G88" s="10"/>
      <c r="H88" s="46"/>
      <c r="I88" s="10"/>
      <c r="J88" s="8"/>
      <c r="K88" s="8"/>
      <c r="L88" s="8"/>
      <c r="M88" s="8"/>
      <c r="N88" s="8"/>
      <c r="O88" s="39">
        <f t="shared" si="11"/>
        <v>0</v>
      </c>
      <c r="P88" s="6">
        <f t="shared" si="9"/>
        <v>0</v>
      </c>
      <c r="Q88" s="11"/>
      <c r="R88" s="61">
        <f t="shared" si="8"/>
        <v>0</v>
      </c>
      <c r="S88" s="65">
        <f t="shared" si="7"/>
        <v>0</v>
      </c>
    </row>
    <row r="89" spans="1:19" ht="14.25" customHeight="1" x14ac:dyDescent="0.3">
      <c r="A89" s="568"/>
      <c r="B89" s="14"/>
      <c r="C89" s="13"/>
      <c r="D89" s="9"/>
      <c r="E89" s="9"/>
      <c r="F89" s="26"/>
      <c r="G89" s="10"/>
      <c r="H89" s="46"/>
      <c r="I89" s="10"/>
      <c r="J89" s="8"/>
      <c r="K89" s="8"/>
      <c r="L89" s="8"/>
      <c r="M89" s="8"/>
      <c r="N89" s="8"/>
      <c r="O89" s="39">
        <f t="shared" si="11"/>
        <v>0</v>
      </c>
      <c r="P89" s="6">
        <f t="shared" si="9"/>
        <v>0</v>
      </c>
      <c r="Q89" s="11"/>
      <c r="R89" s="61">
        <f t="shared" si="8"/>
        <v>0</v>
      </c>
      <c r="S89" s="65">
        <f t="shared" si="7"/>
        <v>0</v>
      </c>
    </row>
    <row r="90" spans="1:19" ht="14.25" customHeight="1" x14ac:dyDescent="0.3">
      <c r="A90" s="568"/>
      <c r="B90" s="14"/>
      <c r="C90" s="13"/>
      <c r="D90" s="9"/>
      <c r="E90" s="9"/>
      <c r="F90" s="26"/>
      <c r="G90" s="10"/>
      <c r="H90" s="46"/>
      <c r="I90" s="10"/>
      <c r="J90" s="8"/>
      <c r="K90" s="8"/>
      <c r="L90" s="8"/>
      <c r="M90" s="8"/>
      <c r="N90" s="8"/>
      <c r="O90" s="39">
        <f t="shared" si="11"/>
        <v>0</v>
      </c>
      <c r="P90" s="6">
        <f t="shared" si="9"/>
        <v>0</v>
      </c>
      <c r="Q90" s="11"/>
      <c r="R90" s="61">
        <f t="shared" si="8"/>
        <v>0</v>
      </c>
      <c r="S90" s="65">
        <f t="shared" si="7"/>
        <v>0</v>
      </c>
    </row>
    <row r="91" spans="1:19" ht="14.25" customHeight="1" x14ac:dyDescent="0.3">
      <c r="A91" s="568"/>
      <c r="B91" s="14"/>
      <c r="C91" s="13">
        <v>0</v>
      </c>
      <c r="D91" s="9"/>
      <c r="E91" s="9"/>
      <c r="F91" s="26"/>
      <c r="G91" s="10"/>
      <c r="H91" s="46"/>
      <c r="I91" s="10"/>
      <c r="J91" s="8"/>
      <c r="K91" s="8"/>
      <c r="L91" s="8"/>
      <c r="M91" s="8"/>
      <c r="N91" s="8"/>
      <c r="O91" s="39">
        <f t="shared" si="11"/>
        <v>0</v>
      </c>
      <c r="P91" s="6">
        <f t="shared" si="9"/>
        <v>0</v>
      </c>
      <c r="Q91" s="11"/>
      <c r="R91" s="61">
        <f t="shared" si="8"/>
        <v>0</v>
      </c>
      <c r="S91" s="65">
        <f t="shared" si="7"/>
        <v>0</v>
      </c>
    </row>
    <row r="92" spans="1:19" ht="14.25" customHeight="1" x14ac:dyDescent="0.3">
      <c r="A92" s="568"/>
      <c r="B92" s="14"/>
      <c r="C92" s="13">
        <v>0</v>
      </c>
      <c r="D92" s="9"/>
      <c r="E92" s="9"/>
      <c r="F92" s="26"/>
      <c r="G92" s="10"/>
      <c r="H92" s="46"/>
      <c r="I92" s="10"/>
      <c r="J92" s="8"/>
      <c r="K92" s="8"/>
      <c r="L92" s="8"/>
      <c r="M92" s="8"/>
      <c r="N92" s="8"/>
      <c r="O92" s="39">
        <f t="shared" si="11"/>
        <v>0</v>
      </c>
      <c r="P92" s="6">
        <f t="shared" si="9"/>
        <v>0</v>
      </c>
      <c r="Q92" s="11"/>
      <c r="R92" s="61">
        <f t="shared" si="8"/>
        <v>0</v>
      </c>
      <c r="S92" s="65">
        <f t="shared" si="7"/>
        <v>0</v>
      </c>
    </row>
    <row r="93" spans="1:19" ht="14.25" customHeight="1" x14ac:dyDescent="0.3">
      <c r="A93" s="568"/>
      <c r="B93" s="14"/>
      <c r="C93" s="13">
        <v>0</v>
      </c>
      <c r="D93" s="9"/>
      <c r="E93" s="9"/>
      <c r="F93" s="26"/>
      <c r="G93" s="10"/>
      <c r="H93" s="46"/>
      <c r="I93" s="10"/>
      <c r="J93" s="8"/>
      <c r="K93" s="8"/>
      <c r="L93" s="8"/>
      <c r="M93" s="8"/>
      <c r="N93" s="8"/>
      <c r="O93" s="39">
        <f t="shared" si="11"/>
        <v>0</v>
      </c>
      <c r="P93" s="6">
        <f t="shared" si="9"/>
        <v>0</v>
      </c>
      <c r="Q93" s="11"/>
      <c r="R93" s="61">
        <f t="shared" si="8"/>
        <v>0</v>
      </c>
      <c r="S93" s="65">
        <f t="shared" si="7"/>
        <v>0</v>
      </c>
    </row>
    <row r="94" spans="1:19" ht="14.25" customHeight="1" x14ac:dyDescent="0.3">
      <c r="A94" s="568"/>
      <c r="B94" s="14"/>
      <c r="C94" s="13">
        <v>0</v>
      </c>
      <c r="D94" s="9"/>
      <c r="E94" s="9"/>
      <c r="F94" s="26"/>
      <c r="G94" s="10"/>
      <c r="H94" s="46"/>
      <c r="I94" s="10"/>
      <c r="J94" s="8"/>
      <c r="K94" s="8"/>
      <c r="L94" s="8"/>
      <c r="M94" s="8"/>
      <c r="N94" s="8"/>
      <c r="O94" s="39">
        <f t="shared" si="11"/>
        <v>0</v>
      </c>
      <c r="P94" s="6">
        <f t="shared" si="9"/>
        <v>0</v>
      </c>
      <c r="Q94" s="11"/>
      <c r="R94" s="61">
        <f t="shared" si="8"/>
        <v>0</v>
      </c>
      <c r="S94" s="65">
        <f t="shared" si="7"/>
        <v>0</v>
      </c>
    </row>
    <row r="95" spans="1:19" ht="14.25" customHeight="1" x14ac:dyDescent="0.3">
      <c r="A95" s="568"/>
      <c r="B95" s="14"/>
      <c r="C95" s="13">
        <v>0</v>
      </c>
      <c r="D95" s="9"/>
      <c r="E95" s="9"/>
      <c r="F95" s="26"/>
      <c r="G95" s="10"/>
      <c r="H95" s="46"/>
      <c r="I95" s="10"/>
      <c r="J95" s="8"/>
      <c r="K95" s="8"/>
      <c r="L95" s="8"/>
      <c r="M95" s="8"/>
      <c r="N95" s="8"/>
      <c r="O95" s="39">
        <f t="shared" si="11"/>
        <v>0</v>
      </c>
      <c r="P95" s="6">
        <f t="shared" si="9"/>
        <v>0</v>
      </c>
      <c r="Q95" s="11"/>
      <c r="R95" s="61">
        <f t="shared" si="8"/>
        <v>0</v>
      </c>
      <c r="S95" s="65">
        <f t="shared" si="7"/>
        <v>0</v>
      </c>
    </row>
    <row r="96" spans="1:19" ht="14.25" customHeight="1" x14ac:dyDescent="0.3">
      <c r="A96" s="568"/>
      <c r="B96" s="14"/>
      <c r="C96" s="13">
        <v>0</v>
      </c>
      <c r="D96" s="9"/>
      <c r="E96" s="9"/>
      <c r="F96" s="26"/>
      <c r="G96" s="10"/>
      <c r="H96" s="46"/>
      <c r="I96" s="10"/>
      <c r="J96" s="8"/>
      <c r="K96" s="8"/>
      <c r="L96" s="8"/>
      <c r="M96" s="8"/>
      <c r="N96" s="8"/>
      <c r="O96" s="39">
        <f t="shared" si="11"/>
        <v>0</v>
      </c>
      <c r="P96" s="6">
        <f t="shared" si="9"/>
        <v>0</v>
      </c>
      <c r="Q96" s="11"/>
      <c r="R96" s="61">
        <f t="shared" si="8"/>
        <v>0</v>
      </c>
      <c r="S96" s="65">
        <f t="shared" si="7"/>
        <v>0</v>
      </c>
    </row>
    <row r="97" spans="1:19" ht="14.25" customHeight="1" thickBot="1" x14ac:dyDescent="0.35">
      <c r="A97" s="569"/>
      <c r="B97" s="67"/>
      <c r="C97" s="68"/>
      <c r="D97" s="69"/>
      <c r="E97" s="69"/>
      <c r="F97" s="70"/>
      <c r="G97" s="71"/>
      <c r="H97" s="72"/>
      <c r="I97" s="71"/>
      <c r="J97" s="73"/>
      <c r="K97" s="73"/>
      <c r="L97" s="73"/>
      <c r="M97" s="73"/>
      <c r="N97" s="73"/>
      <c r="O97" s="74">
        <f>SUM(E96*D96)*(H96+J96)</f>
        <v>0</v>
      </c>
      <c r="P97" s="77">
        <f t="shared" si="9"/>
        <v>0</v>
      </c>
      <c r="Q97" s="75"/>
      <c r="R97" s="78"/>
      <c r="S97" s="76">
        <f t="shared" si="7"/>
        <v>0</v>
      </c>
    </row>
    <row r="98" spans="1:19" ht="14.25" customHeight="1" x14ac:dyDescent="0.3">
      <c r="D98" s="15"/>
      <c r="E98" s="15"/>
      <c r="F98" s="21"/>
      <c r="G98" s="1"/>
      <c r="H98" s="19"/>
      <c r="I98" s="1"/>
      <c r="J98" s="2"/>
      <c r="K98" s="2"/>
      <c r="L98" s="2"/>
      <c r="M98" s="2"/>
      <c r="N98" s="2"/>
      <c r="O98" s="16"/>
    </row>
    <row r="99" spans="1:19" ht="14.25" customHeight="1" x14ac:dyDescent="0.3">
      <c r="D99" s="15"/>
      <c r="E99" s="15"/>
      <c r="F99" s="21"/>
      <c r="G99" s="1"/>
      <c r="H99" s="19"/>
      <c r="I99" s="1"/>
      <c r="J99" s="2"/>
      <c r="K99" s="2"/>
      <c r="L99" s="2"/>
      <c r="M99" s="2"/>
      <c r="N99" s="2"/>
      <c r="O99" s="16"/>
    </row>
    <row r="100" spans="1:19" ht="14.25" customHeight="1" x14ac:dyDescent="0.3">
      <c r="D100" s="15"/>
      <c r="E100" s="15"/>
      <c r="F100" s="21"/>
      <c r="G100" s="1"/>
      <c r="H100" s="19"/>
      <c r="I100" s="1"/>
      <c r="J100" s="2"/>
      <c r="K100" s="2"/>
      <c r="L100" s="2"/>
      <c r="M100" s="2"/>
      <c r="N100" s="2"/>
      <c r="O100" s="16"/>
    </row>
    <row r="101" spans="1:19" ht="14.25" customHeight="1" x14ac:dyDescent="0.3">
      <c r="D101" s="15"/>
      <c r="E101" s="15"/>
      <c r="F101" s="21"/>
      <c r="G101" s="1"/>
      <c r="H101" s="19"/>
      <c r="I101" s="1"/>
      <c r="J101" s="2"/>
      <c r="K101" s="2"/>
      <c r="L101" s="2"/>
      <c r="M101" s="2"/>
      <c r="N101" s="2"/>
      <c r="O101" s="16"/>
    </row>
    <row r="102" spans="1:19" ht="14.25" customHeight="1" x14ac:dyDescent="0.3">
      <c r="D102" s="15"/>
      <c r="E102" s="15"/>
      <c r="F102" s="21"/>
      <c r="G102" s="1"/>
      <c r="H102" s="19"/>
      <c r="I102" s="1"/>
      <c r="J102" s="2"/>
      <c r="K102" s="2"/>
      <c r="L102" s="2"/>
      <c r="M102" s="2"/>
      <c r="N102" s="2"/>
      <c r="O102" s="16"/>
    </row>
    <row r="103" spans="1:19" ht="14.25" customHeight="1" x14ac:dyDescent="0.3">
      <c r="D103" s="15"/>
      <c r="E103" s="15"/>
      <c r="F103" s="21"/>
      <c r="G103" s="1"/>
      <c r="H103" s="19"/>
      <c r="I103" s="1"/>
      <c r="J103" s="2"/>
      <c r="K103" s="2"/>
      <c r="L103" s="2"/>
      <c r="M103" s="2"/>
      <c r="N103" s="2"/>
      <c r="O103" s="16"/>
    </row>
    <row r="104" spans="1:19" ht="14.25" customHeight="1" x14ac:dyDescent="0.3">
      <c r="D104" s="15"/>
      <c r="E104" s="15"/>
      <c r="F104" s="21"/>
      <c r="G104" s="1"/>
      <c r="H104" s="19"/>
      <c r="I104" s="1"/>
      <c r="J104" s="2"/>
      <c r="K104" s="2"/>
      <c r="L104" s="2"/>
      <c r="M104" s="2"/>
      <c r="N104" s="2"/>
      <c r="O104" s="16"/>
    </row>
    <row r="105" spans="1:19" ht="14.25" customHeight="1" x14ac:dyDescent="0.3">
      <c r="D105" s="15"/>
      <c r="E105" s="15"/>
      <c r="F105" s="21"/>
      <c r="G105" s="1"/>
      <c r="H105" s="19"/>
      <c r="I105" s="1"/>
      <c r="J105" s="2"/>
      <c r="K105" s="2"/>
      <c r="L105" s="2"/>
      <c r="M105" s="2"/>
      <c r="N105" s="2"/>
      <c r="O105" s="16"/>
    </row>
    <row r="106" spans="1:19" ht="14.25" customHeight="1" x14ac:dyDescent="0.3">
      <c r="D106" s="15"/>
      <c r="E106" s="15"/>
      <c r="F106" s="21"/>
      <c r="G106" s="1"/>
      <c r="H106" s="19"/>
      <c r="I106" s="1"/>
      <c r="J106" s="2"/>
      <c r="K106" s="2"/>
      <c r="L106" s="2"/>
      <c r="M106" s="2"/>
      <c r="N106" s="2"/>
      <c r="O106" s="16"/>
    </row>
    <row r="107" spans="1:19" ht="14.25" customHeight="1" x14ac:dyDescent="0.3">
      <c r="D107" s="15"/>
      <c r="E107" s="15"/>
      <c r="F107" s="21"/>
      <c r="G107" s="1"/>
      <c r="H107" s="19"/>
      <c r="I107" s="1"/>
      <c r="J107" s="2"/>
      <c r="K107" s="2"/>
      <c r="L107" s="2"/>
      <c r="M107" s="2"/>
      <c r="N107" s="2"/>
      <c r="O107" s="16"/>
    </row>
    <row r="108" spans="1:19" ht="14.25" customHeight="1" x14ac:dyDescent="0.3">
      <c r="D108" s="15"/>
      <c r="E108" s="15"/>
      <c r="F108" s="21"/>
      <c r="G108" s="1"/>
      <c r="H108" s="19"/>
      <c r="I108" s="1"/>
      <c r="J108" s="2"/>
      <c r="K108" s="2"/>
      <c r="L108" s="2"/>
      <c r="M108" s="2"/>
      <c r="N108" s="2"/>
      <c r="O108" s="16"/>
    </row>
    <row r="109" spans="1:19" ht="14.25" customHeight="1" x14ac:dyDescent="0.3">
      <c r="D109" s="15"/>
      <c r="E109" s="15"/>
      <c r="F109" s="21"/>
      <c r="G109" s="1"/>
      <c r="H109" s="19"/>
      <c r="I109" s="1"/>
      <c r="J109" s="2"/>
      <c r="K109" s="2"/>
      <c r="L109" s="2"/>
      <c r="M109" s="2"/>
      <c r="N109" s="2"/>
      <c r="O109" s="16"/>
    </row>
    <row r="110" spans="1:19" ht="14.25" customHeight="1" x14ac:dyDescent="0.3">
      <c r="D110" s="15"/>
      <c r="E110" s="15"/>
      <c r="F110" s="21"/>
      <c r="G110" s="1"/>
      <c r="H110" s="19"/>
      <c r="I110" s="1"/>
      <c r="J110" s="2"/>
      <c r="K110" s="2"/>
      <c r="L110" s="2"/>
      <c r="M110" s="2"/>
      <c r="N110" s="2"/>
      <c r="O110" s="16"/>
    </row>
    <row r="111" spans="1:19" ht="14.25" customHeight="1" x14ac:dyDescent="0.3">
      <c r="D111" s="15"/>
      <c r="E111" s="15"/>
      <c r="F111" s="21"/>
      <c r="G111" s="1"/>
      <c r="H111" s="19"/>
      <c r="I111" s="1"/>
      <c r="J111" s="2"/>
      <c r="K111" s="2"/>
      <c r="L111" s="2"/>
      <c r="M111" s="2"/>
      <c r="N111" s="2"/>
      <c r="O111" s="16"/>
    </row>
    <row r="112" spans="1:19" ht="14.25" customHeight="1" x14ac:dyDescent="0.3">
      <c r="D112" s="15"/>
      <c r="E112" s="15"/>
      <c r="F112" s="21"/>
      <c r="G112" s="1"/>
      <c r="H112" s="19"/>
      <c r="I112" s="1"/>
      <c r="J112" s="2"/>
      <c r="K112" s="2"/>
      <c r="L112" s="2"/>
      <c r="M112" s="2"/>
      <c r="N112" s="2"/>
      <c r="O112" s="16"/>
    </row>
    <row r="113" spans="4:15" ht="14.25" customHeight="1" x14ac:dyDescent="0.3">
      <c r="D113" s="15"/>
      <c r="E113" s="15"/>
      <c r="F113" s="21"/>
      <c r="G113" s="1"/>
      <c r="H113" s="19"/>
      <c r="I113" s="1"/>
      <c r="J113" s="2"/>
      <c r="K113" s="2"/>
      <c r="L113" s="2"/>
      <c r="M113" s="2"/>
      <c r="N113" s="2"/>
      <c r="O113" s="16"/>
    </row>
    <row r="114" spans="4:15" ht="14.25" customHeight="1" x14ac:dyDescent="0.3">
      <c r="D114" s="15"/>
      <c r="E114" s="15"/>
      <c r="F114" s="21"/>
      <c r="G114" s="1"/>
      <c r="H114" s="19"/>
      <c r="I114" s="1"/>
      <c r="J114" s="2"/>
      <c r="K114" s="2"/>
      <c r="L114" s="2"/>
      <c r="M114" s="2"/>
      <c r="N114" s="2"/>
      <c r="O114" s="16"/>
    </row>
    <row r="115" spans="4:15" ht="14.25" customHeight="1" x14ac:dyDescent="0.3">
      <c r="D115" s="15"/>
      <c r="E115" s="15"/>
      <c r="F115" s="21"/>
      <c r="G115" s="1"/>
      <c r="H115" s="19"/>
      <c r="I115" s="1"/>
      <c r="J115" s="2"/>
      <c r="K115" s="2"/>
      <c r="L115" s="2"/>
      <c r="M115" s="2"/>
      <c r="N115" s="2"/>
      <c r="O115" s="16"/>
    </row>
    <row r="116" spans="4:15" ht="14.25" customHeight="1" x14ac:dyDescent="0.3">
      <c r="D116" s="15"/>
      <c r="E116" s="15"/>
      <c r="F116" s="21"/>
      <c r="G116" s="1"/>
      <c r="H116" s="19"/>
      <c r="I116" s="1"/>
      <c r="J116" s="2"/>
      <c r="K116" s="2"/>
      <c r="L116" s="2"/>
      <c r="M116" s="2"/>
      <c r="N116" s="2"/>
      <c r="O116" s="16"/>
    </row>
    <row r="117" spans="4:15" ht="14.25" customHeight="1" x14ac:dyDescent="0.3">
      <c r="D117" s="15"/>
      <c r="E117" s="15"/>
      <c r="F117" s="21"/>
      <c r="G117" s="1"/>
      <c r="H117" s="19"/>
      <c r="I117" s="1"/>
      <c r="J117" s="2"/>
      <c r="K117" s="2"/>
      <c r="L117" s="2"/>
      <c r="M117" s="2"/>
      <c r="N117" s="2"/>
      <c r="O117" s="16"/>
    </row>
    <row r="118" spans="4:15" ht="14.25" customHeight="1" x14ac:dyDescent="0.3">
      <c r="D118" s="15"/>
      <c r="E118" s="15"/>
      <c r="F118" s="21"/>
      <c r="G118" s="1"/>
      <c r="H118" s="19"/>
      <c r="I118" s="1"/>
      <c r="J118" s="2"/>
      <c r="K118" s="2"/>
      <c r="L118" s="2"/>
      <c r="M118" s="2"/>
      <c r="N118" s="2"/>
      <c r="O118" s="16"/>
    </row>
    <row r="119" spans="4:15" ht="14.25" customHeight="1" x14ac:dyDescent="0.3">
      <c r="D119" s="15"/>
      <c r="E119" s="15"/>
      <c r="F119" s="21"/>
      <c r="G119" s="1"/>
      <c r="H119" s="19"/>
      <c r="I119" s="1"/>
      <c r="J119" s="2"/>
      <c r="K119" s="2"/>
      <c r="L119" s="2"/>
      <c r="M119" s="2"/>
      <c r="N119" s="2"/>
      <c r="O119" s="16"/>
    </row>
    <row r="120" spans="4:15" ht="14.25" customHeight="1" x14ac:dyDescent="0.3">
      <c r="D120" s="15"/>
      <c r="E120" s="15"/>
      <c r="F120" s="21"/>
      <c r="G120" s="1"/>
      <c r="H120" s="19"/>
      <c r="I120" s="1"/>
      <c r="J120" s="2"/>
      <c r="K120" s="2"/>
      <c r="L120" s="2"/>
      <c r="M120" s="2"/>
      <c r="N120" s="2"/>
      <c r="O120" s="16"/>
    </row>
    <row r="121" spans="4:15" ht="14.25" customHeight="1" x14ac:dyDescent="0.3">
      <c r="D121" s="15"/>
      <c r="E121" s="15"/>
      <c r="F121" s="21"/>
      <c r="G121" s="1"/>
      <c r="H121" s="19"/>
      <c r="I121" s="1"/>
      <c r="J121" s="2"/>
      <c r="K121" s="2"/>
      <c r="L121" s="2"/>
      <c r="M121" s="2"/>
      <c r="N121" s="2"/>
      <c r="O121" s="16"/>
    </row>
    <row r="122" spans="4:15" ht="14.25" customHeight="1" x14ac:dyDescent="0.3">
      <c r="D122" s="15"/>
      <c r="E122" s="15"/>
      <c r="F122" s="21"/>
      <c r="G122" s="1"/>
      <c r="H122" s="19"/>
      <c r="I122" s="1"/>
      <c r="J122" s="2"/>
      <c r="K122" s="2"/>
      <c r="L122" s="2"/>
      <c r="M122" s="2"/>
      <c r="N122" s="2"/>
      <c r="O122" s="16"/>
    </row>
    <row r="123" spans="4:15" ht="14.25" customHeight="1" x14ac:dyDescent="0.3">
      <c r="D123" s="15"/>
      <c r="E123" s="15"/>
      <c r="F123" s="21"/>
      <c r="G123" s="1"/>
      <c r="H123" s="19"/>
      <c r="I123" s="1"/>
      <c r="J123" s="2"/>
      <c r="K123" s="2"/>
      <c r="L123" s="2"/>
      <c r="M123" s="2"/>
      <c r="N123" s="2"/>
      <c r="O123" s="16"/>
    </row>
    <row r="124" spans="4:15" ht="14.25" customHeight="1" x14ac:dyDescent="0.3">
      <c r="D124" s="15"/>
      <c r="E124" s="15"/>
      <c r="F124" s="21"/>
      <c r="G124" s="1"/>
      <c r="H124" s="19"/>
      <c r="I124" s="1"/>
      <c r="J124" s="2"/>
      <c r="K124" s="2"/>
      <c r="L124" s="2"/>
      <c r="M124" s="2"/>
      <c r="N124" s="2"/>
      <c r="O124" s="16"/>
    </row>
    <row r="125" spans="4:15" ht="14.25" customHeight="1" x14ac:dyDescent="0.3">
      <c r="D125" s="15"/>
      <c r="E125" s="15"/>
      <c r="F125" s="21"/>
      <c r="G125" s="1"/>
      <c r="H125" s="19"/>
      <c r="I125" s="1"/>
      <c r="J125" s="2"/>
      <c r="K125" s="2"/>
      <c r="L125" s="2"/>
      <c r="M125" s="2"/>
      <c r="N125" s="2"/>
      <c r="O125" s="16"/>
    </row>
    <row r="126" spans="4:15" ht="14.25" customHeight="1" x14ac:dyDescent="0.3">
      <c r="D126" s="15"/>
      <c r="E126" s="15"/>
      <c r="F126" s="21"/>
      <c r="G126" s="1"/>
      <c r="H126" s="19"/>
      <c r="I126" s="1"/>
      <c r="J126" s="2"/>
      <c r="K126" s="2"/>
      <c r="L126" s="2"/>
      <c r="M126" s="2"/>
      <c r="N126" s="2"/>
      <c r="O126" s="16"/>
    </row>
    <row r="127" spans="4:15" ht="14.25" customHeight="1" x14ac:dyDescent="0.3">
      <c r="D127" s="15"/>
      <c r="E127" s="15"/>
      <c r="F127" s="21"/>
      <c r="G127" s="1"/>
      <c r="H127" s="19"/>
      <c r="I127" s="1"/>
      <c r="J127" s="2"/>
      <c r="K127" s="2"/>
      <c r="L127" s="2"/>
      <c r="M127" s="2"/>
      <c r="N127" s="2"/>
      <c r="O127" s="16"/>
    </row>
    <row r="128" spans="4:15" ht="14.25" customHeight="1" x14ac:dyDescent="0.3">
      <c r="D128" s="15"/>
      <c r="E128" s="15"/>
      <c r="F128" s="21"/>
      <c r="G128" s="1"/>
      <c r="H128" s="19"/>
      <c r="I128" s="1"/>
      <c r="J128" s="2"/>
      <c r="K128" s="2"/>
      <c r="L128" s="2"/>
      <c r="M128" s="2"/>
      <c r="N128" s="2"/>
      <c r="O128" s="16"/>
    </row>
    <row r="129" spans="4:15" ht="14.25" customHeight="1" x14ac:dyDescent="0.3">
      <c r="D129" s="15"/>
      <c r="E129" s="15"/>
      <c r="F129" s="21"/>
      <c r="G129" s="1"/>
      <c r="H129" s="19"/>
      <c r="I129" s="1"/>
      <c r="J129" s="2"/>
      <c r="K129" s="2"/>
      <c r="L129" s="2"/>
      <c r="M129" s="2"/>
      <c r="N129" s="2"/>
      <c r="O129" s="16"/>
    </row>
    <row r="130" spans="4:15" ht="14.25" customHeight="1" x14ac:dyDescent="0.3">
      <c r="D130" s="15"/>
      <c r="E130" s="15"/>
      <c r="F130" s="21"/>
      <c r="G130" s="1"/>
      <c r="H130" s="19"/>
      <c r="I130" s="1"/>
      <c r="J130" s="2"/>
      <c r="K130" s="2"/>
      <c r="L130" s="2"/>
      <c r="M130" s="2"/>
      <c r="N130" s="2"/>
      <c r="O130" s="16"/>
    </row>
    <row r="131" spans="4:15" ht="14.25" customHeight="1" x14ac:dyDescent="0.3">
      <c r="D131" s="15"/>
      <c r="E131" s="15"/>
      <c r="F131" s="21"/>
      <c r="G131" s="1"/>
      <c r="H131" s="19"/>
      <c r="I131" s="1"/>
      <c r="J131" s="2"/>
      <c r="K131" s="2"/>
      <c r="L131" s="2"/>
      <c r="M131" s="2"/>
      <c r="N131" s="2"/>
      <c r="O131" s="16"/>
    </row>
    <row r="132" spans="4:15" ht="14.25" customHeight="1" x14ac:dyDescent="0.3">
      <c r="D132" s="15"/>
      <c r="E132" s="15"/>
      <c r="F132" s="21"/>
      <c r="G132" s="1"/>
      <c r="H132" s="19"/>
      <c r="I132" s="1"/>
      <c r="J132" s="2"/>
      <c r="K132" s="2"/>
      <c r="L132" s="2"/>
      <c r="M132" s="2"/>
      <c r="N132" s="2"/>
      <c r="O132" s="16"/>
    </row>
    <row r="133" spans="4:15" ht="14.25" customHeight="1" x14ac:dyDescent="0.3">
      <c r="D133" s="15"/>
      <c r="E133" s="15"/>
      <c r="F133" s="21"/>
      <c r="G133" s="1"/>
      <c r="H133" s="19"/>
      <c r="I133" s="1"/>
      <c r="J133" s="2"/>
      <c r="K133" s="2"/>
      <c r="L133" s="2"/>
      <c r="M133" s="2"/>
      <c r="N133" s="2"/>
      <c r="O133" s="16"/>
    </row>
    <row r="134" spans="4:15" ht="14.25" customHeight="1" x14ac:dyDescent="0.3">
      <c r="D134" s="15"/>
      <c r="E134" s="15"/>
      <c r="F134" s="21"/>
      <c r="G134" s="1"/>
      <c r="H134" s="19"/>
      <c r="I134" s="1"/>
      <c r="J134" s="2"/>
      <c r="K134" s="2"/>
      <c r="L134" s="2"/>
      <c r="M134" s="2"/>
      <c r="N134" s="2"/>
      <c r="O134" s="16"/>
    </row>
    <row r="135" spans="4:15" ht="14.25" customHeight="1" x14ac:dyDescent="0.3">
      <c r="D135" s="15"/>
      <c r="E135" s="15"/>
      <c r="F135" s="21"/>
      <c r="G135" s="1"/>
      <c r="H135" s="19"/>
      <c r="I135" s="1"/>
      <c r="J135" s="2"/>
      <c r="K135" s="2"/>
      <c r="L135" s="2"/>
      <c r="M135" s="2"/>
      <c r="N135" s="2"/>
      <c r="O135" s="16"/>
    </row>
    <row r="136" spans="4:15" ht="14.25" customHeight="1" x14ac:dyDescent="0.3">
      <c r="D136" s="15"/>
      <c r="E136" s="15"/>
      <c r="F136" s="21"/>
      <c r="G136" s="1"/>
      <c r="H136" s="19"/>
      <c r="I136" s="1"/>
      <c r="J136" s="2"/>
      <c r="K136" s="2"/>
      <c r="L136" s="2"/>
      <c r="M136" s="2"/>
      <c r="N136" s="2"/>
      <c r="O136" s="16"/>
    </row>
    <row r="137" spans="4:15" ht="14.25" customHeight="1" x14ac:dyDescent="0.3">
      <c r="D137" s="15"/>
      <c r="E137" s="15"/>
      <c r="F137" s="21"/>
      <c r="G137" s="1"/>
      <c r="H137" s="19"/>
      <c r="I137" s="1"/>
      <c r="J137" s="2"/>
      <c r="K137" s="2"/>
      <c r="L137" s="2"/>
      <c r="M137" s="2"/>
      <c r="N137" s="2"/>
      <c r="O137" s="16"/>
    </row>
    <row r="138" spans="4:15" ht="14.25" customHeight="1" x14ac:dyDescent="0.3">
      <c r="D138" s="15"/>
      <c r="E138" s="15"/>
      <c r="F138" s="21"/>
      <c r="G138" s="1"/>
      <c r="H138" s="19"/>
      <c r="I138" s="1"/>
      <c r="J138" s="2"/>
      <c r="K138" s="2"/>
      <c r="L138" s="2"/>
      <c r="M138" s="2"/>
      <c r="N138" s="2"/>
      <c r="O138" s="16"/>
    </row>
    <row r="139" spans="4:15" ht="14.25" customHeight="1" x14ac:dyDescent="0.3">
      <c r="D139" s="15"/>
      <c r="E139" s="15"/>
      <c r="F139" s="21"/>
      <c r="G139" s="1"/>
      <c r="H139" s="19"/>
      <c r="I139" s="1"/>
      <c r="J139" s="2"/>
      <c r="K139" s="2"/>
      <c r="L139" s="2"/>
      <c r="M139" s="2"/>
      <c r="N139" s="2"/>
      <c r="O139" s="16"/>
    </row>
    <row r="140" spans="4:15" ht="14.25" customHeight="1" x14ac:dyDescent="0.3">
      <c r="D140" s="15"/>
      <c r="E140" s="15"/>
      <c r="F140" s="21"/>
      <c r="G140" s="1"/>
      <c r="H140" s="19"/>
      <c r="I140" s="1"/>
      <c r="J140" s="2"/>
      <c r="K140" s="2"/>
      <c r="L140" s="2"/>
      <c r="M140" s="2"/>
      <c r="N140" s="2"/>
      <c r="O140" s="16"/>
    </row>
    <row r="141" spans="4:15" ht="14.25" customHeight="1" x14ac:dyDescent="0.3">
      <c r="D141" s="15"/>
      <c r="E141" s="15"/>
      <c r="F141" s="21"/>
      <c r="G141" s="1"/>
      <c r="H141" s="19"/>
      <c r="I141" s="1"/>
      <c r="J141" s="2"/>
      <c r="K141" s="2"/>
      <c r="L141" s="2"/>
      <c r="M141" s="2"/>
      <c r="N141" s="2"/>
      <c r="O141" s="16"/>
    </row>
    <row r="142" spans="4:15" ht="14.25" customHeight="1" x14ac:dyDescent="0.3">
      <c r="D142" s="15"/>
      <c r="E142" s="15"/>
      <c r="F142" s="21"/>
      <c r="G142" s="1"/>
      <c r="H142" s="19"/>
      <c r="I142" s="1"/>
      <c r="J142" s="2"/>
      <c r="K142" s="2"/>
      <c r="L142" s="2"/>
      <c r="M142" s="2"/>
      <c r="N142" s="2"/>
      <c r="O142" s="16"/>
    </row>
    <row r="143" spans="4:15" ht="14.25" customHeight="1" x14ac:dyDescent="0.3">
      <c r="D143" s="15"/>
      <c r="E143" s="15"/>
      <c r="F143" s="21"/>
      <c r="G143" s="1"/>
      <c r="H143" s="19"/>
      <c r="I143" s="1"/>
      <c r="J143" s="2"/>
      <c r="K143" s="2"/>
      <c r="L143" s="2"/>
      <c r="M143" s="2"/>
      <c r="N143" s="2"/>
      <c r="O143" s="16"/>
    </row>
    <row r="144" spans="4:15" ht="14.25" customHeight="1" x14ac:dyDescent="0.3">
      <c r="D144" s="15"/>
      <c r="E144" s="15"/>
      <c r="F144" s="21"/>
      <c r="G144" s="1"/>
      <c r="H144" s="19"/>
      <c r="I144" s="1"/>
      <c r="J144" s="2"/>
      <c r="K144" s="2"/>
      <c r="L144" s="2"/>
      <c r="M144" s="2"/>
      <c r="N144" s="2"/>
      <c r="O144" s="16"/>
    </row>
    <row r="145" spans="4:15" ht="14.25" customHeight="1" x14ac:dyDescent="0.3">
      <c r="D145" s="15"/>
      <c r="E145" s="15"/>
      <c r="F145" s="21"/>
      <c r="G145" s="1"/>
      <c r="H145" s="19"/>
      <c r="I145" s="1"/>
      <c r="J145" s="2"/>
      <c r="K145" s="2"/>
      <c r="L145" s="2"/>
      <c r="M145" s="2"/>
      <c r="N145" s="2"/>
      <c r="O145" s="16"/>
    </row>
    <row r="146" spans="4:15" ht="14.25" customHeight="1" x14ac:dyDescent="0.3">
      <c r="D146" s="15"/>
      <c r="E146" s="15"/>
      <c r="F146" s="21"/>
      <c r="G146" s="1"/>
      <c r="H146" s="19"/>
      <c r="I146" s="1"/>
      <c r="J146" s="2"/>
      <c r="K146" s="2"/>
      <c r="L146" s="2"/>
      <c r="M146" s="2"/>
      <c r="N146" s="2"/>
      <c r="O146" s="16"/>
    </row>
    <row r="147" spans="4:15" ht="14.25" customHeight="1" x14ac:dyDescent="0.3">
      <c r="D147" s="15"/>
      <c r="E147" s="15"/>
      <c r="F147" s="21"/>
      <c r="G147" s="1"/>
      <c r="H147" s="19"/>
      <c r="I147" s="1"/>
      <c r="J147" s="2"/>
      <c r="K147" s="2"/>
      <c r="L147" s="2"/>
      <c r="M147" s="2"/>
      <c r="N147" s="2"/>
      <c r="O147" s="16"/>
    </row>
    <row r="148" spans="4:15" ht="14.25" customHeight="1" x14ac:dyDescent="0.3">
      <c r="D148" s="15"/>
      <c r="E148" s="15"/>
      <c r="F148" s="21"/>
      <c r="G148" s="1"/>
      <c r="H148" s="19"/>
      <c r="I148" s="1"/>
      <c r="J148" s="2"/>
      <c r="K148" s="2"/>
      <c r="L148" s="2"/>
      <c r="M148" s="2"/>
      <c r="N148" s="2"/>
      <c r="O148" s="16"/>
    </row>
    <row r="149" spans="4:15" ht="14.25" customHeight="1" x14ac:dyDescent="0.3">
      <c r="D149" s="15"/>
      <c r="E149" s="15"/>
      <c r="F149" s="21"/>
      <c r="G149" s="1"/>
      <c r="H149" s="19"/>
      <c r="I149" s="1"/>
      <c r="J149" s="2"/>
      <c r="K149" s="2"/>
      <c r="L149" s="2"/>
      <c r="M149" s="2"/>
      <c r="N149" s="2"/>
      <c r="O149" s="16"/>
    </row>
    <row r="150" spans="4:15" ht="14.25" customHeight="1" x14ac:dyDescent="0.3">
      <c r="D150" s="15"/>
      <c r="E150" s="15"/>
      <c r="F150" s="21"/>
      <c r="G150" s="1"/>
      <c r="H150" s="19"/>
      <c r="I150" s="1"/>
      <c r="J150" s="2"/>
      <c r="K150" s="2"/>
      <c r="L150" s="2"/>
      <c r="M150" s="2"/>
      <c r="N150" s="2"/>
      <c r="O150" s="16"/>
    </row>
    <row r="151" spans="4:15" ht="14.25" customHeight="1" x14ac:dyDescent="0.3">
      <c r="D151" s="15"/>
      <c r="E151" s="15"/>
      <c r="F151" s="21"/>
      <c r="G151" s="1"/>
      <c r="H151" s="19"/>
      <c r="I151" s="1"/>
      <c r="J151" s="2"/>
      <c r="K151" s="2"/>
      <c r="L151" s="2"/>
      <c r="M151" s="2"/>
      <c r="N151" s="2"/>
      <c r="O151" s="16"/>
    </row>
    <row r="152" spans="4:15" ht="14.25" customHeight="1" x14ac:dyDescent="0.3">
      <c r="D152" s="15"/>
      <c r="E152" s="15"/>
      <c r="F152" s="21"/>
      <c r="G152" s="1"/>
      <c r="H152" s="19"/>
      <c r="I152" s="1"/>
      <c r="J152" s="2"/>
      <c r="K152" s="2"/>
      <c r="L152" s="2"/>
      <c r="M152" s="2"/>
      <c r="N152" s="2"/>
      <c r="O152" s="16"/>
    </row>
    <row r="153" spans="4:15" ht="14.25" customHeight="1" x14ac:dyDescent="0.3">
      <c r="D153" s="15"/>
      <c r="E153" s="15"/>
      <c r="F153" s="21"/>
      <c r="G153" s="1"/>
      <c r="H153" s="19"/>
      <c r="I153" s="1"/>
      <c r="J153" s="2"/>
      <c r="K153" s="2"/>
      <c r="L153" s="2"/>
      <c r="M153" s="2"/>
      <c r="N153" s="2"/>
      <c r="O153" s="16"/>
    </row>
    <row r="154" spans="4:15" ht="14.25" customHeight="1" x14ac:dyDescent="0.3">
      <c r="D154" s="15"/>
      <c r="E154" s="15"/>
      <c r="F154" s="21"/>
      <c r="G154" s="1"/>
      <c r="H154" s="19"/>
      <c r="I154" s="1"/>
      <c r="J154" s="2"/>
      <c r="K154" s="2"/>
      <c r="L154" s="2"/>
      <c r="M154" s="2"/>
      <c r="N154" s="2"/>
      <c r="O154" s="16"/>
    </row>
    <row r="155" spans="4:15" ht="14.25" customHeight="1" x14ac:dyDescent="0.3">
      <c r="D155" s="15"/>
      <c r="E155" s="15"/>
      <c r="F155" s="21"/>
      <c r="G155" s="1"/>
      <c r="H155" s="19"/>
      <c r="I155" s="1"/>
      <c r="J155" s="2"/>
      <c r="K155" s="2"/>
      <c r="L155" s="2"/>
      <c r="M155" s="2"/>
      <c r="N155" s="2"/>
      <c r="O155" s="16"/>
    </row>
    <row r="156" spans="4:15" ht="14.25" customHeight="1" x14ac:dyDescent="0.3">
      <c r="D156" s="15"/>
      <c r="E156" s="15"/>
      <c r="F156" s="21"/>
      <c r="G156" s="1"/>
      <c r="H156" s="19"/>
      <c r="I156" s="1"/>
      <c r="J156" s="2"/>
      <c r="K156" s="2"/>
      <c r="L156" s="2"/>
      <c r="M156" s="2"/>
      <c r="N156" s="2"/>
      <c r="O156" s="16"/>
    </row>
    <row r="157" spans="4:15" ht="14.25" customHeight="1" x14ac:dyDescent="0.3">
      <c r="D157" s="15"/>
      <c r="E157" s="15"/>
      <c r="F157" s="21"/>
      <c r="G157" s="1"/>
      <c r="H157" s="19"/>
      <c r="I157" s="1"/>
      <c r="J157" s="2"/>
      <c r="K157" s="2"/>
      <c r="L157" s="2"/>
      <c r="M157" s="2"/>
      <c r="N157" s="2"/>
      <c r="O157" s="16"/>
    </row>
    <row r="158" spans="4:15" ht="14.25" customHeight="1" x14ac:dyDescent="0.3">
      <c r="D158" s="15"/>
      <c r="E158" s="15"/>
      <c r="F158" s="21"/>
      <c r="G158" s="1"/>
      <c r="H158" s="19"/>
      <c r="I158" s="1"/>
      <c r="J158" s="2"/>
      <c r="K158" s="2"/>
      <c r="L158" s="2"/>
      <c r="M158" s="2"/>
      <c r="N158" s="2"/>
      <c r="O158" s="16"/>
    </row>
    <row r="159" spans="4:15" ht="14.25" customHeight="1" x14ac:dyDescent="0.3">
      <c r="D159" s="15"/>
      <c r="E159" s="15"/>
      <c r="F159" s="21"/>
      <c r="G159" s="1"/>
      <c r="H159" s="19"/>
      <c r="I159" s="1"/>
      <c r="J159" s="2"/>
      <c r="K159" s="2"/>
      <c r="L159" s="2"/>
      <c r="M159" s="2"/>
      <c r="N159" s="2"/>
      <c r="O159" s="16"/>
    </row>
    <row r="160" spans="4:15" ht="14.25" customHeight="1" x14ac:dyDescent="0.3">
      <c r="D160" s="15"/>
      <c r="E160" s="15"/>
      <c r="F160" s="21"/>
      <c r="G160" s="1"/>
      <c r="H160" s="19"/>
      <c r="I160" s="1"/>
      <c r="J160" s="2"/>
      <c r="K160" s="2"/>
      <c r="L160" s="2"/>
      <c r="M160" s="2"/>
      <c r="N160" s="2"/>
      <c r="O160" s="16"/>
    </row>
    <row r="161" spans="4:15" ht="14.25" customHeight="1" x14ac:dyDescent="0.3">
      <c r="D161" s="15"/>
      <c r="E161" s="15"/>
      <c r="F161" s="21"/>
      <c r="G161" s="1"/>
      <c r="H161" s="19"/>
      <c r="I161" s="1"/>
      <c r="J161" s="2"/>
      <c r="K161" s="2"/>
      <c r="L161" s="2"/>
      <c r="M161" s="2"/>
      <c r="N161" s="2"/>
      <c r="O161" s="16"/>
    </row>
    <row r="162" spans="4:15" ht="14.25" customHeight="1" x14ac:dyDescent="0.3">
      <c r="D162" s="15"/>
      <c r="E162" s="15"/>
      <c r="F162" s="21"/>
      <c r="G162" s="1"/>
      <c r="H162" s="19"/>
      <c r="I162" s="1"/>
      <c r="J162" s="2"/>
      <c r="K162" s="2"/>
      <c r="L162" s="2"/>
      <c r="M162" s="2"/>
      <c r="N162" s="2"/>
      <c r="O162" s="16"/>
    </row>
    <row r="163" spans="4:15" ht="14.25" customHeight="1" x14ac:dyDescent="0.3">
      <c r="D163" s="15"/>
      <c r="E163" s="15"/>
      <c r="F163" s="21"/>
      <c r="G163" s="1"/>
      <c r="H163" s="19"/>
      <c r="I163" s="1"/>
      <c r="J163" s="2"/>
      <c r="K163" s="2"/>
      <c r="L163" s="2"/>
      <c r="M163" s="2"/>
      <c r="N163" s="2"/>
      <c r="O163" s="16"/>
    </row>
    <row r="164" spans="4:15" ht="14.25" customHeight="1" x14ac:dyDescent="0.3">
      <c r="D164" s="15"/>
      <c r="E164" s="15"/>
      <c r="F164" s="21"/>
      <c r="G164" s="1"/>
      <c r="H164" s="19"/>
      <c r="I164" s="1"/>
      <c r="J164" s="2"/>
      <c r="K164" s="2"/>
      <c r="L164" s="2"/>
      <c r="M164" s="2"/>
      <c r="N164" s="2"/>
      <c r="O164" s="16"/>
    </row>
    <row r="165" spans="4:15" ht="14.25" customHeight="1" x14ac:dyDescent="0.3">
      <c r="D165" s="15"/>
      <c r="E165" s="15"/>
      <c r="F165" s="21"/>
      <c r="G165" s="1"/>
      <c r="H165" s="19"/>
      <c r="I165" s="1"/>
      <c r="J165" s="2"/>
      <c r="K165" s="2"/>
      <c r="L165" s="2"/>
      <c r="M165" s="2"/>
      <c r="N165" s="2"/>
      <c r="O165" s="16"/>
    </row>
    <row r="166" spans="4:15" ht="14.25" customHeight="1" x14ac:dyDescent="0.3">
      <c r="D166" s="15"/>
      <c r="E166" s="15"/>
      <c r="F166" s="21"/>
      <c r="G166" s="1"/>
      <c r="H166" s="19"/>
      <c r="I166" s="1"/>
      <c r="J166" s="2"/>
      <c r="K166" s="2"/>
      <c r="L166" s="2"/>
      <c r="M166" s="2"/>
      <c r="N166" s="2"/>
      <c r="O166" s="16"/>
    </row>
    <row r="167" spans="4:15" ht="14.25" customHeight="1" x14ac:dyDescent="0.3">
      <c r="D167" s="15"/>
      <c r="E167" s="15"/>
      <c r="F167" s="21"/>
      <c r="G167" s="1"/>
      <c r="H167" s="19"/>
      <c r="I167" s="1"/>
      <c r="J167" s="2"/>
      <c r="K167" s="2"/>
      <c r="L167" s="2"/>
      <c r="M167" s="2"/>
      <c r="N167" s="2"/>
      <c r="O167" s="16"/>
    </row>
    <row r="168" spans="4:15" ht="14.25" customHeight="1" x14ac:dyDescent="0.3">
      <c r="D168" s="15"/>
      <c r="E168" s="15"/>
      <c r="F168" s="21"/>
      <c r="G168" s="1"/>
      <c r="H168" s="19"/>
      <c r="I168" s="1"/>
      <c r="J168" s="2"/>
      <c r="K168" s="2"/>
      <c r="L168" s="2"/>
      <c r="M168" s="2"/>
      <c r="N168" s="2"/>
      <c r="O168" s="16"/>
    </row>
    <row r="169" spans="4:15" ht="14.25" customHeight="1" x14ac:dyDescent="0.3">
      <c r="D169" s="15"/>
      <c r="E169" s="15"/>
      <c r="F169" s="21"/>
      <c r="G169" s="1"/>
      <c r="H169" s="19"/>
      <c r="I169" s="1"/>
      <c r="J169" s="2"/>
      <c r="K169" s="2"/>
      <c r="L169" s="2"/>
      <c r="M169" s="2"/>
      <c r="N169" s="2"/>
      <c r="O169" s="16"/>
    </row>
    <row r="170" spans="4:15" ht="14.25" customHeight="1" x14ac:dyDescent="0.3">
      <c r="D170" s="15"/>
      <c r="E170" s="15"/>
      <c r="F170" s="21"/>
      <c r="G170" s="1"/>
      <c r="H170" s="19"/>
      <c r="I170" s="1"/>
      <c r="J170" s="2"/>
      <c r="K170" s="2"/>
      <c r="L170" s="2"/>
      <c r="M170" s="2"/>
      <c r="N170" s="2"/>
      <c r="O170" s="16"/>
    </row>
    <row r="171" spans="4:15" ht="14.25" customHeight="1" x14ac:dyDescent="0.3">
      <c r="D171" s="15"/>
      <c r="E171" s="15"/>
      <c r="F171" s="21"/>
      <c r="G171" s="1"/>
      <c r="H171" s="19"/>
      <c r="I171" s="1"/>
      <c r="J171" s="2"/>
      <c r="K171" s="2"/>
      <c r="L171" s="2"/>
      <c r="M171" s="2"/>
      <c r="N171" s="2"/>
      <c r="O171" s="16"/>
    </row>
    <row r="172" spans="4:15" ht="14.25" customHeight="1" x14ac:dyDescent="0.3">
      <c r="D172" s="15"/>
      <c r="E172" s="15"/>
      <c r="F172" s="21"/>
      <c r="G172" s="1"/>
      <c r="H172" s="19"/>
      <c r="I172" s="1"/>
      <c r="J172" s="2"/>
      <c r="K172" s="2"/>
      <c r="L172" s="2"/>
      <c r="M172" s="2"/>
      <c r="N172" s="2"/>
      <c r="O172" s="16"/>
    </row>
    <row r="173" spans="4:15" ht="14.25" customHeight="1" x14ac:dyDescent="0.3">
      <c r="D173" s="15"/>
      <c r="E173" s="15"/>
      <c r="F173" s="21"/>
      <c r="G173" s="1"/>
      <c r="H173" s="19"/>
      <c r="I173" s="1"/>
      <c r="J173" s="2"/>
      <c r="K173" s="2"/>
      <c r="L173" s="2"/>
      <c r="M173" s="2"/>
      <c r="N173" s="2"/>
      <c r="O173" s="16"/>
    </row>
    <row r="174" spans="4:15" ht="14.25" customHeight="1" x14ac:dyDescent="0.3">
      <c r="D174" s="15"/>
      <c r="E174" s="15"/>
      <c r="F174" s="21"/>
      <c r="G174" s="1"/>
      <c r="H174" s="19"/>
      <c r="I174" s="1"/>
      <c r="J174" s="2"/>
      <c r="K174" s="2"/>
      <c r="L174" s="2"/>
      <c r="M174" s="2"/>
      <c r="N174" s="2"/>
      <c r="O174" s="16"/>
    </row>
    <row r="175" spans="4:15" ht="14.25" customHeight="1" x14ac:dyDescent="0.3">
      <c r="D175" s="15"/>
      <c r="E175" s="15"/>
      <c r="F175" s="21"/>
      <c r="G175" s="1"/>
      <c r="H175" s="19"/>
      <c r="I175" s="1"/>
      <c r="J175" s="2"/>
      <c r="K175" s="2"/>
      <c r="L175" s="2"/>
      <c r="M175" s="2"/>
      <c r="N175" s="2"/>
      <c r="O175" s="16"/>
    </row>
    <row r="176" spans="4:15" ht="14.25" customHeight="1" x14ac:dyDescent="0.3">
      <c r="D176" s="15"/>
      <c r="E176" s="15"/>
      <c r="F176" s="21"/>
      <c r="G176" s="1"/>
      <c r="H176" s="19"/>
      <c r="I176" s="1"/>
      <c r="J176" s="2"/>
      <c r="K176" s="2"/>
      <c r="L176" s="2"/>
      <c r="M176" s="2"/>
      <c r="N176" s="2"/>
      <c r="O176" s="16"/>
    </row>
    <row r="177" spans="4:15" ht="14.25" customHeight="1" x14ac:dyDescent="0.3">
      <c r="D177" s="15"/>
      <c r="E177" s="15"/>
      <c r="F177" s="21"/>
      <c r="G177" s="1"/>
      <c r="H177" s="19"/>
      <c r="I177" s="1"/>
      <c r="J177" s="2"/>
      <c r="K177" s="2"/>
      <c r="L177" s="2"/>
      <c r="M177" s="2"/>
      <c r="N177" s="2"/>
      <c r="O177" s="16"/>
    </row>
    <row r="178" spans="4:15" ht="14.25" customHeight="1" x14ac:dyDescent="0.3">
      <c r="D178" s="15"/>
      <c r="E178" s="15"/>
      <c r="F178" s="21"/>
      <c r="G178" s="1"/>
      <c r="H178" s="19"/>
      <c r="I178" s="1"/>
      <c r="J178" s="2"/>
      <c r="K178" s="2"/>
      <c r="L178" s="2"/>
      <c r="M178" s="2"/>
      <c r="N178" s="2"/>
      <c r="O178" s="16"/>
    </row>
    <row r="179" spans="4:15" ht="14.25" customHeight="1" x14ac:dyDescent="0.3">
      <c r="D179" s="15"/>
      <c r="E179" s="15"/>
      <c r="F179" s="21"/>
      <c r="G179" s="1"/>
      <c r="H179" s="19"/>
      <c r="I179" s="1"/>
      <c r="J179" s="2"/>
      <c r="K179" s="2"/>
      <c r="L179" s="2"/>
      <c r="M179" s="2"/>
      <c r="N179" s="2"/>
      <c r="O179" s="16"/>
    </row>
    <row r="180" spans="4:15" ht="14.25" customHeight="1" x14ac:dyDescent="0.3">
      <c r="D180" s="15"/>
      <c r="E180" s="15"/>
      <c r="F180" s="21"/>
      <c r="G180" s="1"/>
      <c r="H180" s="19"/>
      <c r="I180" s="1"/>
      <c r="J180" s="2"/>
      <c r="K180" s="2"/>
      <c r="L180" s="2"/>
      <c r="M180" s="2"/>
      <c r="N180" s="2"/>
      <c r="O180" s="16"/>
    </row>
    <row r="181" spans="4:15" ht="14.25" customHeight="1" x14ac:dyDescent="0.3">
      <c r="D181" s="15"/>
      <c r="E181" s="15"/>
      <c r="F181" s="21"/>
      <c r="G181" s="1"/>
      <c r="H181" s="19"/>
      <c r="I181" s="1"/>
      <c r="J181" s="2"/>
      <c r="K181" s="2"/>
      <c r="L181" s="2"/>
      <c r="M181" s="2"/>
      <c r="N181" s="2"/>
      <c r="O181" s="16"/>
    </row>
    <row r="182" spans="4:15" ht="14.25" customHeight="1" x14ac:dyDescent="0.3">
      <c r="D182" s="15"/>
      <c r="E182" s="15"/>
      <c r="F182" s="21"/>
      <c r="G182" s="1"/>
      <c r="H182" s="19"/>
      <c r="I182" s="1"/>
      <c r="J182" s="2"/>
      <c r="K182" s="2"/>
      <c r="L182" s="2"/>
      <c r="M182" s="2"/>
      <c r="N182" s="2"/>
      <c r="O182" s="16"/>
    </row>
    <row r="183" spans="4:15" ht="14.25" customHeight="1" x14ac:dyDescent="0.3">
      <c r="D183" s="15"/>
      <c r="E183" s="15"/>
      <c r="F183" s="21"/>
      <c r="G183" s="1"/>
      <c r="H183" s="19"/>
      <c r="I183" s="1"/>
      <c r="J183" s="2"/>
      <c r="K183" s="2"/>
      <c r="L183" s="2"/>
      <c r="M183" s="2"/>
      <c r="N183" s="2"/>
      <c r="O183" s="16"/>
    </row>
    <row r="184" spans="4:15" ht="14.25" customHeight="1" x14ac:dyDescent="0.3">
      <c r="D184" s="15"/>
      <c r="E184" s="15"/>
      <c r="F184" s="21"/>
      <c r="G184" s="1"/>
      <c r="H184" s="19"/>
      <c r="I184" s="1"/>
      <c r="J184" s="2"/>
      <c r="K184" s="2"/>
      <c r="L184" s="2"/>
      <c r="M184" s="2"/>
      <c r="N184" s="2"/>
      <c r="O184" s="16"/>
    </row>
    <row r="185" spans="4:15" ht="14.25" customHeight="1" x14ac:dyDescent="0.3">
      <c r="D185" s="15"/>
      <c r="E185" s="15"/>
      <c r="F185" s="21"/>
      <c r="G185" s="1"/>
      <c r="H185" s="19"/>
      <c r="I185" s="1"/>
      <c r="J185" s="2"/>
      <c r="K185" s="2"/>
      <c r="L185" s="2"/>
      <c r="M185" s="2"/>
      <c r="N185" s="2"/>
      <c r="O185" s="16"/>
    </row>
    <row r="186" spans="4:15" ht="14.25" customHeight="1" x14ac:dyDescent="0.3">
      <c r="D186" s="15"/>
      <c r="E186" s="15"/>
      <c r="F186" s="21"/>
      <c r="G186" s="1"/>
      <c r="H186" s="19"/>
      <c r="I186" s="1"/>
      <c r="J186" s="2"/>
      <c r="K186" s="2"/>
      <c r="L186" s="2"/>
      <c r="M186" s="2"/>
      <c r="N186" s="2"/>
      <c r="O186" s="16"/>
    </row>
    <row r="187" spans="4:15" ht="14.25" customHeight="1" x14ac:dyDescent="0.3">
      <c r="D187" s="15"/>
      <c r="E187" s="15"/>
      <c r="F187" s="21"/>
      <c r="G187" s="1"/>
      <c r="H187" s="19"/>
      <c r="I187" s="1"/>
      <c r="J187" s="2"/>
      <c r="K187" s="2"/>
      <c r="L187" s="2"/>
      <c r="M187" s="2"/>
      <c r="N187" s="2"/>
      <c r="O187" s="16"/>
    </row>
    <row r="188" spans="4:15" ht="14.25" customHeight="1" x14ac:dyDescent="0.3">
      <c r="D188" s="15"/>
      <c r="E188" s="15"/>
      <c r="F188" s="21"/>
      <c r="G188" s="1"/>
      <c r="H188" s="19"/>
      <c r="I188" s="1"/>
      <c r="J188" s="2"/>
      <c r="K188" s="2"/>
      <c r="L188" s="2"/>
      <c r="M188" s="2"/>
      <c r="N188" s="2"/>
      <c r="O188" s="16"/>
    </row>
    <row r="189" spans="4:15" ht="14.25" customHeight="1" x14ac:dyDescent="0.3">
      <c r="D189" s="15"/>
      <c r="E189" s="15"/>
      <c r="F189" s="21"/>
      <c r="G189" s="1"/>
      <c r="H189" s="19"/>
      <c r="I189" s="1"/>
      <c r="J189" s="2"/>
      <c r="K189" s="2"/>
      <c r="L189" s="2"/>
      <c r="M189" s="2"/>
      <c r="N189" s="2"/>
      <c r="O189" s="16"/>
    </row>
    <row r="190" spans="4:15" ht="14.25" customHeight="1" x14ac:dyDescent="0.3">
      <c r="D190" s="15"/>
      <c r="E190" s="15"/>
      <c r="F190" s="21"/>
      <c r="G190" s="1"/>
      <c r="H190" s="19"/>
      <c r="I190" s="1"/>
      <c r="J190" s="2"/>
      <c r="K190" s="2"/>
      <c r="L190" s="2"/>
      <c r="M190" s="2"/>
      <c r="N190" s="2"/>
      <c r="O190" s="16"/>
    </row>
    <row r="191" spans="4:15" ht="14.25" customHeight="1" x14ac:dyDescent="0.3">
      <c r="D191" s="15"/>
      <c r="E191" s="15"/>
      <c r="F191" s="21"/>
      <c r="G191" s="1"/>
      <c r="H191" s="19"/>
      <c r="I191" s="1"/>
      <c r="J191" s="2"/>
      <c r="K191" s="2"/>
      <c r="L191" s="2"/>
      <c r="M191" s="2"/>
      <c r="N191" s="2"/>
      <c r="O191" s="16"/>
    </row>
    <row r="192" spans="4:15" ht="14.25" customHeight="1" x14ac:dyDescent="0.3">
      <c r="D192" s="15"/>
      <c r="E192" s="15"/>
      <c r="F192" s="21"/>
      <c r="G192" s="1"/>
      <c r="H192" s="19"/>
      <c r="I192" s="1"/>
      <c r="J192" s="2"/>
      <c r="K192" s="2"/>
      <c r="L192" s="2"/>
      <c r="M192" s="2"/>
      <c r="N192" s="2"/>
      <c r="O192" s="16"/>
    </row>
    <row r="193" spans="4:15" ht="14.25" customHeight="1" x14ac:dyDescent="0.3">
      <c r="D193" s="15"/>
      <c r="E193" s="15"/>
      <c r="F193" s="21"/>
      <c r="G193" s="1"/>
      <c r="H193" s="19"/>
      <c r="I193" s="1"/>
      <c r="J193" s="2"/>
      <c r="K193" s="2"/>
      <c r="L193" s="2"/>
      <c r="M193" s="2"/>
      <c r="N193" s="2"/>
      <c r="O193" s="16"/>
    </row>
    <row r="194" spans="4:15" ht="14.25" customHeight="1" x14ac:dyDescent="0.3">
      <c r="D194" s="15"/>
      <c r="E194" s="15"/>
      <c r="F194" s="21"/>
      <c r="G194" s="1"/>
      <c r="H194" s="19"/>
      <c r="I194" s="1"/>
      <c r="J194" s="2"/>
      <c r="K194" s="2"/>
      <c r="L194" s="2"/>
      <c r="M194" s="2"/>
      <c r="N194" s="2"/>
      <c r="O194" s="16"/>
    </row>
    <row r="195" spans="4:15" ht="14.25" customHeight="1" x14ac:dyDescent="0.3">
      <c r="D195" s="15"/>
      <c r="E195" s="15"/>
      <c r="F195" s="21"/>
      <c r="G195" s="1"/>
      <c r="H195" s="19"/>
      <c r="I195" s="1"/>
      <c r="J195" s="2"/>
      <c r="K195" s="2"/>
      <c r="L195" s="2"/>
      <c r="M195" s="2"/>
      <c r="N195" s="2"/>
      <c r="O195" s="16"/>
    </row>
    <row r="196" spans="4:15" ht="14.25" customHeight="1" x14ac:dyDescent="0.3">
      <c r="D196" s="15"/>
      <c r="E196" s="15"/>
      <c r="F196" s="21"/>
      <c r="G196" s="1"/>
      <c r="H196" s="19"/>
      <c r="I196" s="1"/>
      <c r="J196" s="2"/>
      <c r="K196" s="2"/>
      <c r="L196" s="2"/>
      <c r="M196" s="2"/>
      <c r="N196" s="2"/>
      <c r="O196" s="16"/>
    </row>
    <row r="197" spans="4:15" ht="14.25" customHeight="1" x14ac:dyDescent="0.3">
      <c r="D197" s="15"/>
      <c r="E197" s="15"/>
      <c r="F197" s="21"/>
      <c r="G197" s="1"/>
      <c r="H197" s="19"/>
      <c r="I197" s="1"/>
      <c r="J197" s="2"/>
      <c r="K197" s="2"/>
      <c r="L197" s="2"/>
      <c r="M197" s="2"/>
      <c r="N197" s="2"/>
      <c r="O197" s="16"/>
    </row>
    <row r="198" spans="4:15" ht="14.25" customHeight="1" x14ac:dyDescent="0.3">
      <c r="D198" s="15"/>
      <c r="E198" s="15"/>
      <c r="F198" s="21"/>
      <c r="G198" s="1"/>
      <c r="H198" s="19"/>
      <c r="I198" s="1"/>
      <c r="J198" s="2"/>
      <c r="K198" s="2"/>
      <c r="L198" s="2"/>
      <c r="M198" s="2"/>
      <c r="N198" s="2"/>
      <c r="O198" s="16"/>
    </row>
    <row r="199" spans="4:15" ht="14.25" customHeight="1" x14ac:dyDescent="0.3">
      <c r="D199" s="15"/>
      <c r="E199" s="15"/>
      <c r="F199" s="21"/>
      <c r="G199" s="1"/>
      <c r="H199" s="19"/>
      <c r="I199" s="1"/>
      <c r="J199" s="2"/>
      <c r="K199" s="2"/>
      <c r="L199" s="2"/>
      <c r="M199" s="2"/>
      <c r="N199" s="2"/>
      <c r="O199" s="16"/>
    </row>
    <row r="200" spans="4:15" ht="14.25" customHeight="1" x14ac:dyDescent="0.3">
      <c r="D200" s="15"/>
      <c r="E200" s="15"/>
      <c r="F200" s="21"/>
      <c r="G200" s="1"/>
      <c r="H200" s="19"/>
      <c r="I200" s="1"/>
      <c r="J200" s="2"/>
      <c r="K200" s="2"/>
      <c r="L200" s="2"/>
      <c r="M200" s="2"/>
      <c r="N200" s="2"/>
      <c r="O200" s="16"/>
    </row>
    <row r="201" spans="4:15" ht="14.25" customHeight="1" x14ac:dyDescent="0.3">
      <c r="D201" s="15"/>
      <c r="E201" s="15"/>
      <c r="F201" s="21"/>
      <c r="G201" s="1"/>
      <c r="H201" s="19"/>
      <c r="I201" s="1"/>
      <c r="J201" s="2"/>
      <c r="K201" s="2"/>
      <c r="L201" s="2"/>
      <c r="M201" s="2"/>
      <c r="N201" s="2"/>
      <c r="O201" s="16"/>
    </row>
    <row r="202" spans="4:15" ht="14.25" customHeight="1" x14ac:dyDescent="0.3">
      <c r="D202" s="15"/>
      <c r="E202" s="15"/>
      <c r="F202" s="21"/>
      <c r="G202" s="1"/>
      <c r="H202" s="19"/>
      <c r="I202" s="1"/>
      <c r="J202" s="2"/>
      <c r="K202" s="2"/>
      <c r="L202" s="2"/>
      <c r="M202" s="2"/>
      <c r="N202" s="2"/>
      <c r="O202" s="16"/>
    </row>
    <row r="203" spans="4:15" ht="14.25" customHeight="1" x14ac:dyDescent="0.3">
      <c r="D203" s="15"/>
      <c r="E203" s="15"/>
      <c r="F203" s="21"/>
      <c r="G203" s="1"/>
      <c r="H203" s="19"/>
      <c r="I203" s="1"/>
      <c r="J203" s="2"/>
      <c r="K203" s="2"/>
      <c r="L203" s="2"/>
      <c r="M203" s="2"/>
      <c r="N203" s="2"/>
      <c r="O203" s="16"/>
    </row>
    <row r="204" spans="4:15" ht="14.25" customHeight="1" x14ac:dyDescent="0.3">
      <c r="D204" s="15"/>
      <c r="E204" s="15"/>
      <c r="F204" s="21"/>
      <c r="G204" s="1"/>
      <c r="H204" s="19"/>
      <c r="I204" s="1"/>
      <c r="J204" s="2"/>
      <c r="K204" s="2"/>
      <c r="L204" s="2"/>
      <c r="M204" s="2"/>
      <c r="N204" s="2"/>
      <c r="O204" s="16"/>
    </row>
    <row r="205" spans="4:15" ht="14.25" customHeight="1" x14ac:dyDescent="0.3">
      <c r="D205" s="15"/>
      <c r="E205" s="15"/>
      <c r="F205" s="21"/>
      <c r="G205" s="1"/>
      <c r="H205" s="19"/>
      <c r="I205" s="1"/>
      <c r="J205" s="2"/>
      <c r="K205" s="2"/>
      <c r="L205" s="2"/>
      <c r="M205" s="2"/>
      <c r="N205" s="2"/>
      <c r="O205" s="16"/>
    </row>
    <row r="206" spans="4:15" ht="14.25" customHeight="1" x14ac:dyDescent="0.3">
      <c r="D206" s="15"/>
      <c r="E206" s="15"/>
      <c r="F206" s="21"/>
      <c r="G206" s="1"/>
      <c r="H206" s="19"/>
      <c r="I206" s="1"/>
      <c r="J206" s="2"/>
      <c r="K206" s="2"/>
      <c r="L206" s="2"/>
      <c r="M206" s="2"/>
      <c r="N206" s="2"/>
      <c r="O206" s="16"/>
    </row>
    <row r="207" spans="4:15" ht="14.25" customHeight="1" x14ac:dyDescent="0.3">
      <c r="D207" s="15"/>
      <c r="E207" s="15"/>
      <c r="F207" s="21"/>
      <c r="G207" s="1"/>
      <c r="H207" s="19"/>
      <c r="I207" s="1"/>
      <c r="J207" s="2"/>
      <c r="K207" s="2"/>
      <c r="L207" s="2"/>
      <c r="M207" s="2"/>
      <c r="N207" s="2"/>
      <c r="O207" s="16"/>
    </row>
    <row r="208" spans="4:15" ht="14.25" customHeight="1" x14ac:dyDescent="0.3">
      <c r="D208" s="15"/>
      <c r="E208" s="15"/>
      <c r="F208" s="21"/>
      <c r="G208" s="1"/>
      <c r="H208" s="19"/>
      <c r="I208" s="1"/>
      <c r="J208" s="2"/>
      <c r="K208" s="2"/>
      <c r="L208" s="2"/>
      <c r="M208" s="2"/>
      <c r="N208" s="2"/>
      <c r="O208" s="16"/>
    </row>
    <row r="209" spans="4:15" ht="14.25" customHeight="1" x14ac:dyDescent="0.3">
      <c r="D209" s="15"/>
      <c r="E209" s="15"/>
      <c r="F209" s="21"/>
      <c r="G209" s="1"/>
      <c r="H209" s="19"/>
      <c r="I209" s="1"/>
      <c r="J209" s="2"/>
      <c r="K209" s="2"/>
      <c r="L209" s="2"/>
      <c r="M209" s="2"/>
      <c r="N209" s="2"/>
      <c r="O209" s="16"/>
    </row>
    <row r="210" spans="4:15" ht="14.25" customHeight="1" x14ac:dyDescent="0.3">
      <c r="D210" s="15"/>
      <c r="E210" s="15"/>
      <c r="F210" s="21"/>
      <c r="G210" s="1"/>
      <c r="H210" s="19"/>
      <c r="I210" s="1"/>
      <c r="J210" s="2"/>
      <c r="K210" s="2"/>
      <c r="L210" s="2"/>
      <c r="M210" s="2"/>
      <c r="N210" s="2"/>
      <c r="O210" s="16"/>
    </row>
    <row r="211" spans="4:15" ht="14.25" customHeight="1" x14ac:dyDescent="0.3">
      <c r="D211" s="15"/>
      <c r="E211" s="15"/>
      <c r="F211" s="21"/>
      <c r="G211" s="1"/>
      <c r="H211" s="19"/>
      <c r="I211" s="1"/>
      <c r="J211" s="2"/>
      <c r="K211" s="2"/>
      <c r="L211" s="2"/>
      <c r="M211" s="2"/>
      <c r="N211" s="2"/>
      <c r="O211" s="16"/>
    </row>
    <row r="212" spans="4:15" ht="14.25" customHeight="1" x14ac:dyDescent="0.3">
      <c r="D212" s="15"/>
      <c r="E212" s="15"/>
      <c r="F212" s="21"/>
      <c r="G212" s="1"/>
      <c r="H212" s="19"/>
      <c r="I212" s="1"/>
      <c r="J212" s="2"/>
      <c r="K212" s="2"/>
      <c r="L212" s="2"/>
      <c r="M212" s="2"/>
      <c r="N212" s="2"/>
      <c r="O212" s="16"/>
    </row>
    <row r="213" spans="4:15" ht="14.25" customHeight="1" x14ac:dyDescent="0.3">
      <c r="D213" s="15"/>
      <c r="E213" s="15"/>
      <c r="F213" s="21"/>
      <c r="G213" s="1"/>
      <c r="H213" s="19"/>
      <c r="I213" s="1"/>
      <c r="J213" s="2"/>
      <c r="K213" s="2"/>
      <c r="L213" s="2"/>
      <c r="M213" s="2"/>
      <c r="N213" s="2"/>
      <c r="O213" s="16"/>
    </row>
    <row r="214" spans="4:15" ht="14.25" customHeight="1" x14ac:dyDescent="0.3">
      <c r="D214" s="15"/>
      <c r="E214" s="15"/>
      <c r="F214" s="21"/>
      <c r="G214" s="1"/>
      <c r="H214" s="19"/>
      <c r="I214" s="1"/>
      <c r="J214" s="2"/>
      <c r="K214" s="2"/>
      <c r="L214" s="2"/>
      <c r="M214" s="2"/>
      <c r="N214" s="2"/>
      <c r="O214" s="16"/>
    </row>
    <row r="215" spans="4:15" ht="14.25" customHeight="1" x14ac:dyDescent="0.3">
      <c r="D215" s="15"/>
      <c r="E215" s="15"/>
      <c r="F215" s="21"/>
      <c r="G215" s="1"/>
      <c r="H215" s="19"/>
      <c r="I215" s="1"/>
      <c r="J215" s="2"/>
      <c r="K215" s="2"/>
      <c r="L215" s="2"/>
      <c r="M215" s="2"/>
      <c r="N215" s="2"/>
      <c r="O215" s="16"/>
    </row>
    <row r="216" spans="4:15" ht="14.25" customHeight="1" x14ac:dyDescent="0.3">
      <c r="D216" s="15"/>
      <c r="E216" s="15"/>
      <c r="F216" s="21"/>
      <c r="G216" s="1"/>
      <c r="H216" s="19"/>
      <c r="I216" s="1"/>
      <c r="J216" s="2"/>
      <c r="K216" s="2"/>
      <c r="L216" s="2"/>
      <c r="M216" s="2"/>
      <c r="N216" s="2"/>
      <c r="O216" s="16"/>
    </row>
    <row r="217" spans="4:15" ht="14.25" customHeight="1" x14ac:dyDescent="0.3">
      <c r="D217" s="15"/>
      <c r="E217" s="15"/>
      <c r="F217" s="21"/>
      <c r="G217" s="1"/>
      <c r="H217" s="19"/>
      <c r="I217" s="1"/>
      <c r="J217" s="2"/>
      <c r="K217" s="2"/>
      <c r="L217" s="2"/>
      <c r="M217" s="2"/>
      <c r="N217" s="2"/>
      <c r="O217" s="16"/>
    </row>
    <row r="218" spans="4:15" ht="14.25" customHeight="1" x14ac:dyDescent="0.3">
      <c r="D218" s="15"/>
      <c r="E218" s="15"/>
      <c r="F218" s="21"/>
      <c r="G218" s="1"/>
      <c r="H218" s="19"/>
      <c r="I218" s="1"/>
      <c r="J218" s="2"/>
      <c r="K218" s="2"/>
      <c r="L218" s="2"/>
      <c r="M218" s="2"/>
      <c r="N218" s="2"/>
      <c r="O218" s="16"/>
    </row>
    <row r="219" spans="4:15" ht="14.25" customHeight="1" x14ac:dyDescent="0.3">
      <c r="D219" s="15"/>
      <c r="E219" s="15"/>
      <c r="F219" s="21"/>
      <c r="G219" s="1"/>
      <c r="H219" s="19"/>
      <c r="I219" s="1"/>
      <c r="J219" s="2"/>
      <c r="K219" s="2"/>
      <c r="L219" s="2"/>
      <c r="M219" s="2"/>
      <c r="N219" s="2"/>
      <c r="O219" s="16"/>
    </row>
    <row r="220" spans="4:15" ht="14.25" customHeight="1" x14ac:dyDescent="0.3">
      <c r="D220" s="15"/>
      <c r="E220" s="15"/>
      <c r="F220" s="21"/>
      <c r="G220" s="1"/>
      <c r="H220" s="19"/>
      <c r="I220" s="1"/>
      <c r="J220" s="2"/>
      <c r="K220" s="2"/>
      <c r="L220" s="2"/>
      <c r="M220" s="2"/>
      <c r="N220" s="2"/>
      <c r="O220" s="16"/>
    </row>
    <row r="221" spans="4:15" ht="14.25" customHeight="1" x14ac:dyDescent="0.3">
      <c r="D221" s="15"/>
      <c r="E221" s="15"/>
      <c r="F221" s="21"/>
      <c r="G221" s="1"/>
      <c r="H221" s="19"/>
      <c r="I221" s="1"/>
      <c r="J221" s="2"/>
      <c r="K221" s="2"/>
      <c r="L221" s="2"/>
      <c r="M221" s="2"/>
      <c r="N221" s="2"/>
      <c r="O221" s="16"/>
    </row>
    <row r="222" spans="4:15" ht="14.25" customHeight="1" x14ac:dyDescent="0.3">
      <c r="D222" s="15"/>
      <c r="E222" s="15"/>
      <c r="F222" s="21"/>
      <c r="G222" s="1"/>
      <c r="H222" s="19"/>
      <c r="I222" s="1"/>
      <c r="J222" s="2"/>
      <c r="K222" s="2"/>
      <c r="L222" s="2"/>
      <c r="M222" s="2"/>
      <c r="N222" s="2"/>
      <c r="O222" s="16"/>
    </row>
    <row r="223" spans="4:15" ht="14.25" customHeight="1" x14ac:dyDescent="0.3">
      <c r="D223" s="15"/>
      <c r="E223" s="15"/>
      <c r="F223" s="21"/>
      <c r="G223" s="1"/>
      <c r="H223" s="19"/>
      <c r="I223" s="1"/>
      <c r="J223" s="2"/>
      <c r="K223" s="2"/>
      <c r="L223" s="2"/>
      <c r="M223" s="2"/>
      <c r="N223" s="2"/>
      <c r="O223" s="16"/>
    </row>
    <row r="224" spans="4:15" ht="14.25" customHeight="1" x14ac:dyDescent="0.3">
      <c r="D224" s="15"/>
      <c r="E224" s="15"/>
      <c r="F224" s="21"/>
      <c r="G224" s="1"/>
      <c r="H224" s="19"/>
      <c r="I224" s="1"/>
      <c r="J224" s="2"/>
      <c r="K224" s="2"/>
      <c r="L224" s="2"/>
      <c r="M224" s="2"/>
      <c r="N224" s="2"/>
      <c r="O224" s="16"/>
    </row>
    <row r="225" spans="4:15" ht="14.25" customHeight="1" x14ac:dyDescent="0.3">
      <c r="D225" s="15"/>
      <c r="E225" s="15"/>
      <c r="F225" s="21"/>
      <c r="G225" s="1"/>
      <c r="H225" s="19"/>
      <c r="I225" s="1"/>
      <c r="J225" s="2"/>
      <c r="K225" s="2"/>
      <c r="L225" s="2"/>
      <c r="M225" s="2"/>
      <c r="N225" s="2"/>
      <c r="O225" s="16"/>
    </row>
    <row r="226" spans="4:15" ht="14.25" customHeight="1" x14ac:dyDescent="0.3">
      <c r="D226" s="15"/>
      <c r="E226" s="15"/>
      <c r="F226" s="21"/>
      <c r="G226" s="1"/>
      <c r="H226" s="19"/>
      <c r="I226" s="1"/>
      <c r="J226" s="2"/>
      <c r="K226" s="2"/>
      <c r="L226" s="2"/>
      <c r="M226" s="2"/>
      <c r="N226" s="2"/>
      <c r="O226" s="16"/>
    </row>
    <row r="227" spans="4:15" ht="14.25" customHeight="1" x14ac:dyDescent="0.3">
      <c r="D227" s="15"/>
      <c r="E227" s="15"/>
      <c r="F227" s="21"/>
      <c r="G227" s="1"/>
      <c r="H227" s="19"/>
      <c r="I227" s="1"/>
      <c r="J227" s="2"/>
      <c r="K227" s="2"/>
      <c r="L227" s="2"/>
      <c r="M227" s="2"/>
      <c r="N227" s="2"/>
      <c r="O227" s="16"/>
    </row>
    <row r="228" spans="4:15" ht="14.25" customHeight="1" x14ac:dyDescent="0.3">
      <c r="D228" s="15"/>
      <c r="E228" s="15"/>
      <c r="F228" s="21"/>
      <c r="G228" s="1"/>
      <c r="H228" s="19"/>
      <c r="I228" s="1"/>
      <c r="J228" s="2"/>
      <c r="K228" s="2"/>
      <c r="L228" s="2"/>
      <c r="M228" s="2"/>
      <c r="N228" s="2"/>
      <c r="O228" s="16"/>
    </row>
    <row r="229" spans="4:15" ht="14.25" customHeight="1" x14ac:dyDescent="0.3">
      <c r="D229" s="15"/>
      <c r="E229" s="15"/>
      <c r="F229" s="21"/>
      <c r="G229" s="1"/>
      <c r="H229" s="19"/>
      <c r="I229" s="1"/>
      <c r="J229" s="2"/>
      <c r="K229" s="2"/>
      <c r="L229" s="2"/>
      <c r="M229" s="2"/>
      <c r="N229" s="2"/>
      <c r="O229" s="16"/>
    </row>
    <row r="230" spans="4:15" ht="14.25" customHeight="1" x14ac:dyDescent="0.3">
      <c r="D230" s="15"/>
      <c r="E230" s="15"/>
      <c r="F230" s="21"/>
      <c r="G230" s="1"/>
      <c r="H230" s="19"/>
      <c r="I230" s="1"/>
      <c r="J230" s="2"/>
      <c r="K230" s="2"/>
      <c r="L230" s="2"/>
      <c r="M230" s="2"/>
      <c r="N230" s="2"/>
      <c r="O230" s="16"/>
    </row>
    <row r="231" spans="4:15" ht="14.25" customHeight="1" x14ac:dyDescent="0.3">
      <c r="D231" s="15"/>
      <c r="E231" s="15"/>
      <c r="F231" s="21"/>
      <c r="G231" s="1"/>
      <c r="H231" s="19"/>
      <c r="I231" s="1"/>
      <c r="J231" s="2"/>
      <c r="K231" s="2"/>
      <c r="L231" s="2"/>
      <c r="M231" s="2"/>
      <c r="N231" s="2"/>
      <c r="O231" s="16"/>
    </row>
    <row r="232" spans="4:15" ht="14.25" customHeight="1" x14ac:dyDescent="0.3">
      <c r="D232" s="15"/>
      <c r="E232" s="15"/>
      <c r="F232" s="21"/>
      <c r="G232" s="1"/>
      <c r="H232" s="19"/>
      <c r="I232" s="1"/>
      <c r="J232" s="2"/>
      <c r="K232" s="2"/>
      <c r="L232" s="2"/>
      <c r="M232" s="2"/>
      <c r="N232" s="2"/>
      <c r="O232" s="16"/>
    </row>
    <row r="233" spans="4:15" ht="14.25" customHeight="1" x14ac:dyDescent="0.3">
      <c r="D233" s="15"/>
      <c r="E233" s="15"/>
      <c r="F233" s="21"/>
      <c r="G233" s="1"/>
      <c r="H233" s="19"/>
      <c r="I233" s="1"/>
      <c r="J233" s="2"/>
      <c r="K233" s="2"/>
      <c r="L233" s="2"/>
      <c r="M233" s="2"/>
      <c r="N233" s="2"/>
      <c r="O233" s="16"/>
    </row>
    <row r="234" spans="4:15" ht="14.25" customHeight="1" x14ac:dyDescent="0.3">
      <c r="D234" s="15"/>
      <c r="E234" s="15"/>
      <c r="F234" s="21"/>
      <c r="G234" s="1"/>
      <c r="H234" s="19"/>
      <c r="I234" s="1"/>
      <c r="J234" s="2"/>
      <c r="K234" s="2"/>
      <c r="L234" s="2"/>
      <c r="M234" s="2"/>
      <c r="N234" s="2"/>
      <c r="O234" s="16"/>
    </row>
    <row r="235" spans="4:15" ht="14.25" customHeight="1" x14ac:dyDescent="0.3">
      <c r="D235" s="15"/>
      <c r="E235" s="15"/>
      <c r="F235" s="21"/>
      <c r="G235" s="1"/>
      <c r="H235" s="19"/>
      <c r="I235" s="1"/>
      <c r="J235" s="2"/>
      <c r="K235" s="2"/>
      <c r="L235" s="2"/>
      <c r="M235" s="2"/>
      <c r="N235" s="2"/>
      <c r="O235" s="16"/>
    </row>
    <row r="236" spans="4:15" ht="14.25" customHeight="1" x14ac:dyDescent="0.3">
      <c r="D236" s="15"/>
      <c r="E236" s="15"/>
      <c r="F236" s="21"/>
      <c r="G236" s="1"/>
      <c r="H236" s="19"/>
      <c r="I236" s="1"/>
      <c r="J236" s="2"/>
      <c r="K236" s="2"/>
      <c r="L236" s="2"/>
      <c r="M236" s="2"/>
      <c r="N236" s="2"/>
      <c r="O236" s="16"/>
    </row>
    <row r="237" spans="4:15" ht="14.25" customHeight="1" x14ac:dyDescent="0.3">
      <c r="D237" s="15"/>
      <c r="E237" s="15"/>
      <c r="F237" s="21"/>
      <c r="G237" s="1"/>
      <c r="H237" s="19"/>
      <c r="I237" s="1"/>
      <c r="J237" s="2"/>
      <c r="K237" s="2"/>
      <c r="L237" s="2"/>
      <c r="M237" s="2"/>
      <c r="N237" s="2"/>
      <c r="O237" s="16"/>
    </row>
    <row r="238" spans="4:15" ht="14.25" customHeight="1" x14ac:dyDescent="0.3">
      <c r="D238" s="15"/>
      <c r="E238" s="15"/>
      <c r="F238" s="21"/>
      <c r="G238" s="1"/>
      <c r="H238" s="19"/>
      <c r="I238" s="1"/>
      <c r="J238" s="2"/>
      <c r="K238" s="2"/>
      <c r="L238" s="2"/>
      <c r="M238" s="2"/>
      <c r="N238" s="2"/>
      <c r="O238" s="16"/>
    </row>
    <row r="239" spans="4:15" ht="14.25" customHeight="1" x14ac:dyDescent="0.3">
      <c r="D239" s="15"/>
      <c r="E239" s="15"/>
      <c r="F239" s="21"/>
      <c r="G239" s="1"/>
      <c r="H239" s="19"/>
      <c r="I239" s="1"/>
      <c r="J239" s="2"/>
      <c r="K239" s="2"/>
      <c r="L239" s="2"/>
      <c r="M239" s="2"/>
      <c r="N239" s="2"/>
      <c r="O239" s="16"/>
    </row>
    <row r="240" spans="4:15" ht="14.25" customHeight="1" x14ac:dyDescent="0.3">
      <c r="D240" s="15"/>
      <c r="E240" s="15"/>
      <c r="F240" s="21"/>
      <c r="G240" s="1"/>
      <c r="H240" s="19"/>
      <c r="I240" s="1"/>
      <c r="J240" s="2"/>
      <c r="K240" s="2"/>
      <c r="L240" s="2"/>
      <c r="M240" s="2"/>
      <c r="N240" s="2"/>
      <c r="O240" s="16"/>
    </row>
    <row r="241" spans="4:15" ht="14.25" customHeight="1" x14ac:dyDescent="0.3">
      <c r="D241" s="15"/>
      <c r="E241" s="15"/>
      <c r="F241" s="21"/>
      <c r="G241" s="1"/>
      <c r="H241" s="19"/>
      <c r="I241" s="1"/>
      <c r="J241" s="2"/>
      <c r="K241" s="2"/>
      <c r="L241" s="2"/>
      <c r="M241" s="2"/>
      <c r="N241" s="2"/>
      <c r="O241" s="16"/>
    </row>
    <row r="242" spans="4:15" ht="14.25" customHeight="1" x14ac:dyDescent="0.3">
      <c r="D242" s="15"/>
      <c r="E242" s="15"/>
      <c r="F242" s="21"/>
      <c r="G242" s="1"/>
      <c r="H242" s="19"/>
      <c r="I242" s="1"/>
      <c r="J242" s="2"/>
      <c r="K242" s="2"/>
      <c r="L242" s="2"/>
      <c r="M242" s="2"/>
      <c r="N242" s="2"/>
      <c r="O242" s="16"/>
    </row>
    <row r="243" spans="4:15" ht="14.25" customHeight="1" x14ac:dyDescent="0.3">
      <c r="D243" s="15"/>
      <c r="E243" s="15"/>
      <c r="F243" s="21"/>
      <c r="G243" s="1"/>
      <c r="H243" s="19"/>
      <c r="I243" s="1"/>
      <c r="J243" s="2"/>
      <c r="K243" s="2"/>
      <c r="L243" s="2"/>
      <c r="M243" s="2"/>
      <c r="N243" s="2"/>
      <c r="O243" s="16"/>
    </row>
    <row r="244" spans="4:15" ht="14.25" customHeight="1" x14ac:dyDescent="0.3">
      <c r="D244" s="15"/>
      <c r="E244" s="15"/>
      <c r="F244" s="21"/>
      <c r="G244" s="1"/>
      <c r="H244" s="19"/>
      <c r="I244" s="1"/>
      <c r="J244" s="2"/>
      <c r="K244" s="2"/>
      <c r="L244" s="2"/>
      <c r="M244" s="2"/>
      <c r="N244" s="2"/>
      <c r="O244" s="16"/>
    </row>
    <row r="245" spans="4:15" ht="14.25" customHeight="1" x14ac:dyDescent="0.3">
      <c r="D245" s="15"/>
      <c r="E245" s="15"/>
      <c r="F245" s="21"/>
      <c r="G245" s="1"/>
      <c r="H245" s="19"/>
      <c r="I245" s="1"/>
      <c r="J245" s="2"/>
      <c r="K245" s="2"/>
      <c r="L245" s="2"/>
      <c r="M245" s="2"/>
      <c r="N245" s="2"/>
      <c r="O245" s="16"/>
    </row>
    <row r="246" spans="4:15" ht="14.25" customHeight="1" x14ac:dyDescent="0.3">
      <c r="D246" s="15"/>
      <c r="E246" s="15"/>
      <c r="F246" s="21"/>
      <c r="G246" s="1"/>
      <c r="H246" s="19"/>
      <c r="I246" s="1"/>
      <c r="J246" s="2"/>
      <c r="K246" s="2"/>
      <c r="L246" s="2"/>
      <c r="M246" s="2"/>
      <c r="N246" s="2"/>
      <c r="O246" s="16"/>
    </row>
    <row r="247" spans="4:15" ht="14.25" customHeight="1" x14ac:dyDescent="0.3">
      <c r="D247" s="15"/>
      <c r="E247" s="15"/>
      <c r="F247" s="21"/>
      <c r="G247" s="1"/>
      <c r="H247" s="19"/>
      <c r="I247" s="1"/>
      <c r="J247" s="2"/>
      <c r="K247" s="2"/>
      <c r="L247" s="2"/>
      <c r="M247" s="2"/>
      <c r="N247" s="2"/>
      <c r="O247" s="16"/>
    </row>
    <row r="248" spans="4:15" ht="14.25" customHeight="1" x14ac:dyDescent="0.3">
      <c r="D248" s="15"/>
      <c r="E248" s="15"/>
      <c r="F248" s="21"/>
      <c r="G248" s="1"/>
      <c r="H248" s="19"/>
      <c r="I248" s="1"/>
      <c r="J248" s="2"/>
      <c r="K248" s="2"/>
      <c r="L248" s="2"/>
      <c r="M248" s="2"/>
      <c r="N248" s="2"/>
      <c r="O248" s="16"/>
    </row>
    <row r="249" spans="4:15" ht="14.25" customHeight="1" x14ac:dyDescent="0.3">
      <c r="D249" s="15"/>
      <c r="E249" s="15"/>
      <c r="F249" s="21"/>
      <c r="G249" s="1"/>
      <c r="H249" s="19"/>
      <c r="I249" s="1"/>
      <c r="J249" s="2"/>
      <c r="K249" s="2"/>
      <c r="L249" s="2"/>
      <c r="M249" s="2"/>
      <c r="N249" s="2"/>
      <c r="O249" s="16"/>
    </row>
    <row r="250" spans="4:15" ht="14.25" customHeight="1" x14ac:dyDescent="0.3">
      <c r="D250" s="15"/>
      <c r="E250" s="15"/>
      <c r="F250" s="21"/>
      <c r="G250" s="1"/>
      <c r="H250" s="19"/>
      <c r="I250" s="1"/>
      <c r="J250" s="2"/>
      <c r="K250" s="2"/>
      <c r="L250" s="2"/>
      <c r="M250" s="2"/>
      <c r="N250" s="2"/>
      <c r="O250" s="16"/>
    </row>
    <row r="251" spans="4:15" ht="14.25" customHeight="1" x14ac:dyDescent="0.3">
      <c r="D251" s="15"/>
      <c r="E251" s="15"/>
      <c r="F251" s="21"/>
      <c r="G251" s="1"/>
      <c r="H251" s="19"/>
      <c r="I251" s="1"/>
      <c r="J251" s="2"/>
      <c r="K251" s="2"/>
      <c r="L251" s="2"/>
      <c r="M251" s="2"/>
      <c r="N251" s="2"/>
      <c r="O251" s="16"/>
    </row>
    <row r="252" spans="4:15" ht="14.25" customHeight="1" x14ac:dyDescent="0.3">
      <c r="D252" s="15"/>
      <c r="E252" s="15"/>
      <c r="F252" s="21"/>
      <c r="G252" s="1"/>
      <c r="H252" s="19"/>
      <c r="I252" s="1"/>
      <c r="J252" s="2"/>
      <c r="K252" s="2"/>
      <c r="L252" s="2"/>
      <c r="M252" s="2"/>
      <c r="N252" s="2"/>
      <c r="O252" s="16"/>
    </row>
    <row r="253" spans="4:15" ht="14.25" customHeight="1" x14ac:dyDescent="0.3">
      <c r="D253" s="15"/>
      <c r="E253" s="15"/>
      <c r="F253" s="21"/>
      <c r="G253" s="1"/>
      <c r="H253" s="19"/>
      <c r="I253" s="1"/>
      <c r="J253" s="2"/>
      <c r="K253" s="2"/>
      <c r="L253" s="2"/>
      <c r="M253" s="2"/>
      <c r="N253" s="2"/>
      <c r="O253" s="16"/>
    </row>
    <row r="254" spans="4:15" ht="14.25" customHeight="1" x14ac:dyDescent="0.3">
      <c r="D254" s="15"/>
      <c r="E254" s="15"/>
      <c r="F254" s="21"/>
      <c r="G254" s="1"/>
      <c r="H254" s="19"/>
      <c r="I254" s="1"/>
      <c r="J254" s="2"/>
      <c r="K254" s="2"/>
      <c r="L254" s="2"/>
      <c r="M254" s="2"/>
      <c r="N254" s="2"/>
      <c r="O254" s="16"/>
    </row>
    <row r="255" spans="4:15" ht="14.25" customHeight="1" x14ac:dyDescent="0.3">
      <c r="D255" s="15"/>
      <c r="E255" s="15"/>
      <c r="F255" s="21"/>
      <c r="G255" s="1"/>
      <c r="H255" s="19"/>
      <c r="I255" s="1"/>
      <c r="J255" s="2"/>
      <c r="K255" s="2"/>
      <c r="L255" s="2"/>
      <c r="M255" s="2"/>
      <c r="N255" s="2"/>
      <c r="O255" s="16"/>
    </row>
    <row r="256" spans="4:15" ht="14.25" customHeight="1" x14ac:dyDescent="0.3">
      <c r="D256" s="15"/>
      <c r="E256" s="15"/>
      <c r="F256" s="21"/>
      <c r="G256" s="1"/>
      <c r="H256" s="19"/>
      <c r="I256" s="1"/>
      <c r="J256" s="2"/>
      <c r="K256" s="2"/>
      <c r="L256" s="2"/>
      <c r="M256" s="2"/>
      <c r="N256" s="2"/>
      <c r="O256" s="16"/>
    </row>
    <row r="257" spans="4:15" ht="14.25" customHeight="1" x14ac:dyDescent="0.3">
      <c r="D257" s="15"/>
      <c r="E257" s="15"/>
      <c r="F257" s="21"/>
      <c r="G257" s="1"/>
      <c r="H257" s="19"/>
      <c r="I257" s="1"/>
      <c r="J257" s="2"/>
      <c r="K257" s="2"/>
      <c r="L257" s="2"/>
      <c r="M257" s="2"/>
      <c r="N257" s="2"/>
      <c r="O257" s="16"/>
    </row>
    <row r="258" spans="4:15" ht="14.25" customHeight="1" x14ac:dyDescent="0.3">
      <c r="D258" s="15"/>
      <c r="E258" s="15"/>
      <c r="F258" s="21"/>
      <c r="G258" s="1"/>
      <c r="H258" s="19"/>
      <c r="I258" s="1"/>
      <c r="J258" s="2"/>
      <c r="K258" s="2"/>
      <c r="L258" s="2"/>
      <c r="M258" s="2"/>
      <c r="N258" s="2"/>
      <c r="O258" s="16"/>
    </row>
    <row r="259" spans="4:15" ht="14.25" customHeight="1" x14ac:dyDescent="0.3">
      <c r="D259" s="15"/>
      <c r="E259" s="15"/>
      <c r="F259" s="21"/>
      <c r="G259" s="1"/>
      <c r="H259" s="19"/>
      <c r="I259" s="1"/>
      <c r="J259" s="2"/>
      <c r="K259" s="2"/>
      <c r="L259" s="2"/>
      <c r="M259" s="2"/>
      <c r="N259" s="2"/>
      <c r="O259" s="16"/>
    </row>
    <row r="260" spans="4:15" ht="14.25" customHeight="1" x14ac:dyDescent="0.3">
      <c r="D260" s="15"/>
      <c r="E260" s="15"/>
      <c r="F260" s="21"/>
      <c r="G260" s="1"/>
      <c r="H260" s="19"/>
      <c r="I260" s="1"/>
      <c r="J260" s="2"/>
      <c r="K260" s="2"/>
      <c r="L260" s="2"/>
      <c r="M260" s="2"/>
      <c r="N260" s="2"/>
      <c r="O260" s="16"/>
    </row>
    <row r="261" spans="4:15" ht="14.25" customHeight="1" x14ac:dyDescent="0.3">
      <c r="D261" s="15"/>
      <c r="E261" s="15"/>
      <c r="F261" s="21"/>
      <c r="G261" s="1"/>
      <c r="H261" s="19"/>
      <c r="I261" s="1"/>
      <c r="J261" s="2"/>
      <c r="K261" s="2"/>
      <c r="L261" s="2"/>
      <c r="M261" s="2"/>
      <c r="N261" s="2"/>
      <c r="O261" s="16"/>
    </row>
    <row r="262" spans="4:15" ht="14.25" customHeight="1" x14ac:dyDescent="0.3">
      <c r="D262" s="15"/>
      <c r="E262" s="15"/>
      <c r="F262" s="21"/>
      <c r="G262" s="1"/>
      <c r="H262" s="19"/>
      <c r="I262" s="1"/>
      <c r="J262" s="2"/>
      <c r="K262" s="2"/>
      <c r="L262" s="2"/>
      <c r="M262" s="2"/>
      <c r="N262" s="2"/>
      <c r="O262" s="16"/>
    </row>
    <row r="263" spans="4:15" ht="14.25" customHeight="1" x14ac:dyDescent="0.3">
      <c r="D263" s="15"/>
      <c r="E263" s="15"/>
      <c r="F263" s="21"/>
      <c r="G263" s="1"/>
      <c r="H263" s="19"/>
      <c r="I263" s="1"/>
      <c r="J263" s="2"/>
      <c r="K263" s="2"/>
      <c r="L263" s="2"/>
      <c r="M263" s="2"/>
      <c r="N263" s="2"/>
      <c r="O263" s="16"/>
    </row>
    <row r="264" spans="4:15" ht="14.25" customHeight="1" x14ac:dyDescent="0.3">
      <c r="D264" s="15"/>
      <c r="E264" s="15"/>
      <c r="F264" s="21"/>
      <c r="G264" s="1"/>
      <c r="H264" s="19"/>
      <c r="I264" s="1"/>
      <c r="J264" s="2"/>
      <c r="K264" s="2"/>
      <c r="L264" s="2"/>
      <c r="M264" s="2"/>
      <c r="N264" s="2"/>
      <c r="O264" s="16"/>
    </row>
    <row r="265" spans="4:15" ht="14.25" customHeight="1" x14ac:dyDescent="0.3">
      <c r="D265" s="15"/>
      <c r="E265" s="15"/>
      <c r="F265" s="21"/>
      <c r="G265" s="1"/>
      <c r="H265" s="19"/>
      <c r="I265" s="1"/>
      <c r="J265" s="2"/>
      <c r="K265" s="2"/>
      <c r="L265" s="2"/>
      <c r="M265" s="2"/>
      <c r="N265" s="2"/>
      <c r="O265" s="16"/>
    </row>
    <row r="266" spans="4:15" ht="14.25" customHeight="1" x14ac:dyDescent="0.3">
      <c r="D266" s="15"/>
      <c r="E266" s="15"/>
      <c r="F266" s="21"/>
      <c r="G266" s="1"/>
      <c r="H266" s="19"/>
      <c r="I266" s="1"/>
      <c r="J266" s="2"/>
      <c r="K266" s="2"/>
      <c r="L266" s="2"/>
      <c r="M266" s="2"/>
      <c r="N266" s="2"/>
      <c r="O266" s="16"/>
    </row>
    <row r="267" spans="4:15" ht="14.25" customHeight="1" x14ac:dyDescent="0.3">
      <c r="D267" s="15"/>
      <c r="E267" s="15"/>
      <c r="F267" s="21"/>
      <c r="G267" s="1"/>
      <c r="H267" s="19"/>
      <c r="I267" s="1"/>
      <c r="J267" s="2"/>
      <c r="K267" s="2"/>
      <c r="L267" s="2"/>
      <c r="M267" s="2"/>
      <c r="N267" s="2"/>
      <c r="O267" s="16"/>
    </row>
    <row r="268" spans="4:15" ht="14.25" customHeight="1" x14ac:dyDescent="0.3">
      <c r="D268" s="15"/>
      <c r="E268" s="15"/>
      <c r="F268" s="21"/>
      <c r="G268" s="1"/>
      <c r="H268" s="19"/>
      <c r="I268" s="1"/>
      <c r="J268" s="2"/>
      <c r="K268" s="2"/>
      <c r="L268" s="2"/>
      <c r="M268" s="2"/>
      <c r="N268" s="2"/>
      <c r="O268" s="16"/>
    </row>
    <row r="269" spans="4:15" ht="14.25" customHeight="1" x14ac:dyDescent="0.3">
      <c r="D269" s="15"/>
      <c r="E269" s="15"/>
      <c r="F269" s="21"/>
      <c r="G269" s="1"/>
      <c r="H269" s="19"/>
      <c r="I269" s="1"/>
      <c r="J269" s="2"/>
      <c r="K269" s="2"/>
      <c r="L269" s="2"/>
      <c r="M269" s="2"/>
      <c r="N269" s="2"/>
      <c r="O269" s="16"/>
    </row>
    <row r="270" spans="4:15" ht="14.25" customHeight="1" x14ac:dyDescent="0.3">
      <c r="D270" s="15"/>
      <c r="E270" s="15"/>
      <c r="F270" s="21"/>
      <c r="G270" s="1"/>
      <c r="H270" s="19"/>
      <c r="I270" s="1"/>
      <c r="J270" s="2"/>
      <c r="K270" s="2"/>
      <c r="L270" s="2"/>
      <c r="M270" s="2"/>
      <c r="N270" s="2"/>
      <c r="O270" s="16"/>
    </row>
    <row r="271" spans="4:15" ht="14.25" customHeight="1" x14ac:dyDescent="0.3">
      <c r="D271" s="15"/>
      <c r="E271" s="15"/>
      <c r="F271" s="21"/>
      <c r="G271" s="1"/>
      <c r="H271" s="19"/>
      <c r="I271" s="1"/>
      <c r="J271" s="2"/>
      <c r="K271" s="2"/>
      <c r="L271" s="2"/>
      <c r="M271" s="2"/>
      <c r="N271" s="2"/>
      <c r="O271" s="16"/>
    </row>
    <row r="272" spans="4:15" ht="14.25" customHeight="1" x14ac:dyDescent="0.3">
      <c r="D272" s="15"/>
      <c r="E272" s="15"/>
      <c r="F272" s="21"/>
      <c r="G272" s="1"/>
      <c r="H272" s="19"/>
      <c r="I272" s="1"/>
      <c r="J272" s="2"/>
      <c r="K272" s="2"/>
      <c r="L272" s="2"/>
      <c r="M272" s="2"/>
      <c r="N272" s="2"/>
      <c r="O272" s="16"/>
    </row>
    <row r="273" spans="4:15" ht="14.25" customHeight="1" x14ac:dyDescent="0.3">
      <c r="D273" s="15"/>
      <c r="E273" s="15"/>
      <c r="F273" s="21"/>
      <c r="G273" s="1"/>
      <c r="H273" s="19"/>
      <c r="I273" s="1"/>
      <c r="J273" s="2"/>
      <c r="K273" s="2"/>
      <c r="L273" s="2"/>
      <c r="M273" s="2"/>
      <c r="N273" s="2"/>
      <c r="O273" s="16"/>
    </row>
    <row r="274" spans="4:15" ht="14.25" customHeight="1" x14ac:dyDescent="0.3">
      <c r="D274" s="15"/>
      <c r="E274" s="15"/>
      <c r="F274" s="21"/>
      <c r="G274" s="1"/>
      <c r="H274" s="19"/>
      <c r="I274" s="1"/>
      <c r="J274" s="2"/>
      <c r="K274" s="2"/>
      <c r="L274" s="2"/>
      <c r="M274" s="2"/>
      <c r="N274" s="2"/>
      <c r="O274" s="16"/>
    </row>
    <row r="275" spans="4:15" ht="14.25" customHeight="1" x14ac:dyDescent="0.3">
      <c r="D275" s="15"/>
      <c r="E275" s="15"/>
      <c r="F275" s="21"/>
      <c r="G275" s="1"/>
      <c r="H275" s="19"/>
      <c r="I275" s="1"/>
      <c r="J275" s="2"/>
      <c r="K275" s="2"/>
      <c r="L275" s="2"/>
      <c r="M275" s="2"/>
      <c r="N275" s="2"/>
      <c r="O275" s="16"/>
    </row>
    <row r="276" spans="4:15" ht="14.25" customHeight="1" x14ac:dyDescent="0.3">
      <c r="D276" s="15"/>
      <c r="E276" s="15"/>
      <c r="F276" s="21"/>
      <c r="G276" s="1"/>
      <c r="H276" s="19"/>
      <c r="I276" s="1"/>
      <c r="J276" s="2"/>
      <c r="K276" s="2"/>
      <c r="L276" s="2"/>
      <c r="M276" s="2"/>
      <c r="N276" s="2"/>
      <c r="O276" s="16"/>
    </row>
    <row r="277" spans="4:15" ht="14.25" customHeight="1" x14ac:dyDescent="0.3">
      <c r="D277" s="15"/>
      <c r="E277" s="15"/>
      <c r="F277" s="21"/>
      <c r="G277" s="1"/>
      <c r="H277" s="19"/>
      <c r="I277" s="1"/>
      <c r="J277" s="2"/>
      <c r="K277" s="2"/>
      <c r="L277" s="2"/>
      <c r="M277" s="2"/>
      <c r="N277" s="2"/>
      <c r="O277" s="16"/>
    </row>
    <row r="278" spans="4:15" ht="14.25" customHeight="1" x14ac:dyDescent="0.3">
      <c r="D278" s="15"/>
      <c r="E278" s="15"/>
      <c r="F278" s="21"/>
      <c r="G278" s="1"/>
      <c r="H278" s="19"/>
      <c r="I278" s="1"/>
      <c r="J278" s="2"/>
      <c r="K278" s="2"/>
      <c r="L278" s="2"/>
      <c r="M278" s="2"/>
      <c r="N278" s="2"/>
      <c r="O278" s="16"/>
    </row>
    <row r="279" spans="4:15" ht="14.25" customHeight="1" x14ac:dyDescent="0.3">
      <c r="D279" s="15"/>
      <c r="E279" s="15"/>
      <c r="F279" s="21"/>
      <c r="G279" s="1"/>
      <c r="H279" s="19"/>
      <c r="I279" s="1"/>
      <c r="J279" s="2"/>
      <c r="K279" s="2"/>
      <c r="L279" s="2"/>
      <c r="M279" s="2"/>
      <c r="N279" s="2"/>
      <c r="O279" s="16"/>
    </row>
    <row r="280" spans="4:15" ht="14.25" customHeight="1" x14ac:dyDescent="0.3">
      <c r="D280" s="15"/>
      <c r="E280" s="15"/>
      <c r="F280" s="21"/>
      <c r="G280" s="1"/>
      <c r="H280" s="19"/>
      <c r="I280" s="1"/>
      <c r="J280" s="2"/>
      <c r="K280" s="2"/>
      <c r="L280" s="2"/>
      <c r="M280" s="2"/>
      <c r="N280" s="2"/>
      <c r="O280" s="16"/>
    </row>
    <row r="281" spans="4:15" ht="14.25" customHeight="1" x14ac:dyDescent="0.3">
      <c r="D281" s="15"/>
      <c r="E281" s="15"/>
      <c r="F281" s="21"/>
      <c r="G281" s="1"/>
      <c r="H281" s="19"/>
      <c r="I281" s="1"/>
      <c r="J281" s="2"/>
      <c r="K281" s="2"/>
      <c r="L281" s="2"/>
      <c r="M281" s="2"/>
      <c r="N281" s="2"/>
      <c r="O281" s="16"/>
    </row>
    <row r="282" spans="4:15" ht="14.25" customHeight="1" x14ac:dyDescent="0.3">
      <c r="D282" s="15"/>
      <c r="E282" s="15"/>
      <c r="F282" s="21"/>
      <c r="G282" s="1"/>
      <c r="H282" s="19"/>
      <c r="I282" s="1"/>
      <c r="J282" s="2"/>
      <c r="K282" s="2"/>
      <c r="L282" s="2"/>
      <c r="M282" s="2"/>
      <c r="N282" s="2"/>
      <c r="O282" s="16"/>
    </row>
    <row r="283" spans="4:15" ht="14.25" customHeight="1" x14ac:dyDescent="0.3">
      <c r="D283" s="15"/>
      <c r="E283" s="15"/>
      <c r="F283" s="21"/>
      <c r="G283" s="1"/>
      <c r="H283" s="19"/>
      <c r="I283" s="1"/>
      <c r="J283" s="2"/>
      <c r="K283" s="2"/>
      <c r="L283" s="2"/>
      <c r="M283" s="2"/>
      <c r="N283" s="2"/>
      <c r="O283" s="16"/>
    </row>
    <row r="284" spans="4:15" ht="14.25" customHeight="1" x14ac:dyDescent="0.3">
      <c r="D284" s="15"/>
      <c r="E284" s="15"/>
      <c r="F284" s="21"/>
      <c r="G284" s="1"/>
      <c r="H284" s="19"/>
      <c r="I284" s="1"/>
      <c r="J284" s="2"/>
      <c r="K284" s="2"/>
      <c r="L284" s="2"/>
      <c r="M284" s="2"/>
      <c r="N284" s="2"/>
      <c r="O284" s="16"/>
    </row>
    <row r="285" spans="4:15" ht="14.25" customHeight="1" x14ac:dyDescent="0.3">
      <c r="D285" s="15"/>
      <c r="E285" s="15"/>
      <c r="F285" s="21"/>
      <c r="G285" s="1"/>
      <c r="H285" s="19"/>
      <c r="I285" s="1"/>
      <c r="J285" s="2"/>
      <c r="K285" s="2"/>
      <c r="L285" s="2"/>
      <c r="M285" s="2"/>
      <c r="N285" s="2"/>
      <c r="O285" s="16"/>
    </row>
    <row r="286" spans="4:15" ht="14.25" customHeight="1" x14ac:dyDescent="0.3">
      <c r="D286" s="15"/>
      <c r="E286" s="15"/>
      <c r="F286" s="21"/>
      <c r="G286" s="1"/>
      <c r="H286" s="19"/>
      <c r="I286" s="1"/>
      <c r="J286" s="2"/>
      <c r="K286" s="2"/>
      <c r="L286" s="2"/>
      <c r="M286" s="2"/>
      <c r="N286" s="2"/>
      <c r="O286" s="16"/>
    </row>
    <row r="287" spans="4:15" ht="14.25" customHeight="1" x14ac:dyDescent="0.3">
      <c r="D287" s="15"/>
      <c r="E287" s="15"/>
      <c r="F287" s="21"/>
      <c r="G287" s="1"/>
      <c r="H287" s="19"/>
      <c r="I287" s="1"/>
      <c r="J287" s="2"/>
      <c r="K287" s="2"/>
      <c r="L287" s="2"/>
      <c r="M287" s="2"/>
      <c r="N287" s="2"/>
      <c r="O287" s="16"/>
    </row>
    <row r="288" spans="4:15" ht="14.25" customHeight="1" x14ac:dyDescent="0.3">
      <c r="D288" s="15"/>
      <c r="E288" s="15"/>
      <c r="F288" s="21"/>
      <c r="G288" s="1"/>
      <c r="H288" s="19"/>
      <c r="I288" s="1"/>
      <c r="J288" s="2"/>
      <c r="K288" s="2"/>
      <c r="L288" s="2"/>
      <c r="M288" s="2"/>
      <c r="N288" s="2"/>
      <c r="O288" s="16"/>
    </row>
    <row r="289" spans="4:15" ht="14.25" customHeight="1" x14ac:dyDescent="0.3">
      <c r="D289" s="15"/>
      <c r="E289" s="15"/>
      <c r="F289" s="21"/>
      <c r="G289" s="1"/>
      <c r="H289" s="19"/>
      <c r="I289" s="1"/>
      <c r="J289" s="2"/>
      <c r="K289" s="2"/>
      <c r="L289" s="2"/>
      <c r="M289" s="2"/>
      <c r="N289" s="2"/>
      <c r="O289" s="16"/>
    </row>
    <row r="290" spans="4:15" ht="14.25" customHeight="1" x14ac:dyDescent="0.3">
      <c r="D290" s="15"/>
      <c r="E290" s="15"/>
      <c r="F290" s="21"/>
      <c r="G290" s="1"/>
      <c r="H290" s="19"/>
      <c r="I290" s="1"/>
      <c r="J290" s="2"/>
      <c r="K290" s="2"/>
      <c r="L290" s="2"/>
      <c r="M290" s="2"/>
      <c r="N290" s="2"/>
      <c r="O290" s="16"/>
    </row>
    <row r="291" spans="4:15" ht="14.25" customHeight="1" x14ac:dyDescent="0.3">
      <c r="D291" s="15"/>
      <c r="E291" s="15"/>
      <c r="F291" s="21"/>
      <c r="G291" s="1"/>
      <c r="H291" s="19"/>
      <c r="I291" s="1"/>
      <c r="J291" s="2"/>
      <c r="K291" s="2"/>
      <c r="L291" s="2"/>
      <c r="M291" s="2"/>
      <c r="N291" s="2"/>
      <c r="O291" s="16"/>
    </row>
    <row r="292" spans="4:15" ht="14.25" customHeight="1" x14ac:dyDescent="0.3">
      <c r="D292" s="15"/>
      <c r="E292" s="15"/>
      <c r="F292" s="21"/>
      <c r="G292" s="1"/>
      <c r="H292" s="19"/>
      <c r="I292" s="1"/>
      <c r="J292" s="2"/>
      <c r="K292" s="2"/>
      <c r="L292" s="2"/>
      <c r="M292" s="2"/>
      <c r="N292" s="2"/>
      <c r="O292" s="16"/>
    </row>
    <row r="293" spans="4:15" ht="14.25" customHeight="1" x14ac:dyDescent="0.3">
      <c r="D293" s="15"/>
      <c r="E293" s="15"/>
      <c r="F293" s="21"/>
      <c r="G293" s="1"/>
      <c r="H293" s="19"/>
      <c r="I293" s="1"/>
      <c r="J293" s="2"/>
      <c r="K293" s="2"/>
      <c r="L293" s="2"/>
      <c r="M293" s="2"/>
      <c r="N293" s="2"/>
      <c r="O293" s="16"/>
    </row>
    <row r="294" spans="4:15" ht="14.25" customHeight="1" x14ac:dyDescent="0.3">
      <c r="D294" s="15"/>
      <c r="E294" s="15"/>
      <c r="F294" s="21"/>
      <c r="G294" s="1"/>
      <c r="H294" s="19"/>
      <c r="I294" s="1"/>
      <c r="J294" s="2"/>
      <c r="K294" s="2"/>
      <c r="L294" s="2"/>
      <c r="M294" s="2"/>
      <c r="N294" s="2"/>
      <c r="O294" s="16"/>
    </row>
    <row r="295" spans="4:15" ht="14.25" customHeight="1" x14ac:dyDescent="0.3">
      <c r="D295" s="15"/>
      <c r="E295" s="15"/>
      <c r="F295" s="21"/>
      <c r="G295" s="1"/>
      <c r="H295" s="19"/>
      <c r="I295" s="1"/>
      <c r="J295" s="2"/>
      <c r="K295" s="2"/>
      <c r="L295" s="2"/>
      <c r="M295" s="2"/>
      <c r="N295" s="2"/>
      <c r="O295" s="16"/>
    </row>
    <row r="296" spans="4:15" ht="14.25" customHeight="1" x14ac:dyDescent="0.3">
      <c r="D296" s="15"/>
      <c r="E296" s="15"/>
      <c r="F296" s="21"/>
      <c r="G296" s="1"/>
      <c r="H296" s="19"/>
      <c r="I296" s="1"/>
      <c r="J296" s="2"/>
      <c r="K296" s="2"/>
      <c r="L296" s="2"/>
      <c r="M296" s="2"/>
      <c r="N296" s="2"/>
      <c r="O296" s="16"/>
    </row>
    <row r="297" spans="4:15" ht="14.25" customHeight="1" x14ac:dyDescent="0.3">
      <c r="D297" s="15"/>
      <c r="E297" s="15"/>
      <c r="F297" s="21"/>
      <c r="G297" s="1"/>
      <c r="H297" s="19"/>
      <c r="I297" s="1"/>
      <c r="J297" s="2"/>
      <c r="K297" s="2"/>
      <c r="L297" s="2"/>
      <c r="M297" s="2"/>
      <c r="N297" s="2"/>
      <c r="O297" s="16"/>
    </row>
    <row r="298" spans="4:15" ht="14.25" customHeight="1" x14ac:dyDescent="0.3">
      <c r="D298" s="15"/>
      <c r="E298" s="15"/>
      <c r="F298" s="21"/>
      <c r="G298" s="1"/>
      <c r="H298" s="19"/>
      <c r="I298" s="1"/>
      <c r="J298" s="2"/>
      <c r="K298" s="2"/>
      <c r="L298" s="2"/>
      <c r="M298" s="2"/>
      <c r="N298" s="2"/>
      <c r="O298" s="16"/>
    </row>
    <row r="299" spans="4:15" ht="14.25" customHeight="1" x14ac:dyDescent="0.3">
      <c r="D299" s="15"/>
      <c r="E299" s="15"/>
      <c r="F299" s="21"/>
      <c r="G299" s="1"/>
      <c r="H299" s="19"/>
      <c r="I299" s="1"/>
      <c r="J299" s="2"/>
      <c r="K299" s="2"/>
      <c r="L299" s="2"/>
      <c r="M299" s="2"/>
      <c r="N299" s="2"/>
      <c r="O299" s="16"/>
    </row>
    <row r="300" spans="4:15" ht="14.25" customHeight="1" x14ac:dyDescent="0.3">
      <c r="D300" s="15"/>
      <c r="E300" s="15"/>
      <c r="F300" s="21"/>
      <c r="G300" s="1"/>
      <c r="H300" s="19"/>
      <c r="I300" s="1"/>
      <c r="J300" s="2"/>
      <c r="K300" s="2"/>
      <c r="L300" s="2"/>
      <c r="M300" s="2"/>
      <c r="N300" s="2"/>
      <c r="O300" s="16"/>
    </row>
    <row r="301" spans="4:15" ht="14.25" customHeight="1" x14ac:dyDescent="0.3">
      <c r="D301" s="15"/>
      <c r="E301" s="15"/>
      <c r="F301" s="21"/>
      <c r="G301" s="1"/>
      <c r="H301" s="19"/>
      <c r="I301" s="1"/>
      <c r="J301" s="2"/>
      <c r="K301" s="2"/>
      <c r="L301" s="2"/>
      <c r="M301" s="2"/>
      <c r="N301" s="2"/>
      <c r="O301" s="16"/>
    </row>
    <row r="302" spans="4:15" ht="14.25" customHeight="1" x14ac:dyDescent="0.3">
      <c r="D302" s="15"/>
      <c r="E302" s="15"/>
      <c r="F302" s="21"/>
      <c r="G302" s="1"/>
      <c r="H302" s="19"/>
      <c r="I302" s="1"/>
      <c r="J302" s="2"/>
      <c r="K302" s="2"/>
      <c r="L302" s="2"/>
      <c r="M302" s="2"/>
      <c r="N302" s="2"/>
      <c r="O302" s="16"/>
    </row>
    <row r="303" spans="4:15" ht="14.25" customHeight="1" x14ac:dyDescent="0.3">
      <c r="D303" s="15"/>
      <c r="E303" s="15"/>
      <c r="F303" s="21"/>
      <c r="G303" s="1"/>
      <c r="H303" s="19"/>
      <c r="I303" s="1"/>
      <c r="J303" s="2"/>
      <c r="K303" s="2"/>
      <c r="L303" s="2"/>
      <c r="M303" s="2"/>
      <c r="N303" s="2"/>
      <c r="O303" s="16"/>
    </row>
    <row r="304" spans="4:15" ht="14.25" customHeight="1" x14ac:dyDescent="0.3">
      <c r="D304" s="15"/>
      <c r="E304" s="15"/>
      <c r="F304" s="21"/>
      <c r="G304" s="1"/>
      <c r="H304" s="19"/>
      <c r="I304" s="1"/>
      <c r="J304" s="2"/>
      <c r="K304" s="2"/>
      <c r="L304" s="2"/>
      <c r="M304" s="2"/>
      <c r="N304" s="2"/>
      <c r="O304" s="16"/>
    </row>
    <row r="305" spans="4:15" ht="14.25" customHeight="1" x14ac:dyDescent="0.3">
      <c r="D305" s="15"/>
      <c r="E305" s="15"/>
      <c r="F305" s="21"/>
      <c r="G305" s="1"/>
      <c r="H305" s="19"/>
      <c r="I305" s="1"/>
      <c r="J305" s="2"/>
      <c r="K305" s="2"/>
      <c r="L305" s="2"/>
      <c r="M305" s="2"/>
      <c r="N305" s="2"/>
      <c r="O305" s="16"/>
    </row>
    <row r="306" spans="4:15" ht="14.25" customHeight="1" x14ac:dyDescent="0.3">
      <c r="D306" s="15"/>
      <c r="E306" s="15"/>
      <c r="F306" s="21"/>
      <c r="G306" s="1"/>
      <c r="H306" s="19"/>
      <c r="I306" s="1"/>
      <c r="J306" s="2"/>
      <c r="K306" s="2"/>
      <c r="L306" s="2"/>
      <c r="M306" s="2"/>
      <c r="N306" s="2"/>
      <c r="O306" s="16"/>
    </row>
    <row r="307" spans="4:15" ht="14.25" customHeight="1" x14ac:dyDescent="0.3">
      <c r="D307" s="15"/>
      <c r="E307" s="15"/>
      <c r="F307" s="21"/>
      <c r="G307" s="1"/>
      <c r="H307" s="19"/>
      <c r="I307" s="1"/>
      <c r="J307" s="2"/>
      <c r="K307" s="2"/>
      <c r="L307" s="2"/>
      <c r="M307" s="2"/>
      <c r="N307" s="2"/>
      <c r="O307" s="16"/>
    </row>
    <row r="308" spans="4:15" ht="14.25" customHeight="1" x14ac:dyDescent="0.3">
      <c r="D308" s="15"/>
      <c r="E308" s="15"/>
      <c r="F308" s="21"/>
      <c r="G308" s="1"/>
      <c r="H308" s="19"/>
      <c r="I308" s="1"/>
      <c r="J308" s="2"/>
      <c r="K308" s="2"/>
      <c r="L308" s="2"/>
      <c r="M308" s="2"/>
      <c r="N308" s="2"/>
      <c r="O308" s="16"/>
    </row>
    <row r="309" spans="4:15" ht="14.25" customHeight="1" x14ac:dyDescent="0.3">
      <c r="D309" s="15"/>
      <c r="E309" s="15"/>
      <c r="F309" s="21"/>
      <c r="G309" s="1"/>
      <c r="H309" s="19"/>
      <c r="I309" s="1"/>
      <c r="J309" s="2"/>
      <c r="K309" s="2"/>
      <c r="L309" s="2"/>
      <c r="M309" s="2"/>
      <c r="N309" s="2"/>
      <c r="O309" s="16"/>
    </row>
    <row r="310" spans="4:15" ht="14.25" customHeight="1" x14ac:dyDescent="0.3">
      <c r="D310" s="15"/>
      <c r="E310" s="15"/>
      <c r="F310" s="21"/>
      <c r="G310" s="1"/>
      <c r="H310" s="19"/>
      <c r="I310" s="1"/>
      <c r="J310" s="2"/>
      <c r="K310" s="2"/>
      <c r="L310" s="2"/>
      <c r="M310" s="2"/>
      <c r="N310" s="2"/>
      <c r="O310" s="16"/>
    </row>
    <row r="311" spans="4:15" ht="14.25" customHeight="1" x14ac:dyDescent="0.3">
      <c r="D311" s="15"/>
      <c r="E311" s="15"/>
      <c r="F311" s="21"/>
      <c r="G311" s="1"/>
      <c r="H311" s="19"/>
      <c r="I311" s="1"/>
      <c r="J311" s="2"/>
      <c r="K311" s="2"/>
      <c r="L311" s="2"/>
      <c r="M311" s="2"/>
      <c r="N311" s="2"/>
      <c r="O311" s="16"/>
    </row>
    <row r="312" spans="4:15" ht="14.25" customHeight="1" x14ac:dyDescent="0.3">
      <c r="D312" s="15"/>
      <c r="E312" s="15"/>
      <c r="F312" s="21"/>
      <c r="G312" s="1"/>
      <c r="H312" s="19"/>
      <c r="I312" s="1"/>
      <c r="J312" s="2"/>
      <c r="K312" s="2"/>
      <c r="L312" s="2"/>
      <c r="M312" s="2"/>
      <c r="N312" s="2"/>
      <c r="O312" s="16"/>
    </row>
    <row r="313" spans="4:15" ht="14.25" customHeight="1" x14ac:dyDescent="0.3">
      <c r="D313" s="15"/>
      <c r="E313" s="15"/>
      <c r="F313" s="21"/>
      <c r="G313" s="1"/>
      <c r="H313" s="19"/>
      <c r="I313" s="1"/>
      <c r="J313" s="2"/>
      <c r="K313" s="2"/>
      <c r="L313" s="2"/>
      <c r="M313" s="2"/>
      <c r="N313" s="2"/>
      <c r="O313" s="16"/>
    </row>
    <row r="314" spans="4:15" ht="14.25" customHeight="1" x14ac:dyDescent="0.3">
      <c r="D314" s="15"/>
      <c r="E314" s="15"/>
      <c r="F314" s="21"/>
      <c r="G314" s="1"/>
      <c r="H314" s="19"/>
      <c r="I314" s="1"/>
      <c r="J314" s="2"/>
      <c r="K314" s="2"/>
      <c r="L314" s="2"/>
      <c r="M314" s="2"/>
      <c r="N314" s="2"/>
      <c r="O314" s="16"/>
    </row>
    <row r="315" spans="4:15" ht="14.25" customHeight="1" x14ac:dyDescent="0.3">
      <c r="D315" s="15"/>
      <c r="E315" s="15"/>
      <c r="F315" s="21"/>
      <c r="G315" s="1"/>
      <c r="H315" s="19"/>
      <c r="I315" s="1"/>
      <c r="J315" s="2"/>
      <c r="K315" s="2"/>
      <c r="L315" s="2"/>
      <c r="M315" s="2"/>
      <c r="N315" s="2"/>
      <c r="O315" s="16"/>
    </row>
    <row r="316" spans="4:15" ht="14.25" customHeight="1" x14ac:dyDescent="0.3">
      <c r="D316" s="15"/>
      <c r="E316" s="15"/>
      <c r="F316" s="21"/>
      <c r="G316" s="1"/>
      <c r="H316" s="19"/>
      <c r="I316" s="1"/>
      <c r="J316" s="2"/>
      <c r="K316" s="2"/>
      <c r="L316" s="2"/>
      <c r="M316" s="2"/>
      <c r="N316" s="2"/>
      <c r="O316" s="16"/>
    </row>
    <row r="317" spans="4:15" ht="14.25" customHeight="1" x14ac:dyDescent="0.3">
      <c r="D317" s="15"/>
      <c r="E317" s="15"/>
      <c r="F317" s="21"/>
      <c r="G317" s="1"/>
      <c r="H317" s="19"/>
      <c r="I317" s="1"/>
      <c r="J317" s="2"/>
      <c r="K317" s="2"/>
      <c r="L317" s="2"/>
      <c r="M317" s="2"/>
      <c r="N317" s="2"/>
      <c r="O317" s="16"/>
    </row>
    <row r="318" spans="4:15" ht="14.25" customHeight="1" x14ac:dyDescent="0.3">
      <c r="D318" s="15"/>
      <c r="E318" s="15"/>
      <c r="F318" s="21"/>
      <c r="G318" s="1"/>
      <c r="H318" s="19"/>
      <c r="I318" s="1"/>
      <c r="J318" s="2"/>
      <c r="K318" s="2"/>
      <c r="L318" s="2"/>
      <c r="M318" s="2"/>
      <c r="N318" s="2"/>
      <c r="O318" s="16"/>
    </row>
    <row r="319" spans="4:15" ht="14.25" customHeight="1" x14ac:dyDescent="0.3">
      <c r="D319" s="15"/>
      <c r="E319" s="15"/>
      <c r="F319" s="21"/>
      <c r="G319" s="1"/>
      <c r="H319" s="19"/>
      <c r="I319" s="1"/>
      <c r="J319" s="2"/>
      <c r="K319" s="2"/>
      <c r="L319" s="2"/>
      <c r="M319" s="2"/>
      <c r="N319" s="2"/>
      <c r="O319" s="16"/>
    </row>
    <row r="320" spans="4:15" ht="14.25" customHeight="1" x14ac:dyDescent="0.3">
      <c r="D320" s="15"/>
      <c r="E320" s="15"/>
      <c r="F320" s="21"/>
      <c r="G320" s="1"/>
      <c r="H320" s="19"/>
      <c r="I320" s="1"/>
      <c r="J320" s="2"/>
      <c r="K320" s="2"/>
      <c r="L320" s="2"/>
      <c r="M320" s="2"/>
      <c r="N320" s="2"/>
      <c r="O320" s="16"/>
    </row>
    <row r="321" spans="4:15" ht="14.25" customHeight="1" x14ac:dyDescent="0.3">
      <c r="D321" s="15"/>
      <c r="E321" s="15"/>
      <c r="F321" s="21"/>
      <c r="G321" s="1"/>
      <c r="H321" s="19"/>
      <c r="I321" s="1"/>
      <c r="J321" s="2"/>
      <c r="K321" s="2"/>
      <c r="L321" s="2"/>
      <c r="M321" s="2"/>
      <c r="N321" s="2"/>
      <c r="O321" s="16"/>
    </row>
    <row r="322" spans="4:15" ht="14.25" customHeight="1" x14ac:dyDescent="0.3">
      <c r="D322" s="15"/>
      <c r="E322" s="15"/>
      <c r="F322" s="21"/>
      <c r="G322" s="1"/>
      <c r="H322" s="19"/>
      <c r="I322" s="1"/>
      <c r="J322" s="2"/>
      <c r="K322" s="2"/>
      <c r="L322" s="2"/>
      <c r="M322" s="2"/>
      <c r="N322" s="2"/>
      <c r="O322" s="16"/>
    </row>
    <row r="323" spans="4:15" ht="14.25" customHeight="1" x14ac:dyDescent="0.3">
      <c r="D323" s="15"/>
      <c r="E323" s="15"/>
      <c r="F323" s="21"/>
      <c r="G323" s="1"/>
      <c r="H323" s="19"/>
      <c r="I323" s="1"/>
      <c r="J323" s="2"/>
      <c r="K323" s="2"/>
      <c r="L323" s="2"/>
      <c r="M323" s="2"/>
      <c r="N323" s="2"/>
      <c r="O323" s="16"/>
    </row>
    <row r="324" spans="4:15" ht="14.25" customHeight="1" x14ac:dyDescent="0.3">
      <c r="D324" s="15"/>
      <c r="E324" s="15"/>
      <c r="F324" s="21"/>
      <c r="G324" s="1"/>
      <c r="H324" s="19"/>
      <c r="I324" s="1"/>
      <c r="J324" s="2"/>
      <c r="K324" s="2"/>
      <c r="L324" s="2"/>
      <c r="M324" s="2"/>
      <c r="N324" s="2"/>
      <c r="O324" s="16"/>
    </row>
    <row r="325" spans="4:15" ht="14.25" customHeight="1" x14ac:dyDescent="0.3">
      <c r="D325" s="15"/>
      <c r="E325" s="15"/>
      <c r="F325" s="21"/>
      <c r="G325" s="1"/>
      <c r="H325" s="19"/>
      <c r="I325" s="1"/>
      <c r="J325" s="2"/>
      <c r="K325" s="2"/>
      <c r="L325" s="2"/>
      <c r="M325" s="2"/>
      <c r="N325" s="2"/>
      <c r="O325" s="16"/>
    </row>
    <row r="326" spans="4:15" ht="14.25" customHeight="1" x14ac:dyDescent="0.3">
      <c r="D326" s="15"/>
      <c r="E326" s="15"/>
      <c r="F326" s="21"/>
      <c r="G326" s="1"/>
      <c r="H326" s="19"/>
      <c r="I326" s="1"/>
      <c r="J326" s="2"/>
      <c r="K326" s="2"/>
      <c r="L326" s="2"/>
      <c r="M326" s="2"/>
      <c r="N326" s="2"/>
      <c r="O326" s="16"/>
    </row>
    <row r="327" spans="4:15" ht="14.25" customHeight="1" x14ac:dyDescent="0.3">
      <c r="D327" s="15"/>
      <c r="E327" s="15"/>
      <c r="F327" s="21"/>
      <c r="G327" s="1"/>
      <c r="H327" s="19"/>
      <c r="I327" s="1"/>
      <c r="J327" s="2"/>
      <c r="K327" s="2"/>
      <c r="L327" s="2"/>
      <c r="M327" s="2"/>
      <c r="N327" s="2"/>
      <c r="O327" s="16"/>
    </row>
    <row r="328" spans="4:15" ht="14.25" customHeight="1" x14ac:dyDescent="0.3">
      <c r="D328" s="15"/>
      <c r="E328" s="15"/>
      <c r="F328" s="21"/>
      <c r="G328" s="1"/>
      <c r="H328" s="19"/>
      <c r="I328" s="1"/>
      <c r="J328" s="2"/>
      <c r="K328" s="2"/>
      <c r="L328" s="2"/>
      <c r="M328" s="2"/>
      <c r="N328" s="2"/>
      <c r="O328" s="16"/>
    </row>
    <row r="329" spans="4:15" ht="14.25" customHeight="1" x14ac:dyDescent="0.3">
      <c r="D329" s="15"/>
      <c r="E329" s="15"/>
      <c r="F329" s="21"/>
      <c r="G329" s="1"/>
      <c r="H329" s="19"/>
      <c r="I329" s="1"/>
      <c r="J329" s="2"/>
      <c r="K329" s="2"/>
      <c r="L329" s="2"/>
      <c r="M329" s="2"/>
      <c r="N329" s="2"/>
      <c r="O329" s="16"/>
    </row>
    <row r="330" spans="4:15" ht="14.25" customHeight="1" x14ac:dyDescent="0.3">
      <c r="D330" s="15"/>
      <c r="E330" s="15"/>
      <c r="F330" s="21"/>
      <c r="G330" s="1"/>
      <c r="H330" s="19"/>
      <c r="I330" s="1"/>
      <c r="J330" s="2"/>
      <c r="K330" s="2"/>
      <c r="L330" s="2"/>
      <c r="M330" s="2"/>
      <c r="N330" s="2"/>
      <c r="O330" s="16"/>
    </row>
    <row r="331" spans="4:15" ht="14.25" customHeight="1" x14ac:dyDescent="0.3">
      <c r="D331" s="15"/>
      <c r="E331" s="15"/>
      <c r="F331" s="21"/>
      <c r="G331" s="1"/>
      <c r="H331" s="19"/>
      <c r="I331" s="1"/>
      <c r="J331" s="2"/>
      <c r="K331" s="2"/>
      <c r="L331" s="2"/>
      <c r="M331" s="2"/>
      <c r="N331" s="2"/>
      <c r="O331" s="16"/>
    </row>
    <row r="332" spans="4:15" ht="14.25" customHeight="1" x14ac:dyDescent="0.3">
      <c r="D332" s="15"/>
      <c r="E332" s="15"/>
      <c r="F332" s="21"/>
      <c r="G332" s="1"/>
      <c r="H332" s="19"/>
      <c r="I332" s="1"/>
      <c r="J332" s="2"/>
      <c r="K332" s="2"/>
      <c r="L332" s="2"/>
      <c r="M332" s="2"/>
      <c r="N332" s="2"/>
      <c r="O332" s="16"/>
    </row>
    <row r="333" spans="4:15" ht="14.25" customHeight="1" x14ac:dyDescent="0.3">
      <c r="D333" s="15"/>
      <c r="E333" s="15"/>
      <c r="F333" s="21"/>
      <c r="G333" s="1"/>
      <c r="H333" s="19"/>
      <c r="I333" s="1"/>
      <c r="J333" s="2"/>
      <c r="K333" s="2"/>
      <c r="L333" s="2"/>
      <c r="M333" s="2"/>
      <c r="N333" s="2"/>
      <c r="O333" s="16"/>
    </row>
    <row r="334" spans="4:15" ht="14.25" customHeight="1" x14ac:dyDescent="0.3">
      <c r="D334" s="15"/>
      <c r="E334" s="15"/>
      <c r="F334" s="21"/>
      <c r="G334" s="1"/>
      <c r="H334" s="19"/>
      <c r="I334" s="1"/>
      <c r="J334" s="2"/>
      <c r="K334" s="2"/>
      <c r="L334" s="2"/>
      <c r="M334" s="2"/>
      <c r="N334" s="2"/>
      <c r="O334" s="16"/>
    </row>
    <row r="335" spans="4:15" ht="14.25" customHeight="1" x14ac:dyDescent="0.3">
      <c r="D335" s="15"/>
      <c r="E335" s="15"/>
      <c r="F335" s="21"/>
      <c r="G335" s="1"/>
      <c r="H335" s="19"/>
      <c r="I335" s="1"/>
      <c r="J335" s="2"/>
      <c r="K335" s="2"/>
      <c r="L335" s="2"/>
      <c r="M335" s="2"/>
      <c r="N335" s="2"/>
      <c r="O335" s="16"/>
    </row>
    <row r="336" spans="4:15" ht="14.25" customHeight="1" x14ac:dyDescent="0.3">
      <c r="D336" s="15"/>
      <c r="E336" s="15"/>
      <c r="F336" s="21"/>
      <c r="G336" s="1"/>
      <c r="H336" s="19"/>
      <c r="I336" s="1"/>
      <c r="J336" s="2"/>
      <c r="K336" s="2"/>
      <c r="L336" s="2"/>
      <c r="M336" s="2"/>
      <c r="N336" s="2"/>
      <c r="O336" s="16"/>
    </row>
    <row r="337" spans="4:15" ht="14.25" customHeight="1" x14ac:dyDescent="0.3">
      <c r="D337" s="15"/>
      <c r="E337" s="15"/>
      <c r="F337" s="21"/>
      <c r="G337" s="1"/>
      <c r="H337" s="19"/>
      <c r="I337" s="1"/>
      <c r="J337" s="2"/>
      <c r="K337" s="2"/>
      <c r="L337" s="2"/>
      <c r="M337" s="2"/>
      <c r="N337" s="2"/>
      <c r="O337" s="16"/>
    </row>
    <row r="338" spans="4:15" ht="14.25" customHeight="1" x14ac:dyDescent="0.3">
      <c r="D338" s="15"/>
      <c r="E338" s="15"/>
      <c r="F338" s="21"/>
      <c r="G338" s="1"/>
      <c r="H338" s="19"/>
      <c r="I338" s="1"/>
      <c r="J338" s="2"/>
      <c r="K338" s="2"/>
      <c r="L338" s="2"/>
      <c r="M338" s="2"/>
      <c r="N338" s="2"/>
      <c r="O338" s="16"/>
    </row>
    <row r="339" spans="4:15" ht="14.25" customHeight="1" x14ac:dyDescent="0.3">
      <c r="D339" s="15"/>
      <c r="E339" s="15"/>
      <c r="F339" s="21"/>
      <c r="G339" s="1"/>
      <c r="H339" s="19"/>
      <c r="I339" s="1"/>
      <c r="J339" s="2"/>
      <c r="K339" s="2"/>
      <c r="L339" s="2"/>
      <c r="M339" s="2"/>
      <c r="N339" s="2"/>
      <c r="O339" s="16"/>
    </row>
    <row r="340" spans="4:15" ht="14.25" customHeight="1" x14ac:dyDescent="0.3">
      <c r="D340" s="15"/>
      <c r="E340" s="15"/>
      <c r="F340" s="21"/>
      <c r="G340" s="1"/>
      <c r="H340" s="19"/>
      <c r="I340" s="1"/>
      <c r="J340" s="2"/>
      <c r="K340" s="2"/>
      <c r="L340" s="2"/>
      <c r="M340" s="2"/>
      <c r="N340" s="2"/>
      <c r="O340" s="16"/>
    </row>
    <row r="341" spans="4:15" ht="14.25" customHeight="1" x14ac:dyDescent="0.3">
      <c r="D341" s="15"/>
      <c r="E341" s="15"/>
      <c r="F341" s="21"/>
      <c r="G341" s="1"/>
      <c r="H341" s="19"/>
      <c r="I341" s="1"/>
      <c r="J341" s="2"/>
      <c r="K341" s="2"/>
      <c r="L341" s="2"/>
      <c r="M341" s="2"/>
      <c r="N341" s="2"/>
      <c r="O341" s="16"/>
    </row>
    <row r="342" spans="4:15" ht="14.25" customHeight="1" x14ac:dyDescent="0.3">
      <c r="D342" s="15"/>
      <c r="E342" s="15"/>
      <c r="F342" s="21"/>
      <c r="G342" s="1"/>
      <c r="H342" s="19"/>
      <c r="I342" s="1"/>
      <c r="J342" s="2"/>
      <c r="K342" s="2"/>
      <c r="L342" s="2"/>
      <c r="M342" s="2"/>
      <c r="N342" s="2"/>
      <c r="O342" s="16"/>
    </row>
    <row r="343" spans="4:15" ht="14.25" customHeight="1" x14ac:dyDescent="0.3">
      <c r="D343" s="15"/>
      <c r="E343" s="15"/>
      <c r="F343" s="21"/>
      <c r="G343" s="1"/>
      <c r="H343" s="19"/>
      <c r="I343" s="1"/>
      <c r="J343" s="2"/>
      <c r="K343" s="2"/>
      <c r="L343" s="2"/>
      <c r="M343" s="2"/>
      <c r="N343" s="2"/>
      <c r="O343" s="16"/>
    </row>
    <row r="344" spans="4:15" ht="14.25" customHeight="1" x14ac:dyDescent="0.3">
      <c r="D344" s="15"/>
      <c r="E344" s="15"/>
      <c r="F344" s="21"/>
      <c r="G344" s="1"/>
      <c r="H344" s="19"/>
      <c r="I344" s="1"/>
      <c r="J344" s="2"/>
      <c r="K344" s="2"/>
      <c r="L344" s="2"/>
      <c r="M344" s="2"/>
      <c r="N344" s="2"/>
      <c r="O344" s="16"/>
    </row>
    <row r="345" spans="4:15" ht="14.25" customHeight="1" x14ac:dyDescent="0.3">
      <c r="D345" s="15"/>
      <c r="E345" s="15"/>
      <c r="F345" s="21"/>
      <c r="G345" s="1"/>
      <c r="H345" s="19"/>
      <c r="I345" s="1"/>
      <c r="J345" s="2"/>
      <c r="K345" s="2"/>
      <c r="L345" s="2"/>
      <c r="M345" s="2"/>
      <c r="N345" s="2"/>
      <c r="O345" s="16"/>
    </row>
    <row r="346" spans="4:15" ht="14.25" customHeight="1" x14ac:dyDescent="0.3">
      <c r="D346" s="15"/>
      <c r="E346" s="15"/>
      <c r="F346" s="21"/>
      <c r="G346" s="1"/>
      <c r="H346" s="19"/>
      <c r="I346" s="1"/>
      <c r="J346" s="2"/>
      <c r="K346" s="2"/>
      <c r="L346" s="2"/>
      <c r="M346" s="2"/>
      <c r="N346" s="2"/>
      <c r="O346" s="16"/>
    </row>
    <row r="347" spans="4:15" ht="14.25" customHeight="1" x14ac:dyDescent="0.3">
      <c r="D347" s="15"/>
      <c r="E347" s="15"/>
      <c r="F347" s="21"/>
      <c r="G347" s="1"/>
      <c r="H347" s="19"/>
      <c r="I347" s="1"/>
      <c r="J347" s="2"/>
      <c r="K347" s="2"/>
      <c r="L347" s="2"/>
      <c r="M347" s="2"/>
      <c r="N347" s="2"/>
      <c r="O347" s="16"/>
    </row>
    <row r="348" spans="4:15" ht="14.25" customHeight="1" x14ac:dyDescent="0.3">
      <c r="D348" s="15"/>
      <c r="E348" s="15"/>
      <c r="F348" s="21"/>
      <c r="G348" s="1"/>
      <c r="H348" s="19"/>
      <c r="I348" s="1"/>
      <c r="J348" s="2"/>
      <c r="K348" s="2"/>
      <c r="L348" s="2"/>
      <c r="M348" s="2"/>
      <c r="N348" s="2"/>
      <c r="O348" s="16"/>
    </row>
    <row r="349" spans="4:15" ht="14.25" customHeight="1" x14ac:dyDescent="0.3">
      <c r="D349" s="15"/>
      <c r="E349" s="15"/>
      <c r="F349" s="21"/>
      <c r="G349" s="1"/>
      <c r="H349" s="19"/>
      <c r="I349" s="1"/>
      <c r="J349" s="2"/>
      <c r="K349" s="2"/>
      <c r="L349" s="2"/>
      <c r="M349" s="2"/>
      <c r="N349" s="2"/>
      <c r="O349" s="16"/>
    </row>
    <row r="350" spans="4:15" ht="14.25" customHeight="1" x14ac:dyDescent="0.3">
      <c r="D350" s="15"/>
      <c r="E350" s="15"/>
      <c r="F350" s="21"/>
      <c r="G350" s="1"/>
      <c r="H350" s="19"/>
      <c r="I350" s="1"/>
      <c r="J350" s="2"/>
      <c r="K350" s="2"/>
      <c r="L350" s="2"/>
      <c r="M350" s="2"/>
      <c r="N350" s="2"/>
      <c r="O350" s="16"/>
    </row>
    <row r="351" spans="4:15" ht="14.25" customHeight="1" x14ac:dyDescent="0.3">
      <c r="D351" s="15"/>
      <c r="E351" s="15"/>
      <c r="F351" s="21"/>
      <c r="G351" s="1"/>
      <c r="H351" s="19"/>
      <c r="I351" s="1"/>
      <c r="J351" s="2"/>
      <c r="K351" s="2"/>
      <c r="L351" s="2"/>
      <c r="M351" s="2"/>
      <c r="N351" s="2"/>
      <c r="O351" s="16"/>
    </row>
    <row r="352" spans="4:15" ht="14.25" customHeight="1" x14ac:dyDescent="0.3">
      <c r="D352" s="15"/>
      <c r="E352" s="15"/>
      <c r="F352" s="21"/>
      <c r="G352" s="1"/>
      <c r="H352" s="19"/>
      <c r="I352" s="1"/>
      <c r="J352" s="2"/>
      <c r="K352" s="2"/>
      <c r="L352" s="2"/>
      <c r="M352" s="2"/>
      <c r="N352" s="2"/>
      <c r="O352" s="16"/>
    </row>
    <row r="353" spans="4:15" ht="14.25" customHeight="1" x14ac:dyDescent="0.3">
      <c r="D353" s="15"/>
      <c r="E353" s="15"/>
      <c r="F353" s="21"/>
      <c r="G353" s="1"/>
      <c r="H353" s="19"/>
      <c r="I353" s="1"/>
      <c r="J353" s="2"/>
      <c r="K353" s="2"/>
      <c r="L353" s="2"/>
      <c r="M353" s="2"/>
      <c r="N353" s="2"/>
      <c r="O353" s="16"/>
    </row>
    <row r="354" spans="4:15" ht="14.25" customHeight="1" x14ac:dyDescent="0.3">
      <c r="D354" s="15"/>
      <c r="E354" s="15"/>
      <c r="F354" s="21"/>
      <c r="G354" s="1"/>
      <c r="H354" s="19"/>
      <c r="I354" s="1"/>
      <c r="J354" s="2"/>
      <c r="K354" s="2"/>
      <c r="L354" s="2"/>
      <c r="M354" s="2"/>
      <c r="N354" s="2"/>
      <c r="O354" s="16"/>
    </row>
    <row r="355" spans="4:15" ht="14.25" customHeight="1" x14ac:dyDescent="0.3">
      <c r="D355" s="15"/>
      <c r="E355" s="15"/>
      <c r="F355" s="21"/>
      <c r="G355" s="1"/>
      <c r="H355" s="19"/>
      <c r="I355" s="1"/>
      <c r="J355" s="2"/>
      <c r="K355" s="2"/>
      <c r="L355" s="2"/>
      <c r="M355" s="2"/>
      <c r="N355" s="2"/>
      <c r="O355" s="16"/>
    </row>
    <row r="356" spans="4:15" ht="14.25" customHeight="1" x14ac:dyDescent="0.3">
      <c r="D356" s="15"/>
      <c r="E356" s="15"/>
      <c r="F356" s="21"/>
      <c r="G356" s="1"/>
      <c r="H356" s="19"/>
      <c r="I356" s="1"/>
      <c r="J356" s="2"/>
      <c r="K356" s="2"/>
      <c r="L356" s="2"/>
      <c r="M356" s="2"/>
      <c r="N356" s="2"/>
      <c r="O356" s="16"/>
    </row>
    <row r="357" spans="4:15" ht="14.25" customHeight="1" x14ac:dyDescent="0.3">
      <c r="D357" s="15"/>
      <c r="E357" s="15"/>
      <c r="F357" s="21"/>
      <c r="G357" s="1"/>
      <c r="H357" s="19"/>
      <c r="I357" s="1"/>
      <c r="J357" s="2"/>
      <c r="K357" s="2"/>
      <c r="L357" s="2"/>
      <c r="M357" s="2"/>
      <c r="N357" s="2"/>
      <c r="O357" s="16"/>
    </row>
    <row r="358" spans="4:15" ht="14.25" customHeight="1" x14ac:dyDescent="0.3">
      <c r="D358" s="15"/>
      <c r="E358" s="15"/>
      <c r="F358" s="21"/>
      <c r="G358" s="1"/>
      <c r="H358" s="19"/>
      <c r="I358" s="1"/>
      <c r="J358" s="2"/>
      <c r="K358" s="2"/>
      <c r="L358" s="2"/>
      <c r="M358" s="2"/>
      <c r="N358" s="2"/>
      <c r="O358" s="16"/>
    </row>
    <row r="359" spans="4:15" ht="14.25" customHeight="1" x14ac:dyDescent="0.3">
      <c r="D359" s="15"/>
      <c r="E359" s="15"/>
      <c r="F359" s="21"/>
      <c r="G359" s="1"/>
      <c r="H359" s="19"/>
      <c r="I359" s="1"/>
      <c r="J359" s="2"/>
      <c r="K359" s="2"/>
      <c r="L359" s="2"/>
      <c r="M359" s="2"/>
      <c r="N359" s="2"/>
      <c r="O359" s="16"/>
    </row>
    <row r="360" spans="4:15" ht="14.25" customHeight="1" x14ac:dyDescent="0.3">
      <c r="D360" s="15"/>
      <c r="E360" s="15"/>
      <c r="F360" s="21"/>
      <c r="G360" s="1"/>
      <c r="H360" s="19"/>
      <c r="I360" s="1"/>
      <c r="J360" s="2"/>
      <c r="K360" s="2"/>
      <c r="L360" s="2"/>
      <c r="M360" s="2"/>
      <c r="N360" s="2"/>
      <c r="O360" s="16"/>
    </row>
    <row r="361" spans="4:15" ht="14.25" customHeight="1" x14ac:dyDescent="0.3">
      <c r="D361" s="15"/>
      <c r="E361" s="15"/>
      <c r="F361" s="21"/>
      <c r="G361" s="1"/>
      <c r="H361" s="19"/>
      <c r="I361" s="1"/>
      <c r="J361" s="2"/>
      <c r="K361" s="2"/>
      <c r="L361" s="2"/>
      <c r="M361" s="2"/>
      <c r="N361" s="2"/>
      <c r="O361" s="16"/>
    </row>
    <row r="362" spans="4:15" ht="14.25" customHeight="1" x14ac:dyDescent="0.3">
      <c r="D362" s="15"/>
      <c r="E362" s="15"/>
      <c r="F362" s="21"/>
      <c r="G362" s="1"/>
      <c r="H362" s="19"/>
      <c r="I362" s="1"/>
      <c r="J362" s="2"/>
      <c r="K362" s="2"/>
      <c r="L362" s="2"/>
      <c r="M362" s="2"/>
      <c r="N362" s="2"/>
      <c r="O362" s="16"/>
    </row>
    <row r="363" spans="4:15" ht="14.25" customHeight="1" x14ac:dyDescent="0.3">
      <c r="D363" s="15"/>
      <c r="E363" s="15"/>
      <c r="F363" s="21"/>
      <c r="G363" s="1"/>
      <c r="H363" s="19"/>
      <c r="I363" s="1"/>
      <c r="J363" s="2"/>
      <c r="K363" s="2"/>
      <c r="L363" s="2"/>
      <c r="M363" s="2"/>
      <c r="N363" s="2"/>
      <c r="O363" s="16"/>
    </row>
    <row r="364" spans="4:15" ht="14.25" customHeight="1" x14ac:dyDescent="0.3">
      <c r="D364" s="15"/>
      <c r="E364" s="15"/>
      <c r="F364" s="21"/>
      <c r="G364" s="1"/>
      <c r="H364" s="19"/>
      <c r="I364" s="1"/>
      <c r="J364" s="2"/>
      <c r="K364" s="2"/>
      <c r="L364" s="2"/>
      <c r="M364" s="2"/>
      <c r="N364" s="2"/>
      <c r="O364" s="16"/>
    </row>
    <row r="365" spans="4:15" ht="14.25" customHeight="1" x14ac:dyDescent="0.3">
      <c r="D365" s="15"/>
      <c r="E365" s="15"/>
      <c r="F365" s="21"/>
      <c r="G365" s="1"/>
      <c r="H365" s="19"/>
      <c r="I365" s="1"/>
      <c r="J365" s="2"/>
      <c r="K365" s="2"/>
      <c r="L365" s="2"/>
      <c r="M365" s="2"/>
      <c r="N365" s="2"/>
      <c r="O365" s="16"/>
    </row>
    <row r="366" spans="4:15" ht="14.25" customHeight="1" x14ac:dyDescent="0.3">
      <c r="D366" s="15"/>
      <c r="E366" s="15"/>
      <c r="F366" s="21"/>
      <c r="G366" s="1"/>
      <c r="H366" s="19"/>
      <c r="I366" s="1"/>
      <c r="J366" s="2"/>
      <c r="K366" s="2"/>
      <c r="L366" s="2"/>
      <c r="M366" s="2"/>
      <c r="N366" s="2"/>
      <c r="O366" s="16"/>
    </row>
    <row r="367" spans="4:15" ht="14.25" customHeight="1" x14ac:dyDescent="0.3">
      <c r="D367" s="15"/>
      <c r="E367" s="15"/>
      <c r="F367" s="21"/>
      <c r="G367" s="1"/>
      <c r="H367" s="19"/>
      <c r="I367" s="1"/>
      <c r="J367" s="2"/>
      <c r="K367" s="2"/>
      <c r="L367" s="2"/>
      <c r="M367" s="2"/>
      <c r="N367" s="2"/>
      <c r="O367" s="16"/>
    </row>
    <row r="368" spans="4:15" ht="14.25" customHeight="1" x14ac:dyDescent="0.3">
      <c r="D368" s="15"/>
      <c r="E368" s="15"/>
      <c r="F368" s="21"/>
      <c r="G368" s="1"/>
      <c r="H368" s="19"/>
      <c r="I368" s="1"/>
      <c r="J368" s="2"/>
      <c r="K368" s="2"/>
      <c r="L368" s="2"/>
      <c r="M368" s="2"/>
      <c r="N368" s="2"/>
      <c r="O368" s="16"/>
    </row>
    <row r="369" spans="4:15" ht="14.25" customHeight="1" x14ac:dyDescent="0.3">
      <c r="D369" s="15"/>
      <c r="E369" s="15"/>
      <c r="F369" s="21"/>
      <c r="G369" s="1"/>
      <c r="H369" s="19"/>
      <c r="I369" s="1"/>
      <c r="J369" s="2"/>
      <c r="K369" s="2"/>
      <c r="L369" s="2"/>
      <c r="M369" s="2"/>
      <c r="N369" s="2"/>
      <c r="O369" s="16"/>
    </row>
    <row r="370" spans="4:15" ht="14.25" customHeight="1" x14ac:dyDescent="0.3">
      <c r="D370" s="15"/>
      <c r="E370" s="15"/>
      <c r="F370" s="21"/>
      <c r="G370" s="1"/>
      <c r="H370" s="19"/>
      <c r="I370" s="1"/>
      <c r="J370" s="2"/>
      <c r="K370" s="2"/>
      <c r="L370" s="2"/>
      <c r="M370" s="2"/>
      <c r="N370" s="2"/>
      <c r="O370" s="16"/>
    </row>
    <row r="371" spans="4:15" ht="14.25" customHeight="1" x14ac:dyDescent="0.3">
      <c r="D371" s="15"/>
      <c r="E371" s="15"/>
      <c r="F371" s="21"/>
      <c r="G371" s="1"/>
      <c r="H371" s="19"/>
      <c r="I371" s="1"/>
      <c r="J371" s="2"/>
      <c r="K371" s="2"/>
      <c r="L371" s="2"/>
      <c r="M371" s="2"/>
      <c r="N371" s="2"/>
      <c r="O371" s="16"/>
    </row>
    <row r="372" spans="4:15" ht="14.25" customHeight="1" x14ac:dyDescent="0.3">
      <c r="D372" s="15"/>
      <c r="E372" s="15"/>
      <c r="F372" s="21"/>
      <c r="G372" s="1"/>
      <c r="H372" s="19"/>
      <c r="I372" s="1"/>
      <c r="J372" s="2"/>
      <c r="K372" s="2"/>
      <c r="L372" s="2"/>
      <c r="M372" s="2"/>
      <c r="N372" s="2"/>
      <c r="O372" s="16"/>
    </row>
    <row r="373" spans="4:15" ht="14.25" customHeight="1" x14ac:dyDescent="0.3">
      <c r="D373" s="15"/>
      <c r="E373" s="15"/>
      <c r="F373" s="21"/>
      <c r="G373" s="1"/>
      <c r="H373" s="19"/>
      <c r="I373" s="1"/>
      <c r="J373" s="2"/>
      <c r="K373" s="2"/>
      <c r="L373" s="2"/>
      <c r="M373" s="2"/>
      <c r="N373" s="2"/>
      <c r="O373" s="16"/>
    </row>
    <row r="374" spans="4:15" ht="14.25" customHeight="1" x14ac:dyDescent="0.3">
      <c r="D374" s="15"/>
      <c r="E374" s="15"/>
      <c r="F374" s="21"/>
      <c r="G374" s="1"/>
      <c r="H374" s="19"/>
      <c r="I374" s="1"/>
      <c r="J374" s="2"/>
      <c r="K374" s="2"/>
      <c r="L374" s="2"/>
      <c r="M374" s="2"/>
      <c r="N374" s="2"/>
      <c r="O374" s="16"/>
    </row>
    <row r="375" spans="4:15" ht="14.25" customHeight="1" x14ac:dyDescent="0.3">
      <c r="D375" s="15"/>
      <c r="E375" s="15"/>
      <c r="F375" s="21"/>
      <c r="G375" s="1"/>
      <c r="H375" s="19"/>
      <c r="I375" s="1"/>
      <c r="J375" s="2"/>
      <c r="K375" s="2"/>
      <c r="L375" s="2"/>
      <c r="M375" s="2"/>
      <c r="N375" s="2"/>
      <c r="O375" s="16"/>
    </row>
    <row r="376" spans="4:15" ht="14.25" customHeight="1" x14ac:dyDescent="0.3">
      <c r="D376" s="15"/>
      <c r="E376" s="15"/>
      <c r="F376" s="21"/>
      <c r="G376" s="1"/>
      <c r="H376" s="19"/>
      <c r="I376" s="1"/>
      <c r="J376" s="2"/>
      <c r="K376" s="2"/>
      <c r="L376" s="2"/>
      <c r="M376" s="2"/>
      <c r="N376" s="2"/>
      <c r="O376" s="16"/>
    </row>
    <row r="377" spans="4:15" ht="14.25" customHeight="1" x14ac:dyDescent="0.3">
      <c r="D377" s="15"/>
      <c r="E377" s="15"/>
      <c r="F377" s="21"/>
      <c r="G377" s="1"/>
      <c r="H377" s="19"/>
      <c r="I377" s="1"/>
      <c r="J377" s="2"/>
      <c r="K377" s="2"/>
      <c r="L377" s="2"/>
      <c r="M377" s="2"/>
      <c r="N377" s="2"/>
      <c r="O377" s="16"/>
    </row>
    <row r="378" spans="4:15" ht="14.25" customHeight="1" x14ac:dyDescent="0.3">
      <c r="D378" s="15"/>
      <c r="E378" s="15"/>
      <c r="F378" s="21"/>
      <c r="G378" s="1"/>
      <c r="H378" s="19"/>
      <c r="I378" s="1"/>
      <c r="J378" s="2"/>
      <c r="K378" s="2"/>
      <c r="L378" s="2"/>
      <c r="M378" s="2"/>
      <c r="N378" s="2"/>
      <c r="O378" s="16"/>
    </row>
    <row r="379" spans="4:15" ht="14.25" customHeight="1" x14ac:dyDescent="0.3">
      <c r="D379" s="15"/>
      <c r="E379" s="15"/>
      <c r="F379" s="21"/>
      <c r="G379" s="1"/>
      <c r="H379" s="19"/>
      <c r="I379" s="1"/>
      <c r="J379" s="2"/>
      <c r="K379" s="2"/>
      <c r="L379" s="2"/>
      <c r="M379" s="2"/>
      <c r="N379" s="2"/>
      <c r="O379" s="16"/>
    </row>
    <row r="380" spans="4:15" ht="14.25" customHeight="1" x14ac:dyDescent="0.3">
      <c r="D380" s="15"/>
      <c r="E380" s="15"/>
      <c r="F380" s="21"/>
      <c r="G380" s="1"/>
      <c r="H380" s="19"/>
      <c r="I380" s="1"/>
      <c r="J380" s="2"/>
      <c r="K380" s="2"/>
      <c r="L380" s="2"/>
      <c r="M380" s="2"/>
      <c r="N380" s="2"/>
      <c r="O380" s="16"/>
    </row>
    <row r="381" spans="4:15" ht="14.25" customHeight="1" x14ac:dyDescent="0.3">
      <c r="D381" s="15"/>
      <c r="E381" s="15"/>
      <c r="F381" s="21"/>
      <c r="G381" s="1"/>
      <c r="H381" s="19"/>
      <c r="I381" s="1"/>
      <c r="J381" s="2"/>
      <c r="K381" s="2"/>
      <c r="L381" s="2"/>
      <c r="M381" s="2"/>
      <c r="N381" s="2"/>
      <c r="O381" s="16"/>
    </row>
    <row r="382" spans="4:15" ht="14.25" customHeight="1" x14ac:dyDescent="0.3">
      <c r="D382" s="15"/>
      <c r="E382" s="15"/>
      <c r="F382" s="21"/>
      <c r="G382" s="1"/>
      <c r="H382" s="19"/>
      <c r="I382" s="1"/>
      <c r="J382" s="2"/>
      <c r="K382" s="2"/>
      <c r="L382" s="2"/>
      <c r="M382" s="2"/>
      <c r="N382" s="2"/>
      <c r="O382" s="16"/>
    </row>
    <row r="383" spans="4:15" ht="14.25" customHeight="1" x14ac:dyDescent="0.3">
      <c r="D383" s="15"/>
      <c r="E383" s="15"/>
      <c r="F383" s="21"/>
      <c r="G383" s="1"/>
      <c r="H383" s="19"/>
      <c r="I383" s="1"/>
      <c r="J383" s="2"/>
      <c r="K383" s="2"/>
      <c r="L383" s="2"/>
      <c r="M383" s="2"/>
      <c r="N383" s="2"/>
      <c r="O383" s="16"/>
    </row>
    <row r="384" spans="4:15" ht="14.25" customHeight="1" x14ac:dyDescent="0.3">
      <c r="D384" s="15"/>
      <c r="E384" s="15"/>
      <c r="F384" s="21"/>
      <c r="G384" s="1"/>
      <c r="H384" s="19"/>
      <c r="I384" s="1"/>
      <c r="J384" s="2"/>
      <c r="K384" s="2"/>
      <c r="L384" s="2"/>
      <c r="M384" s="2"/>
      <c r="N384" s="2"/>
      <c r="O384" s="16"/>
    </row>
    <row r="385" spans="4:15" ht="14.25" customHeight="1" x14ac:dyDescent="0.3">
      <c r="D385" s="15"/>
      <c r="E385" s="15"/>
      <c r="F385" s="21"/>
      <c r="G385" s="1"/>
      <c r="H385" s="19"/>
      <c r="I385" s="1"/>
      <c r="J385" s="2"/>
      <c r="K385" s="2"/>
      <c r="L385" s="2"/>
      <c r="M385" s="2"/>
      <c r="N385" s="2"/>
      <c r="O385" s="16"/>
    </row>
    <row r="386" spans="4:15" ht="14.25" customHeight="1" x14ac:dyDescent="0.3">
      <c r="D386" s="15"/>
      <c r="E386" s="15"/>
      <c r="F386" s="21"/>
      <c r="G386" s="1"/>
      <c r="H386" s="19"/>
      <c r="I386" s="1"/>
      <c r="J386" s="2"/>
      <c r="K386" s="2"/>
      <c r="L386" s="2"/>
      <c r="M386" s="2"/>
      <c r="N386" s="2"/>
      <c r="O386" s="16"/>
    </row>
    <row r="387" spans="4:15" ht="14.25" customHeight="1" x14ac:dyDescent="0.3">
      <c r="D387" s="15"/>
      <c r="E387" s="15"/>
      <c r="F387" s="21"/>
      <c r="G387" s="1"/>
      <c r="H387" s="19"/>
      <c r="I387" s="1"/>
      <c r="J387" s="2"/>
      <c r="K387" s="2"/>
      <c r="L387" s="2"/>
      <c r="M387" s="2"/>
      <c r="N387" s="2"/>
      <c r="O387" s="16"/>
    </row>
    <row r="388" spans="4:15" ht="14.25" customHeight="1" x14ac:dyDescent="0.3">
      <c r="D388" s="15"/>
      <c r="E388" s="15"/>
      <c r="F388" s="21"/>
      <c r="G388" s="1"/>
      <c r="H388" s="19"/>
      <c r="I388" s="1"/>
      <c r="J388" s="2"/>
      <c r="K388" s="2"/>
      <c r="L388" s="2"/>
      <c r="M388" s="2"/>
      <c r="N388" s="2"/>
      <c r="O388" s="16"/>
    </row>
    <row r="389" spans="4:15" ht="14.25" customHeight="1" x14ac:dyDescent="0.3">
      <c r="D389" s="15"/>
      <c r="E389" s="15"/>
      <c r="F389" s="21"/>
      <c r="G389" s="1"/>
      <c r="H389" s="19"/>
      <c r="I389" s="1"/>
      <c r="J389" s="2"/>
      <c r="K389" s="2"/>
      <c r="L389" s="2"/>
      <c r="M389" s="2"/>
      <c r="N389" s="2"/>
      <c r="O389" s="16"/>
    </row>
    <row r="390" spans="4:15" ht="14.25" customHeight="1" x14ac:dyDescent="0.3">
      <c r="D390" s="15"/>
      <c r="E390" s="15"/>
      <c r="F390" s="21"/>
      <c r="G390" s="1"/>
      <c r="H390" s="19"/>
      <c r="I390" s="1"/>
      <c r="J390" s="2"/>
      <c r="K390" s="2"/>
      <c r="L390" s="2"/>
      <c r="M390" s="2"/>
      <c r="N390" s="2"/>
      <c r="O390" s="16"/>
    </row>
    <row r="391" spans="4:15" ht="14.25" customHeight="1" x14ac:dyDescent="0.3">
      <c r="D391" s="15"/>
      <c r="E391" s="15"/>
      <c r="F391" s="21"/>
      <c r="G391" s="1"/>
      <c r="H391" s="19"/>
      <c r="I391" s="1"/>
      <c r="J391" s="2"/>
      <c r="K391" s="2"/>
      <c r="L391" s="2"/>
      <c r="M391" s="2"/>
      <c r="N391" s="2"/>
      <c r="O391" s="16"/>
    </row>
    <row r="392" spans="4:15" ht="14.25" customHeight="1" x14ac:dyDescent="0.3">
      <c r="D392" s="15"/>
      <c r="E392" s="15"/>
      <c r="F392" s="21"/>
      <c r="G392" s="1"/>
      <c r="H392" s="19"/>
      <c r="I392" s="1"/>
      <c r="J392" s="2"/>
      <c r="K392" s="2"/>
      <c r="L392" s="2"/>
      <c r="M392" s="2"/>
      <c r="N392" s="2"/>
      <c r="O392" s="16"/>
    </row>
    <row r="393" spans="4:15" ht="14.25" customHeight="1" x14ac:dyDescent="0.3">
      <c r="D393" s="15"/>
      <c r="E393" s="15"/>
      <c r="F393" s="21"/>
      <c r="G393" s="1"/>
      <c r="H393" s="19"/>
      <c r="I393" s="1"/>
      <c r="J393" s="2"/>
      <c r="K393" s="2"/>
      <c r="L393" s="2"/>
      <c r="M393" s="2"/>
      <c r="N393" s="2"/>
      <c r="O393" s="16"/>
    </row>
    <row r="394" spans="4:15" ht="14.25" customHeight="1" x14ac:dyDescent="0.3">
      <c r="D394" s="15"/>
      <c r="E394" s="15"/>
      <c r="F394" s="21"/>
      <c r="G394" s="1"/>
      <c r="H394" s="19"/>
      <c r="I394" s="1"/>
      <c r="J394" s="2"/>
      <c r="K394" s="2"/>
      <c r="L394" s="2"/>
      <c r="M394" s="2"/>
      <c r="N394" s="2"/>
      <c r="O394" s="16"/>
    </row>
    <row r="395" spans="4:15" ht="14.25" customHeight="1" x14ac:dyDescent="0.3">
      <c r="D395" s="15"/>
      <c r="E395" s="15"/>
      <c r="F395" s="21"/>
      <c r="G395" s="1"/>
      <c r="H395" s="19"/>
      <c r="I395" s="1"/>
      <c r="J395" s="2"/>
      <c r="K395" s="2"/>
      <c r="L395" s="2"/>
      <c r="M395" s="2"/>
      <c r="N395" s="2"/>
      <c r="O395" s="16"/>
    </row>
    <row r="396" spans="4:15" ht="14.25" customHeight="1" x14ac:dyDescent="0.3">
      <c r="D396" s="15"/>
      <c r="E396" s="15"/>
      <c r="F396" s="21"/>
      <c r="G396" s="1"/>
      <c r="H396" s="19"/>
      <c r="I396" s="1"/>
      <c r="J396" s="2"/>
      <c r="K396" s="2"/>
      <c r="L396" s="2"/>
      <c r="M396" s="2"/>
      <c r="N396" s="2"/>
      <c r="O396" s="16"/>
    </row>
    <row r="397" spans="4:15" ht="14.25" customHeight="1" x14ac:dyDescent="0.3">
      <c r="D397" s="15"/>
      <c r="E397" s="15"/>
      <c r="F397" s="21"/>
      <c r="G397" s="1"/>
      <c r="H397" s="19"/>
      <c r="I397" s="1"/>
      <c r="J397" s="2"/>
      <c r="K397" s="2"/>
      <c r="L397" s="2"/>
      <c r="M397" s="2"/>
      <c r="N397" s="2"/>
      <c r="O397" s="16"/>
    </row>
    <row r="398" spans="4:15" ht="14.25" customHeight="1" x14ac:dyDescent="0.3">
      <c r="D398" s="15"/>
      <c r="E398" s="15"/>
      <c r="F398" s="21"/>
      <c r="G398" s="1"/>
      <c r="H398" s="19"/>
      <c r="I398" s="1"/>
      <c r="J398" s="2"/>
      <c r="K398" s="2"/>
      <c r="L398" s="2"/>
      <c r="M398" s="2"/>
      <c r="N398" s="2"/>
      <c r="O398" s="16"/>
    </row>
    <row r="399" spans="4:15" ht="14.25" customHeight="1" x14ac:dyDescent="0.3">
      <c r="D399" s="15"/>
      <c r="E399" s="15"/>
      <c r="F399" s="21"/>
      <c r="G399" s="1"/>
      <c r="H399" s="19"/>
      <c r="I399" s="1"/>
      <c r="J399" s="2"/>
      <c r="K399" s="2"/>
      <c r="L399" s="2"/>
      <c r="M399" s="2"/>
      <c r="N399" s="2"/>
      <c r="O399" s="16"/>
    </row>
    <row r="400" spans="4:15" ht="14.25" customHeight="1" x14ac:dyDescent="0.3">
      <c r="D400" s="15"/>
      <c r="E400" s="15"/>
      <c r="F400" s="21"/>
      <c r="G400" s="1"/>
      <c r="H400" s="19"/>
      <c r="I400" s="1"/>
      <c r="J400" s="2"/>
      <c r="K400" s="2"/>
      <c r="L400" s="2"/>
      <c r="M400" s="2"/>
      <c r="N400" s="2"/>
      <c r="O400" s="16"/>
    </row>
    <row r="401" spans="4:15" ht="14.25" customHeight="1" x14ac:dyDescent="0.3">
      <c r="D401" s="15"/>
      <c r="E401" s="15"/>
      <c r="F401" s="21"/>
      <c r="G401" s="1"/>
      <c r="H401" s="19"/>
      <c r="I401" s="1"/>
      <c r="J401" s="2"/>
      <c r="K401" s="2"/>
      <c r="L401" s="2"/>
      <c r="M401" s="2"/>
      <c r="N401" s="2"/>
      <c r="O401" s="16"/>
    </row>
    <row r="402" spans="4:15" ht="14.25" customHeight="1" x14ac:dyDescent="0.3">
      <c r="D402" s="15"/>
      <c r="E402" s="15"/>
      <c r="F402" s="21"/>
      <c r="G402" s="1"/>
      <c r="H402" s="19"/>
      <c r="I402" s="1"/>
      <c r="J402" s="2"/>
      <c r="K402" s="2"/>
      <c r="L402" s="2"/>
      <c r="M402" s="2"/>
      <c r="N402" s="2"/>
      <c r="O402" s="16"/>
    </row>
    <row r="403" spans="4:15" ht="14.25" customHeight="1" x14ac:dyDescent="0.3">
      <c r="D403" s="15"/>
      <c r="E403" s="15"/>
      <c r="F403" s="21"/>
      <c r="G403" s="1"/>
      <c r="H403" s="19"/>
      <c r="I403" s="1"/>
      <c r="J403" s="2"/>
      <c r="K403" s="2"/>
      <c r="L403" s="2"/>
      <c r="M403" s="2"/>
      <c r="N403" s="2"/>
      <c r="O403" s="16"/>
    </row>
    <row r="404" spans="4:15" ht="14.25" customHeight="1" x14ac:dyDescent="0.3">
      <c r="D404" s="15"/>
      <c r="E404" s="15"/>
      <c r="F404" s="21"/>
      <c r="G404" s="1"/>
      <c r="H404" s="19"/>
      <c r="I404" s="1"/>
      <c r="J404" s="2"/>
      <c r="K404" s="2"/>
      <c r="L404" s="2"/>
      <c r="M404" s="2"/>
      <c r="N404" s="2"/>
      <c r="O404" s="16"/>
    </row>
    <row r="405" spans="4:15" ht="14.25" customHeight="1" x14ac:dyDescent="0.3">
      <c r="D405" s="15"/>
      <c r="E405" s="15"/>
      <c r="F405" s="21"/>
      <c r="G405" s="1"/>
      <c r="H405" s="19"/>
      <c r="I405" s="1"/>
      <c r="J405" s="2"/>
      <c r="K405" s="2"/>
      <c r="L405" s="2"/>
      <c r="M405" s="2"/>
      <c r="N405" s="2"/>
      <c r="O405" s="16"/>
    </row>
    <row r="406" spans="4:15" ht="14.25" customHeight="1" x14ac:dyDescent="0.3">
      <c r="D406" s="15"/>
      <c r="E406" s="15"/>
      <c r="F406" s="21"/>
      <c r="G406" s="1"/>
      <c r="H406" s="19"/>
      <c r="I406" s="1"/>
      <c r="J406" s="2"/>
      <c r="K406" s="2"/>
      <c r="L406" s="2"/>
      <c r="M406" s="2"/>
      <c r="N406" s="2"/>
      <c r="O406" s="16"/>
    </row>
    <row r="407" spans="4:15" ht="14.25" customHeight="1" x14ac:dyDescent="0.3">
      <c r="D407" s="15"/>
      <c r="E407" s="15"/>
      <c r="F407" s="21"/>
      <c r="G407" s="1"/>
      <c r="H407" s="19"/>
      <c r="I407" s="1"/>
      <c r="J407" s="2"/>
      <c r="K407" s="2"/>
      <c r="L407" s="2"/>
      <c r="M407" s="2"/>
      <c r="N407" s="2"/>
      <c r="O407" s="16"/>
    </row>
    <row r="408" spans="4:15" ht="14.25" customHeight="1" x14ac:dyDescent="0.3">
      <c r="D408" s="15"/>
      <c r="E408" s="15"/>
      <c r="F408" s="21"/>
      <c r="G408" s="1"/>
      <c r="H408" s="19"/>
      <c r="I408" s="1"/>
      <c r="J408" s="2"/>
      <c r="K408" s="2"/>
      <c r="L408" s="2"/>
      <c r="M408" s="2"/>
      <c r="N408" s="2"/>
      <c r="O408" s="16"/>
    </row>
    <row r="409" spans="4:15" ht="14.25" customHeight="1" x14ac:dyDescent="0.3">
      <c r="D409" s="15"/>
      <c r="E409" s="15"/>
      <c r="F409" s="21"/>
      <c r="G409" s="1"/>
      <c r="H409" s="19"/>
      <c r="I409" s="1"/>
      <c r="J409" s="2"/>
      <c r="K409" s="2"/>
      <c r="L409" s="2"/>
      <c r="M409" s="2"/>
      <c r="N409" s="2"/>
      <c r="O409" s="16"/>
    </row>
    <row r="410" spans="4:15" ht="14.25" customHeight="1" x14ac:dyDescent="0.3">
      <c r="D410" s="15"/>
      <c r="E410" s="15"/>
      <c r="F410" s="21"/>
      <c r="G410" s="1"/>
      <c r="H410" s="19"/>
      <c r="I410" s="1"/>
      <c r="J410" s="2"/>
      <c r="K410" s="2"/>
      <c r="L410" s="2"/>
      <c r="M410" s="2"/>
      <c r="N410" s="2"/>
      <c r="O410" s="16"/>
    </row>
    <row r="411" spans="4:15" ht="14.25" customHeight="1" x14ac:dyDescent="0.3">
      <c r="D411" s="15"/>
      <c r="E411" s="15"/>
      <c r="F411" s="21"/>
      <c r="G411" s="1"/>
      <c r="H411" s="19"/>
      <c r="I411" s="1"/>
      <c r="J411" s="2"/>
      <c r="K411" s="2"/>
      <c r="L411" s="2"/>
      <c r="M411" s="2"/>
      <c r="N411" s="2"/>
      <c r="O411" s="16"/>
    </row>
    <row r="412" spans="4:15" ht="14.25" customHeight="1" x14ac:dyDescent="0.3">
      <c r="D412" s="15"/>
      <c r="E412" s="15"/>
      <c r="F412" s="21"/>
      <c r="G412" s="1"/>
      <c r="H412" s="19"/>
      <c r="I412" s="1"/>
      <c r="J412" s="2"/>
      <c r="K412" s="2"/>
      <c r="L412" s="2"/>
      <c r="M412" s="2"/>
      <c r="N412" s="2"/>
      <c r="O412" s="16"/>
    </row>
    <row r="413" spans="4:15" ht="14.25" customHeight="1" x14ac:dyDescent="0.3">
      <c r="D413" s="15"/>
      <c r="E413" s="15"/>
      <c r="F413" s="21"/>
      <c r="G413" s="1"/>
      <c r="H413" s="19"/>
      <c r="I413" s="1"/>
      <c r="J413" s="2"/>
      <c r="K413" s="2"/>
      <c r="L413" s="2"/>
      <c r="M413" s="2"/>
      <c r="N413" s="2"/>
      <c r="O413" s="16"/>
    </row>
    <row r="414" spans="4:15" ht="14.25" customHeight="1" x14ac:dyDescent="0.3">
      <c r="D414" s="15"/>
      <c r="E414" s="15"/>
      <c r="F414" s="21"/>
      <c r="G414" s="1"/>
      <c r="H414" s="19"/>
      <c r="I414" s="1"/>
      <c r="J414" s="2"/>
      <c r="K414" s="2"/>
      <c r="L414" s="2"/>
      <c r="M414" s="2"/>
      <c r="N414" s="2"/>
      <c r="O414" s="16"/>
    </row>
    <row r="415" spans="4:15" ht="14.25" customHeight="1" x14ac:dyDescent="0.3">
      <c r="D415" s="15"/>
      <c r="E415" s="15"/>
      <c r="F415" s="21"/>
      <c r="G415" s="1"/>
      <c r="H415" s="19"/>
      <c r="I415" s="1"/>
      <c r="J415" s="2"/>
      <c r="K415" s="2"/>
      <c r="L415" s="2"/>
      <c r="M415" s="2"/>
      <c r="N415" s="2"/>
      <c r="O415" s="16"/>
    </row>
    <row r="416" spans="4:15" ht="14.25" customHeight="1" x14ac:dyDescent="0.3">
      <c r="D416" s="15"/>
      <c r="E416" s="15"/>
      <c r="F416" s="21"/>
      <c r="G416" s="1"/>
      <c r="H416" s="19"/>
      <c r="I416" s="1"/>
      <c r="J416" s="2"/>
      <c r="K416" s="2"/>
      <c r="L416" s="2"/>
      <c r="M416" s="2"/>
      <c r="N416" s="2"/>
      <c r="O416" s="16"/>
    </row>
    <row r="417" spans="4:15" ht="14.25" customHeight="1" x14ac:dyDescent="0.3">
      <c r="D417" s="15"/>
      <c r="E417" s="15"/>
      <c r="F417" s="21"/>
      <c r="G417" s="1"/>
      <c r="H417" s="19"/>
      <c r="I417" s="1"/>
      <c r="J417" s="2"/>
      <c r="K417" s="2"/>
      <c r="L417" s="2"/>
      <c r="M417" s="2"/>
      <c r="N417" s="2"/>
      <c r="O417" s="16"/>
    </row>
    <row r="418" spans="4:15" ht="14.25" customHeight="1" x14ac:dyDescent="0.3">
      <c r="D418" s="15"/>
      <c r="E418" s="15"/>
      <c r="F418" s="21"/>
      <c r="G418" s="1"/>
      <c r="H418" s="19"/>
      <c r="I418" s="1"/>
      <c r="J418" s="2"/>
      <c r="K418" s="2"/>
      <c r="L418" s="2"/>
      <c r="M418" s="2"/>
      <c r="N418" s="2"/>
      <c r="O418" s="16"/>
    </row>
    <row r="419" spans="4:15" ht="14.25" customHeight="1" x14ac:dyDescent="0.3">
      <c r="D419" s="15"/>
      <c r="E419" s="15"/>
      <c r="F419" s="21"/>
      <c r="G419" s="1"/>
      <c r="H419" s="19"/>
      <c r="I419" s="1"/>
      <c r="J419" s="2"/>
      <c r="K419" s="2"/>
      <c r="L419" s="2"/>
      <c r="M419" s="2"/>
      <c r="N419" s="2"/>
      <c r="O419" s="16"/>
    </row>
    <row r="420" spans="4:15" ht="14.25" customHeight="1" x14ac:dyDescent="0.3">
      <c r="D420" s="15"/>
      <c r="E420" s="15"/>
      <c r="F420" s="21"/>
      <c r="G420" s="1"/>
      <c r="H420" s="19"/>
      <c r="I420" s="1"/>
      <c r="J420" s="2"/>
      <c r="K420" s="2"/>
      <c r="L420" s="2"/>
      <c r="M420" s="2"/>
      <c r="N420" s="2"/>
      <c r="O420" s="16"/>
    </row>
    <row r="421" spans="4:15" ht="14.25" customHeight="1" x14ac:dyDescent="0.3">
      <c r="D421" s="15"/>
      <c r="E421" s="15"/>
      <c r="F421" s="21"/>
      <c r="G421" s="1"/>
      <c r="H421" s="19"/>
      <c r="I421" s="1"/>
      <c r="J421" s="2"/>
      <c r="K421" s="2"/>
      <c r="L421" s="2"/>
      <c r="M421" s="2"/>
      <c r="N421" s="2"/>
      <c r="O421" s="16"/>
    </row>
    <row r="422" spans="4:15" ht="14.25" customHeight="1" x14ac:dyDescent="0.3">
      <c r="D422" s="15"/>
      <c r="E422" s="15"/>
      <c r="F422" s="21"/>
      <c r="G422" s="1"/>
      <c r="H422" s="19"/>
      <c r="I422" s="1"/>
      <c r="J422" s="2"/>
      <c r="K422" s="2"/>
      <c r="L422" s="2"/>
      <c r="M422" s="2"/>
      <c r="N422" s="2"/>
      <c r="O422" s="16"/>
    </row>
    <row r="423" spans="4:15" ht="14.25" customHeight="1" x14ac:dyDescent="0.3">
      <c r="D423" s="15"/>
      <c r="E423" s="15"/>
      <c r="F423" s="21"/>
      <c r="G423" s="1"/>
      <c r="H423" s="19"/>
      <c r="I423" s="1"/>
      <c r="J423" s="2"/>
      <c r="K423" s="2"/>
      <c r="L423" s="2"/>
      <c r="M423" s="2"/>
      <c r="N423" s="2"/>
      <c r="O423" s="16"/>
    </row>
    <row r="424" spans="4:15" ht="14.25" customHeight="1" x14ac:dyDescent="0.3">
      <c r="D424" s="15"/>
      <c r="E424" s="15"/>
      <c r="F424" s="21"/>
      <c r="G424" s="1"/>
      <c r="H424" s="19"/>
      <c r="I424" s="1"/>
      <c r="J424" s="2"/>
      <c r="K424" s="2"/>
      <c r="L424" s="2"/>
      <c r="M424" s="2"/>
      <c r="N424" s="2"/>
      <c r="O424" s="16"/>
    </row>
    <row r="425" spans="4:15" ht="14.25" customHeight="1" x14ac:dyDescent="0.3">
      <c r="D425" s="15"/>
      <c r="E425" s="15"/>
      <c r="F425" s="21"/>
      <c r="G425" s="1"/>
      <c r="H425" s="19"/>
      <c r="I425" s="1"/>
      <c r="J425" s="2"/>
      <c r="K425" s="2"/>
      <c r="L425" s="2"/>
      <c r="M425" s="2"/>
      <c r="N425" s="2"/>
      <c r="O425" s="16"/>
    </row>
    <row r="426" spans="4:15" ht="14.25" customHeight="1" x14ac:dyDescent="0.3">
      <c r="D426" s="15"/>
      <c r="E426" s="15"/>
      <c r="F426" s="21"/>
      <c r="G426" s="1"/>
      <c r="H426" s="19"/>
      <c r="I426" s="1"/>
      <c r="J426" s="2"/>
      <c r="K426" s="2"/>
      <c r="L426" s="2"/>
      <c r="M426" s="2"/>
      <c r="N426" s="2"/>
      <c r="O426" s="16"/>
    </row>
    <row r="427" spans="4:15" ht="14.25" customHeight="1" x14ac:dyDescent="0.3">
      <c r="D427" s="15"/>
      <c r="E427" s="15"/>
      <c r="F427" s="21"/>
      <c r="G427" s="1"/>
      <c r="H427" s="19"/>
      <c r="I427" s="1"/>
      <c r="J427" s="2"/>
      <c r="K427" s="2"/>
      <c r="L427" s="2"/>
      <c r="M427" s="2"/>
      <c r="N427" s="2"/>
      <c r="O427" s="16"/>
    </row>
    <row r="428" spans="4:15" ht="14.25" customHeight="1" x14ac:dyDescent="0.3">
      <c r="D428" s="15"/>
      <c r="E428" s="15"/>
      <c r="F428" s="21"/>
      <c r="G428" s="1"/>
      <c r="H428" s="19"/>
      <c r="I428" s="1"/>
      <c r="J428" s="2"/>
      <c r="K428" s="2"/>
      <c r="L428" s="2"/>
      <c r="M428" s="2"/>
      <c r="N428" s="2"/>
      <c r="O428" s="16"/>
    </row>
    <row r="429" spans="4:15" ht="14.25" customHeight="1" x14ac:dyDescent="0.3">
      <c r="D429" s="15"/>
      <c r="E429" s="15"/>
      <c r="F429" s="21"/>
      <c r="G429" s="1"/>
      <c r="H429" s="19"/>
      <c r="I429" s="1"/>
      <c r="J429" s="2"/>
      <c r="K429" s="2"/>
      <c r="L429" s="2"/>
      <c r="M429" s="2"/>
      <c r="N429" s="2"/>
      <c r="O429" s="16"/>
    </row>
    <row r="430" spans="4:15" ht="14.25" customHeight="1" x14ac:dyDescent="0.3">
      <c r="D430" s="15"/>
      <c r="E430" s="15"/>
      <c r="F430" s="21"/>
      <c r="G430" s="1"/>
      <c r="H430" s="19"/>
      <c r="I430" s="1"/>
      <c r="J430" s="2"/>
      <c r="K430" s="2"/>
      <c r="L430" s="2"/>
      <c r="M430" s="2"/>
      <c r="N430" s="2"/>
      <c r="O430" s="16"/>
    </row>
    <row r="431" spans="4:15" ht="14.25" customHeight="1" x14ac:dyDescent="0.3">
      <c r="D431" s="15"/>
      <c r="E431" s="15"/>
      <c r="F431" s="21"/>
      <c r="G431" s="1"/>
      <c r="H431" s="19"/>
      <c r="I431" s="1"/>
      <c r="J431" s="2"/>
      <c r="K431" s="2"/>
      <c r="L431" s="2"/>
      <c r="M431" s="2"/>
      <c r="N431" s="2"/>
      <c r="O431" s="16"/>
    </row>
    <row r="432" spans="4:15" ht="14.25" customHeight="1" x14ac:dyDescent="0.3">
      <c r="D432" s="15"/>
      <c r="E432" s="15"/>
      <c r="F432" s="21"/>
      <c r="G432" s="1"/>
      <c r="H432" s="19"/>
      <c r="I432" s="1"/>
      <c r="J432" s="2"/>
      <c r="K432" s="2"/>
      <c r="L432" s="2"/>
      <c r="M432" s="2"/>
      <c r="N432" s="2"/>
      <c r="O432" s="16"/>
    </row>
    <row r="433" spans="4:15" ht="14.25" customHeight="1" x14ac:dyDescent="0.3">
      <c r="D433" s="15"/>
      <c r="E433" s="15"/>
      <c r="F433" s="21"/>
      <c r="G433" s="1"/>
      <c r="H433" s="19"/>
      <c r="I433" s="1"/>
      <c r="J433" s="2"/>
      <c r="K433" s="2"/>
      <c r="L433" s="2"/>
      <c r="M433" s="2"/>
      <c r="N433" s="2"/>
      <c r="O433" s="16"/>
    </row>
    <row r="434" spans="4:15" ht="14.25" customHeight="1" x14ac:dyDescent="0.3">
      <c r="D434" s="15"/>
      <c r="E434" s="15"/>
      <c r="F434" s="21"/>
      <c r="G434" s="1"/>
      <c r="H434" s="19"/>
      <c r="I434" s="1"/>
      <c r="J434" s="2"/>
      <c r="K434" s="2"/>
      <c r="L434" s="2"/>
      <c r="M434" s="2"/>
      <c r="N434" s="2"/>
      <c r="O434" s="16"/>
    </row>
    <row r="435" spans="4:15" ht="14.25" customHeight="1" x14ac:dyDescent="0.3">
      <c r="D435" s="15"/>
      <c r="E435" s="15"/>
      <c r="F435" s="21"/>
      <c r="G435" s="1"/>
      <c r="H435" s="19"/>
      <c r="I435" s="1"/>
      <c r="J435" s="2"/>
      <c r="K435" s="2"/>
      <c r="L435" s="2"/>
      <c r="M435" s="2"/>
      <c r="N435" s="2"/>
      <c r="O435" s="16"/>
    </row>
    <row r="436" spans="4:15" ht="14.25" customHeight="1" x14ac:dyDescent="0.3">
      <c r="D436" s="15"/>
      <c r="E436" s="15"/>
      <c r="F436" s="21"/>
      <c r="G436" s="1"/>
      <c r="H436" s="19"/>
      <c r="I436" s="1"/>
      <c r="J436" s="2"/>
      <c r="K436" s="2"/>
      <c r="L436" s="2"/>
      <c r="M436" s="2"/>
      <c r="N436" s="2"/>
      <c r="O436" s="16"/>
    </row>
    <row r="437" spans="4:15" ht="14.25" customHeight="1" x14ac:dyDescent="0.3">
      <c r="D437" s="15"/>
      <c r="E437" s="15"/>
      <c r="F437" s="21"/>
      <c r="G437" s="1"/>
      <c r="H437" s="19"/>
      <c r="I437" s="1"/>
      <c r="J437" s="2"/>
      <c r="K437" s="2"/>
      <c r="L437" s="2"/>
      <c r="M437" s="2"/>
      <c r="N437" s="2"/>
      <c r="O437" s="16"/>
    </row>
    <row r="438" spans="4:15" ht="14.25" customHeight="1" x14ac:dyDescent="0.3">
      <c r="D438" s="15"/>
      <c r="E438" s="15"/>
      <c r="F438" s="21"/>
      <c r="G438" s="1"/>
      <c r="H438" s="19"/>
      <c r="I438" s="1"/>
      <c r="J438" s="2"/>
      <c r="K438" s="2"/>
      <c r="L438" s="2"/>
      <c r="M438" s="2"/>
      <c r="N438" s="2"/>
      <c r="O438" s="16"/>
    </row>
    <row r="439" spans="4:15" ht="14.25" customHeight="1" x14ac:dyDescent="0.3">
      <c r="D439" s="15"/>
      <c r="E439" s="15"/>
      <c r="F439" s="21"/>
      <c r="G439" s="1"/>
      <c r="H439" s="19"/>
      <c r="I439" s="1"/>
      <c r="J439" s="2"/>
      <c r="K439" s="2"/>
      <c r="L439" s="2"/>
      <c r="M439" s="2"/>
      <c r="N439" s="2"/>
      <c r="O439" s="16"/>
    </row>
    <row r="440" spans="4:15" ht="14.25" customHeight="1" x14ac:dyDescent="0.3">
      <c r="D440" s="15"/>
      <c r="E440" s="15"/>
      <c r="F440" s="21"/>
      <c r="G440" s="1"/>
      <c r="H440" s="19"/>
      <c r="I440" s="1"/>
      <c r="J440" s="2"/>
      <c r="K440" s="2"/>
      <c r="L440" s="2"/>
      <c r="M440" s="2"/>
      <c r="N440" s="2"/>
      <c r="O440" s="16"/>
    </row>
    <row r="441" spans="4:15" ht="14.25" customHeight="1" x14ac:dyDescent="0.3">
      <c r="D441" s="15"/>
      <c r="E441" s="15"/>
      <c r="F441" s="21"/>
      <c r="G441" s="1"/>
      <c r="H441" s="19"/>
      <c r="I441" s="1"/>
      <c r="J441" s="2"/>
      <c r="K441" s="2"/>
      <c r="L441" s="2"/>
      <c r="M441" s="2"/>
      <c r="N441" s="2"/>
      <c r="O441" s="16"/>
    </row>
    <row r="442" spans="4:15" ht="14.25" customHeight="1" x14ac:dyDescent="0.3">
      <c r="D442" s="15"/>
      <c r="E442" s="15"/>
      <c r="F442" s="21"/>
      <c r="G442" s="1"/>
      <c r="H442" s="19"/>
      <c r="I442" s="1"/>
      <c r="J442" s="2"/>
      <c r="K442" s="2"/>
      <c r="L442" s="2"/>
      <c r="M442" s="2"/>
      <c r="N442" s="2"/>
      <c r="O442" s="16"/>
    </row>
    <row r="443" spans="4:15" ht="14.25" customHeight="1" x14ac:dyDescent="0.3">
      <c r="D443" s="15"/>
      <c r="E443" s="15"/>
      <c r="F443" s="21"/>
      <c r="G443" s="1"/>
      <c r="H443" s="19"/>
      <c r="I443" s="1"/>
      <c r="J443" s="2"/>
      <c r="K443" s="2"/>
      <c r="L443" s="2"/>
      <c r="M443" s="2"/>
      <c r="N443" s="2"/>
      <c r="O443" s="16"/>
    </row>
    <row r="444" spans="4:15" ht="14.25" customHeight="1" x14ac:dyDescent="0.3">
      <c r="D444" s="15"/>
      <c r="E444" s="15"/>
      <c r="F444" s="21"/>
      <c r="G444" s="1"/>
      <c r="H444" s="19"/>
      <c r="I444" s="1"/>
      <c r="J444" s="2"/>
      <c r="K444" s="2"/>
      <c r="L444" s="2"/>
      <c r="M444" s="2"/>
      <c r="N444" s="2"/>
      <c r="O444" s="16"/>
    </row>
    <row r="445" spans="4:15" ht="14.25" customHeight="1" x14ac:dyDescent="0.3">
      <c r="D445" s="15"/>
      <c r="E445" s="15"/>
      <c r="F445" s="21"/>
      <c r="G445" s="1"/>
      <c r="H445" s="19"/>
      <c r="I445" s="1"/>
      <c r="J445" s="2"/>
      <c r="K445" s="2"/>
      <c r="L445" s="2"/>
      <c r="M445" s="2"/>
      <c r="N445" s="2"/>
      <c r="O445" s="16"/>
    </row>
    <row r="446" spans="4:15" ht="14.25" customHeight="1" x14ac:dyDescent="0.3">
      <c r="D446" s="15"/>
      <c r="E446" s="15"/>
      <c r="F446" s="21"/>
      <c r="G446" s="1"/>
      <c r="H446" s="19"/>
      <c r="I446" s="1"/>
      <c r="J446" s="2"/>
      <c r="K446" s="2"/>
      <c r="L446" s="2"/>
      <c r="M446" s="2"/>
      <c r="N446" s="2"/>
      <c r="O446" s="16"/>
    </row>
    <row r="447" spans="4:15" ht="14.25" customHeight="1" x14ac:dyDescent="0.3">
      <c r="D447" s="15"/>
      <c r="E447" s="15"/>
      <c r="F447" s="21"/>
      <c r="G447" s="1"/>
      <c r="H447" s="19"/>
      <c r="I447" s="1"/>
      <c r="J447" s="2"/>
      <c r="K447" s="2"/>
      <c r="L447" s="2"/>
      <c r="M447" s="2"/>
      <c r="N447" s="2"/>
      <c r="O447" s="16"/>
    </row>
    <row r="448" spans="4:15" ht="14.25" customHeight="1" x14ac:dyDescent="0.3">
      <c r="D448" s="15"/>
      <c r="E448" s="15"/>
      <c r="F448" s="21"/>
      <c r="G448" s="1"/>
      <c r="H448" s="19"/>
      <c r="I448" s="1"/>
      <c r="J448" s="2"/>
      <c r="K448" s="2"/>
      <c r="L448" s="2"/>
      <c r="M448" s="2"/>
      <c r="N448" s="2"/>
      <c r="O448" s="16"/>
    </row>
    <row r="449" spans="4:15" ht="14.25" customHeight="1" x14ac:dyDescent="0.3">
      <c r="D449" s="15"/>
      <c r="E449" s="15"/>
      <c r="F449" s="21"/>
      <c r="G449" s="1"/>
      <c r="H449" s="19"/>
      <c r="I449" s="1"/>
      <c r="J449" s="2"/>
      <c r="K449" s="2"/>
      <c r="L449" s="2"/>
      <c r="M449" s="2"/>
      <c r="N449" s="2"/>
      <c r="O449" s="16"/>
    </row>
    <row r="450" spans="4:15" ht="14.25" customHeight="1" x14ac:dyDescent="0.3">
      <c r="D450" s="15"/>
      <c r="E450" s="15"/>
      <c r="F450" s="21"/>
      <c r="G450" s="1"/>
      <c r="H450" s="19"/>
      <c r="I450" s="1"/>
      <c r="J450" s="2"/>
      <c r="K450" s="2"/>
      <c r="L450" s="2"/>
      <c r="M450" s="2"/>
      <c r="N450" s="2"/>
      <c r="O450" s="16"/>
    </row>
    <row r="451" spans="4:15" ht="14.25" customHeight="1" x14ac:dyDescent="0.3">
      <c r="D451" s="15"/>
      <c r="E451" s="15"/>
      <c r="F451" s="21"/>
      <c r="G451" s="1"/>
      <c r="H451" s="19"/>
      <c r="I451" s="1"/>
      <c r="J451" s="2"/>
      <c r="K451" s="2"/>
      <c r="L451" s="2"/>
      <c r="M451" s="2"/>
      <c r="N451" s="2"/>
      <c r="O451" s="16"/>
    </row>
    <row r="452" spans="4:15" ht="14.25" customHeight="1" x14ac:dyDescent="0.3">
      <c r="D452" s="15"/>
      <c r="E452" s="15"/>
      <c r="F452" s="21"/>
      <c r="G452" s="1"/>
      <c r="H452" s="19"/>
      <c r="I452" s="1"/>
      <c r="J452" s="2"/>
      <c r="K452" s="2"/>
      <c r="L452" s="2"/>
      <c r="M452" s="2"/>
      <c r="N452" s="2"/>
      <c r="O452" s="16"/>
    </row>
    <row r="453" spans="4:15" ht="14.25" customHeight="1" x14ac:dyDescent="0.3">
      <c r="D453" s="15"/>
      <c r="E453" s="15"/>
      <c r="F453" s="21"/>
      <c r="G453" s="1"/>
      <c r="H453" s="19"/>
      <c r="I453" s="1"/>
      <c r="J453" s="2"/>
      <c r="K453" s="2"/>
      <c r="L453" s="2"/>
      <c r="M453" s="2"/>
      <c r="N453" s="2"/>
      <c r="O453" s="16"/>
    </row>
    <row r="454" spans="4:15" ht="14.25" customHeight="1" x14ac:dyDescent="0.3">
      <c r="D454" s="15"/>
      <c r="E454" s="15"/>
      <c r="F454" s="21"/>
      <c r="G454" s="1"/>
      <c r="H454" s="19"/>
      <c r="I454" s="1"/>
      <c r="J454" s="2"/>
      <c r="K454" s="2"/>
      <c r="L454" s="2"/>
      <c r="M454" s="2"/>
      <c r="N454" s="2"/>
      <c r="O454" s="16"/>
    </row>
    <row r="455" spans="4:15" ht="14.25" customHeight="1" x14ac:dyDescent="0.3">
      <c r="D455" s="15"/>
      <c r="E455" s="15"/>
      <c r="F455" s="21"/>
      <c r="G455" s="1"/>
      <c r="H455" s="19"/>
      <c r="I455" s="1"/>
      <c r="J455" s="2"/>
      <c r="K455" s="2"/>
      <c r="L455" s="2"/>
      <c r="M455" s="2"/>
      <c r="N455" s="2"/>
      <c r="O455" s="16"/>
    </row>
    <row r="456" spans="4:15" ht="14.25" customHeight="1" x14ac:dyDescent="0.3">
      <c r="D456" s="15"/>
      <c r="E456" s="15"/>
      <c r="F456" s="21"/>
      <c r="G456" s="1"/>
      <c r="H456" s="19"/>
      <c r="I456" s="1"/>
      <c r="J456" s="2"/>
      <c r="K456" s="2"/>
      <c r="L456" s="2"/>
      <c r="M456" s="2"/>
      <c r="N456" s="2"/>
      <c r="O456" s="16"/>
    </row>
    <row r="457" spans="4:15" ht="14.25" customHeight="1" x14ac:dyDescent="0.3">
      <c r="D457" s="15"/>
      <c r="E457" s="15"/>
      <c r="F457" s="21"/>
      <c r="G457" s="1"/>
      <c r="H457" s="19"/>
      <c r="I457" s="1"/>
      <c r="J457" s="2"/>
      <c r="K457" s="2"/>
      <c r="L457" s="2"/>
      <c r="M457" s="2"/>
      <c r="N457" s="2"/>
      <c r="O457" s="16"/>
    </row>
    <row r="458" spans="4:15" ht="14.25" customHeight="1" x14ac:dyDescent="0.3">
      <c r="D458" s="15"/>
      <c r="E458" s="15"/>
      <c r="F458" s="21"/>
      <c r="G458" s="1"/>
      <c r="H458" s="19"/>
      <c r="I458" s="1"/>
      <c r="J458" s="2"/>
      <c r="K458" s="2"/>
      <c r="L458" s="2"/>
      <c r="M458" s="2"/>
      <c r="N458" s="2"/>
      <c r="O458" s="16"/>
    </row>
    <row r="459" spans="4:15" ht="14.25" customHeight="1" x14ac:dyDescent="0.3">
      <c r="D459" s="15"/>
      <c r="E459" s="15"/>
      <c r="F459" s="21"/>
      <c r="G459" s="1"/>
      <c r="H459" s="19"/>
      <c r="I459" s="1"/>
      <c r="J459" s="2"/>
      <c r="K459" s="2"/>
      <c r="L459" s="2"/>
      <c r="M459" s="2"/>
      <c r="N459" s="2"/>
      <c r="O459" s="16"/>
    </row>
    <row r="460" spans="4:15" ht="14.25" customHeight="1" x14ac:dyDescent="0.3">
      <c r="D460" s="15"/>
      <c r="E460" s="15"/>
      <c r="F460" s="21"/>
      <c r="G460" s="1"/>
      <c r="H460" s="19"/>
      <c r="I460" s="1"/>
      <c r="J460" s="2"/>
      <c r="K460" s="2"/>
      <c r="L460" s="2"/>
      <c r="M460" s="2"/>
      <c r="N460" s="2"/>
      <c r="O460" s="16"/>
    </row>
    <row r="461" spans="4:15" ht="14.25" customHeight="1" x14ac:dyDescent="0.3">
      <c r="D461" s="15"/>
      <c r="E461" s="15"/>
      <c r="F461" s="21"/>
      <c r="G461" s="1"/>
      <c r="H461" s="19"/>
      <c r="I461" s="1"/>
      <c r="J461" s="2"/>
      <c r="K461" s="2"/>
      <c r="L461" s="2"/>
      <c r="M461" s="2"/>
      <c r="N461" s="2"/>
      <c r="O461" s="16"/>
    </row>
    <row r="462" spans="4:15" ht="14.25" customHeight="1" x14ac:dyDescent="0.3">
      <c r="D462" s="15"/>
      <c r="E462" s="15"/>
      <c r="F462" s="21"/>
      <c r="G462" s="1"/>
      <c r="H462" s="19"/>
      <c r="I462" s="1"/>
      <c r="J462" s="2"/>
      <c r="K462" s="2"/>
      <c r="L462" s="2"/>
      <c r="M462" s="2"/>
      <c r="N462" s="2"/>
      <c r="O462" s="16"/>
    </row>
    <row r="463" spans="4:15" ht="14.25" customHeight="1" x14ac:dyDescent="0.3">
      <c r="D463" s="15"/>
      <c r="E463" s="15"/>
      <c r="F463" s="21"/>
      <c r="G463" s="1"/>
      <c r="H463" s="19"/>
      <c r="I463" s="1"/>
      <c r="J463" s="2"/>
      <c r="K463" s="2"/>
      <c r="L463" s="2"/>
      <c r="M463" s="2"/>
      <c r="N463" s="2"/>
      <c r="O463" s="16"/>
    </row>
    <row r="464" spans="4:15" ht="14.25" customHeight="1" x14ac:dyDescent="0.3">
      <c r="D464" s="15"/>
      <c r="E464" s="15"/>
      <c r="F464" s="21"/>
      <c r="G464" s="1"/>
      <c r="H464" s="19"/>
      <c r="I464" s="1"/>
      <c r="J464" s="2"/>
      <c r="K464" s="2"/>
      <c r="L464" s="2"/>
      <c r="M464" s="2"/>
      <c r="N464" s="2"/>
      <c r="O464" s="16"/>
    </row>
    <row r="465" spans="4:15" ht="14.25" customHeight="1" x14ac:dyDescent="0.3">
      <c r="D465" s="15"/>
      <c r="E465" s="15"/>
      <c r="F465" s="21"/>
      <c r="G465" s="1"/>
      <c r="H465" s="19"/>
      <c r="I465" s="1"/>
      <c r="J465" s="2"/>
      <c r="K465" s="2"/>
      <c r="L465" s="2"/>
      <c r="M465" s="2"/>
      <c r="N465" s="2"/>
      <c r="O465" s="16"/>
    </row>
    <row r="466" spans="4:15" ht="14.25" customHeight="1" x14ac:dyDescent="0.3">
      <c r="D466" s="15"/>
      <c r="E466" s="15"/>
      <c r="F466" s="21"/>
      <c r="G466" s="1"/>
      <c r="H466" s="19"/>
      <c r="I466" s="1"/>
      <c r="J466" s="2"/>
      <c r="K466" s="2"/>
      <c r="L466" s="2"/>
      <c r="M466" s="2"/>
      <c r="N466" s="2"/>
      <c r="O466" s="16"/>
    </row>
    <row r="467" spans="4:15" ht="14.25" customHeight="1" x14ac:dyDescent="0.3">
      <c r="D467" s="15"/>
      <c r="E467" s="15"/>
      <c r="F467" s="21"/>
      <c r="G467" s="1"/>
      <c r="H467" s="19"/>
      <c r="I467" s="1"/>
      <c r="J467" s="2"/>
      <c r="K467" s="2"/>
      <c r="L467" s="2"/>
      <c r="M467" s="2"/>
      <c r="N467" s="2"/>
      <c r="O467" s="16"/>
    </row>
    <row r="468" spans="4:15" ht="14.25" customHeight="1" x14ac:dyDescent="0.3">
      <c r="D468" s="15"/>
      <c r="E468" s="15"/>
      <c r="F468" s="21"/>
      <c r="G468" s="1"/>
      <c r="H468" s="19"/>
      <c r="I468" s="1"/>
      <c r="J468" s="2"/>
      <c r="K468" s="2"/>
      <c r="L468" s="2"/>
      <c r="M468" s="2"/>
      <c r="N468" s="2"/>
      <c r="O468" s="16"/>
    </row>
    <row r="469" spans="4:15" ht="14.25" customHeight="1" x14ac:dyDescent="0.3">
      <c r="D469" s="15"/>
      <c r="E469" s="15"/>
      <c r="F469" s="21"/>
      <c r="G469" s="1"/>
      <c r="H469" s="19"/>
      <c r="I469" s="1"/>
      <c r="J469" s="2"/>
      <c r="K469" s="2"/>
      <c r="L469" s="2"/>
      <c r="M469" s="2"/>
      <c r="N469" s="2"/>
      <c r="O469" s="16"/>
    </row>
    <row r="470" spans="4:15" ht="14.25" customHeight="1" x14ac:dyDescent="0.3">
      <c r="D470" s="15"/>
      <c r="E470" s="15"/>
      <c r="F470" s="21"/>
      <c r="G470" s="1"/>
      <c r="H470" s="19"/>
      <c r="I470" s="1"/>
      <c r="J470" s="2"/>
      <c r="K470" s="2"/>
      <c r="L470" s="2"/>
      <c r="M470" s="2"/>
      <c r="N470" s="2"/>
      <c r="O470" s="16"/>
    </row>
    <row r="471" spans="4:15" ht="14.25" customHeight="1" x14ac:dyDescent="0.3">
      <c r="D471" s="15"/>
      <c r="E471" s="15"/>
      <c r="F471" s="21"/>
      <c r="G471" s="1"/>
      <c r="H471" s="19"/>
      <c r="I471" s="1"/>
      <c r="J471" s="2"/>
      <c r="K471" s="2"/>
      <c r="L471" s="2"/>
      <c r="M471" s="2"/>
      <c r="N471" s="2"/>
      <c r="O471" s="16"/>
    </row>
    <row r="472" spans="4:15" ht="14.25" customHeight="1" x14ac:dyDescent="0.3">
      <c r="D472" s="15"/>
      <c r="E472" s="15"/>
      <c r="F472" s="21"/>
      <c r="G472" s="1"/>
      <c r="H472" s="19"/>
      <c r="I472" s="1"/>
      <c r="J472" s="2"/>
      <c r="K472" s="2"/>
      <c r="L472" s="2"/>
      <c r="M472" s="2"/>
      <c r="N472" s="2"/>
      <c r="O472" s="16"/>
    </row>
    <row r="473" spans="4:15" ht="14.25" customHeight="1" x14ac:dyDescent="0.3">
      <c r="D473" s="15"/>
      <c r="E473" s="15"/>
      <c r="F473" s="21"/>
      <c r="G473" s="1"/>
      <c r="H473" s="19"/>
      <c r="I473" s="1"/>
      <c r="J473" s="2"/>
      <c r="K473" s="2"/>
      <c r="L473" s="2"/>
      <c r="M473" s="2"/>
      <c r="N473" s="2"/>
      <c r="O473" s="16"/>
    </row>
    <row r="474" spans="4:15" ht="14.25" customHeight="1" x14ac:dyDescent="0.3">
      <c r="D474" s="15"/>
      <c r="E474" s="15"/>
      <c r="F474" s="21"/>
      <c r="G474" s="1"/>
      <c r="H474" s="19"/>
      <c r="I474" s="1"/>
      <c r="J474" s="2"/>
      <c r="K474" s="2"/>
      <c r="L474" s="2"/>
      <c r="M474" s="2"/>
      <c r="N474" s="2"/>
      <c r="O474" s="16"/>
    </row>
    <row r="475" spans="4:15" ht="14.25" customHeight="1" x14ac:dyDescent="0.3">
      <c r="D475" s="15"/>
      <c r="E475" s="15"/>
      <c r="F475" s="21"/>
      <c r="G475" s="1"/>
      <c r="H475" s="19"/>
      <c r="I475" s="1"/>
      <c r="J475" s="2"/>
      <c r="K475" s="2"/>
      <c r="L475" s="2"/>
      <c r="M475" s="2"/>
      <c r="N475" s="2"/>
      <c r="O475" s="16"/>
    </row>
    <row r="476" spans="4:15" ht="14.25" customHeight="1" x14ac:dyDescent="0.3">
      <c r="D476" s="15"/>
      <c r="E476" s="15"/>
      <c r="F476" s="21"/>
      <c r="G476" s="1"/>
      <c r="H476" s="19"/>
      <c r="I476" s="1"/>
      <c r="J476" s="2"/>
      <c r="K476" s="2"/>
      <c r="L476" s="2"/>
      <c r="M476" s="2"/>
      <c r="N476" s="2"/>
      <c r="O476" s="16"/>
    </row>
    <row r="477" spans="4:15" ht="14.25" customHeight="1" x14ac:dyDescent="0.3">
      <c r="D477" s="15"/>
      <c r="E477" s="15"/>
      <c r="F477" s="21"/>
      <c r="G477" s="1"/>
      <c r="H477" s="19"/>
      <c r="I477" s="1"/>
      <c r="J477" s="2"/>
      <c r="K477" s="2"/>
      <c r="L477" s="2"/>
      <c r="M477" s="2"/>
      <c r="N477" s="2"/>
      <c r="O477" s="16"/>
    </row>
    <row r="478" spans="4:15" ht="14.25" customHeight="1" x14ac:dyDescent="0.3">
      <c r="D478" s="15"/>
      <c r="E478" s="15"/>
      <c r="F478" s="21"/>
      <c r="G478" s="1"/>
      <c r="H478" s="19"/>
      <c r="I478" s="1"/>
      <c r="J478" s="2"/>
      <c r="K478" s="2"/>
      <c r="L478" s="2"/>
      <c r="M478" s="2"/>
      <c r="N478" s="2"/>
      <c r="O478" s="16"/>
    </row>
    <row r="479" spans="4:15" ht="14.25" customHeight="1" x14ac:dyDescent="0.3">
      <c r="D479" s="15"/>
      <c r="E479" s="15"/>
      <c r="F479" s="21"/>
      <c r="G479" s="1"/>
      <c r="H479" s="19"/>
      <c r="I479" s="1"/>
      <c r="J479" s="2"/>
      <c r="K479" s="2"/>
      <c r="L479" s="2"/>
      <c r="M479" s="2"/>
      <c r="N479" s="2"/>
      <c r="O479" s="16"/>
    </row>
    <row r="480" spans="4:15" ht="14.25" customHeight="1" x14ac:dyDescent="0.3">
      <c r="D480" s="15"/>
      <c r="E480" s="15"/>
      <c r="F480" s="21"/>
      <c r="G480" s="1"/>
      <c r="H480" s="19"/>
      <c r="I480" s="1"/>
      <c r="J480" s="2"/>
      <c r="K480" s="2"/>
      <c r="L480" s="2"/>
      <c r="M480" s="2"/>
      <c r="N480" s="2"/>
      <c r="O480" s="16"/>
    </row>
    <row r="481" spans="4:15" ht="14.25" customHeight="1" x14ac:dyDescent="0.3">
      <c r="D481" s="15"/>
      <c r="E481" s="15"/>
      <c r="F481" s="21"/>
      <c r="G481" s="1"/>
      <c r="H481" s="19"/>
      <c r="I481" s="1"/>
      <c r="J481" s="2"/>
      <c r="K481" s="2"/>
      <c r="L481" s="2"/>
      <c r="M481" s="2"/>
      <c r="N481" s="2"/>
      <c r="O481" s="16"/>
    </row>
    <row r="482" spans="4:15" ht="14.25" customHeight="1" x14ac:dyDescent="0.3">
      <c r="D482" s="15"/>
      <c r="E482" s="15"/>
      <c r="F482" s="21"/>
      <c r="G482" s="1"/>
      <c r="H482" s="19"/>
      <c r="I482" s="1"/>
      <c r="J482" s="2"/>
      <c r="K482" s="2"/>
      <c r="L482" s="2"/>
      <c r="M482" s="2"/>
      <c r="N482" s="2"/>
      <c r="O482" s="16"/>
    </row>
    <row r="483" spans="4:15" ht="14.25" customHeight="1" x14ac:dyDescent="0.3">
      <c r="D483" s="15"/>
      <c r="E483" s="15"/>
      <c r="F483" s="21"/>
      <c r="G483" s="1"/>
      <c r="H483" s="19"/>
      <c r="I483" s="1"/>
      <c r="J483" s="2"/>
      <c r="K483" s="2"/>
      <c r="L483" s="2"/>
      <c r="M483" s="2"/>
      <c r="N483" s="2"/>
      <c r="O483" s="16"/>
    </row>
    <row r="484" spans="4:15" ht="14.25" customHeight="1" x14ac:dyDescent="0.3">
      <c r="D484" s="15"/>
      <c r="E484" s="15"/>
      <c r="F484" s="21"/>
      <c r="G484" s="1"/>
      <c r="H484" s="19"/>
      <c r="I484" s="1"/>
      <c r="J484" s="2"/>
      <c r="K484" s="2"/>
      <c r="L484" s="2"/>
      <c r="M484" s="2"/>
      <c r="N484" s="2"/>
      <c r="O484" s="16"/>
    </row>
    <row r="485" spans="4:15" ht="14.25" customHeight="1" x14ac:dyDescent="0.3">
      <c r="D485" s="15"/>
      <c r="E485" s="15"/>
      <c r="F485" s="21"/>
      <c r="G485" s="1"/>
      <c r="H485" s="19"/>
      <c r="I485" s="1"/>
      <c r="J485" s="2"/>
      <c r="K485" s="2"/>
      <c r="L485" s="2"/>
      <c r="M485" s="2"/>
      <c r="N485" s="2"/>
      <c r="O485" s="16"/>
    </row>
    <row r="486" spans="4:15" ht="14.25" customHeight="1" x14ac:dyDescent="0.3">
      <c r="D486" s="15"/>
      <c r="E486" s="15"/>
      <c r="F486" s="21"/>
      <c r="G486" s="1"/>
      <c r="H486" s="19"/>
      <c r="I486" s="1"/>
      <c r="J486" s="2"/>
      <c r="K486" s="2"/>
      <c r="L486" s="2"/>
      <c r="M486" s="2"/>
      <c r="N486" s="2"/>
      <c r="O486" s="16"/>
    </row>
    <row r="487" spans="4:15" ht="14.25" customHeight="1" x14ac:dyDescent="0.3">
      <c r="D487" s="15"/>
      <c r="E487" s="15"/>
      <c r="F487" s="21"/>
      <c r="G487" s="1"/>
      <c r="H487" s="19"/>
      <c r="I487" s="1"/>
      <c r="J487" s="2"/>
      <c r="K487" s="2"/>
      <c r="L487" s="2"/>
      <c r="M487" s="2"/>
      <c r="N487" s="2"/>
      <c r="O487" s="16"/>
    </row>
    <row r="488" spans="4:15" ht="14.25" customHeight="1" x14ac:dyDescent="0.3">
      <c r="D488" s="15"/>
      <c r="E488" s="15"/>
      <c r="F488" s="21"/>
      <c r="G488" s="1"/>
      <c r="H488" s="19"/>
      <c r="I488" s="1"/>
      <c r="J488" s="2"/>
      <c r="K488" s="2"/>
      <c r="L488" s="2"/>
      <c r="M488" s="2"/>
      <c r="N488" s="2"/>
      <c r="O488" s="16"/>
    </row>
    <row r="489" spans="4:15" ht="14.25" customHeight="1" x14ac:dyDescent="0.3">
      <c r="D489" s="15"/>
      <c r="E489" s="15"/>
      <c r="F489" s="21"/>
      <c r="G489" s="1"/>
      <c r="H489" s="19"/>
      <c r="I489" s="1"/>
      <c r="J489" s="2"/>
      <c r="K489" s="2"/>
      <c r="L489" s="2"/>
      <c r="M489" s="2"/>
      <c r="N489" s="2"/>
      <c r="O489" s="16"/>
    </row>
    <row r="490" spans="4:15" ht="14.25" customHeight="1" x14ac:dyDescent="0.3">
      <c r="D490" s="15"/>
      <c r="E490" s="15"/>
      <c r="F490" s="21"/>
      <c r="G490" s="1"/>
      <c r="H490" s="19"/>
      <c r="I490" s="1"/>
      <c r="J490" s="2"/>
      <c r="K490" s="2"/>
      <c r="L490" s="2"/>
      <c r="M490" s="2"/>
      <c r="N490" s="2"/>
      <c r="O490" s="16"/>
    </row>
    <row r="491" spans="4:15" ht="14.25" customHeight="1" x14ac:dyDescent="0.3">
      <c r="D491" s="15"/>
      <c r="E491" s="15"/>
      <c r="F491" s="21"/>
      <c r="G491" s="1"/>
      <c r="H491" s="19"/>
      <c r="I491" s="1"/>
      <c r="J491" s="2"/>
      <c r="K491" s="2"/>
      <c r="L491" s="2"/>
      <c r="M491" s="2"/>
      <c r="N491" s="2"/>
      <c r="O491" s="16"/>
    </row>
    <row r="492" spans="4:15" ht="14.25" customHeight="1" x14ac:dyDescent="0.3">
      <c r="D492" s="15"/>
      <c r="E492" s="15"/>
      <c r="F492" s="21"/>
      <c r="G492" s="1"/>
      <c r="H492" s="19"/>
      <c r="I492" s="1"/>
      <c r="J492" s="2"/>
      <c r="K492" s="2"/>
      <c r="L492" s="2"/>
      <c r="M492" s="2"/>
      <c r="N492" s="2"/>
      <c r="O492" s="16"/>
    </row>
    <row r="493" spans="4:15" ht="14.25" customHeight="1" x14ac:dyDescent="0.3">
      <c r="D493" s="15"/>
      <c r="E493" s="15"/>
      <c r="F493" s="21"/>
      <c r="G493" s="1"/>
      <c r="H493" s="19"/>
      <c r="I493" s="1"/>
      <c r="J493" s="2"/>
      <c r="K493" s="2"/>
      <c r="L493" s="2"/>
      <c r="M493" s="2"/>
      <c r="N493" s="2"/>
      <c r="O493" s="16"/>
    </row>
    <row r="494" spans="4:15" ht="14.25" customHeight="1" x14ac:dyDescent="0.3">
      <c r="D494" s="15"/>
      <c r="E494" s="15"/>
      <c r="F494" s="21"/>
      <c r="G494" s="1"/>
      <c r="H494" s="19"/>
      <c r="I494" s="1"/>
      <c r="J494" s="2"/>
      <c r="K494" s="2"/>
      <c r="L494" s="2"/>
      <c r="M494" s="2"/>
      <c r="N494" s="2"/>
      <c r="O494" s="16"/>
    </row>
    <row r="495" spans="4:15" ht="14.25" customHeight="1" x14ac:dyDescent="0.3">
      <c r="D495" s="15"/>
      <c r="E495" s="15"/>
      <c r="F495" s="21"/>
      <c r="G495" s="1"/>
      <c r="H495" s="19"/>
      <c r="I495" s="1"/>
      <c r="J495" s="2"/>
      <c r="K495" s="2"/>
      <c r="L495" s="2"/>
      <c r="M495" s="2"/>
      <c r="N495" s="2"/>
      <c r="O495" s="16"/>
    </row>
    <row r="496" spans="4:15" ht="14.25" customHeight="1" x14ac:dyDescent="0.3">
      <c r="D496" s="15"/>
      <c r="E496" s="15"/>
      <c r="F496" s="21"/>
      <c r="G496" s="1"/>
      <c r="H496" s="19"/>
      <c r="I496" s="1"/>
      <c r="J496" s="2"/>
      <c r="K496" s="2"/>
      <c r="L496" s="2"/>
      <c r="M496" s="2"/>
      <c r="N496" s="2"/>
      <c r="O496" s="16"/>
    </row>
    <row r="497" spans="4:15" ht="14.25" customHeight="1" x14ac:dyDescent="0.3">
      <c r="D497" s="15"/>
      <c r="E497" s="15"/>
      <c r="F497" s="21"/>
      <c r="G497" s="1"/>
      <c r="H497" s="19"/>
      <c r="I497" s="1"/>
      <c r="J497" s="2"/>
      <c r="K497" s="2"/>
      <c r="L497" s="2"/>
      <c r="M497" s="2"/>
      <c r="N497" s="2"/>
      <c r="O497" s="16"/>
    </row>
    <row r="498" spans="4:15" ht="14.25" customHeight="1" x14ac:dyDescent="0.3">
      <c r="D498" s="15"/>
      <c r="E498" s="15"/>
      <c r="F498" s="21"/>
      <c r="G498" s="1"/>
      <c r="H498" s="19"/>
      <c r="I498" s="1"/>
      <c r="J498" s="2"/>
      <c r="K498" s="2"/>
      <c r="L498" s="2"/>
      <c r="M498" s="2"/>
      <c r="N498" s="2"/>
      <c r="O498" s="16"/>
    </row>
    <row r="499" spans="4:15" ht="14.25" customHeight="1" x14ac:dyDescent="0.3">
      <c r="D499" s="15"/>
      <c r="E499" s="15"/>
      <c r="F499" s="21"/>
      <c r="G499" s="1"/>
      <c r="H499" s="19"/>
      <c r="I499" s="1"/>
      <c r="J499" s="2"/>
      <c r="K499" s="2"/>
      <c r="L499" s="2"/>
      <c r="M499" s="2"/>
      <c r="N499" s="2"/>
      <c r="O499" s="16"/>
    </row>
    <row r="500" spans="4:15" ht="14.25" customHeight="1" x14ac:dyDescent="0.3">
      <c r="D500" s="15"/>
      <c r="E500" s="15"/>
      <c r="F500" s="21"/>
      <c r="G500" s="1"/>
      <c r="H500" s="19"/>
      <c r="I500" s="1"/>
      <c r="J500" s="2"/>
      <c r="K500" s="2"/>
      <c r="L500" s="2"/>
      <c r="M500" s="2"/>
      <c r="N500" s="2"/>
      <c r="O500" s="16"/>
    </row>
    <row r="501" spans="4:15" ht="14.25" customHeight="1" x14ac:dyDescent="0.3">
      <c r="D501" s="15"/>
      <c r="E501" s="15"/>
      <c r="F501" s="21"/>
      <c r="G501" s="1"/>
      <c r="H501" s="19"/>
      <c r="I501" s="1"/>
      <c r="J501" s="2"/>
      <c r="K501" s="2"/>
      <c r="L501" s="2"/>
      <c r="M501" s="2"/>
      <c r="N501" s="2"/>
      <c r="O501" s="16"/>
    </row>
    <row r="502" spans="4:15" ht="14.25" customHeight="1" x14ac:dyDescent="0.3">
      <c r="D502" s="15"/>
      <c r="E502" s="15"/>
      <c r="F502" s="21"/>
      <c r="G502" s="1"/>
      <c r="H502" s="19"/>
      <c r="I502" s="1"/>
      <c r="J502" s="2"/>
      <c r="K502" s="2"/>
      <c r="L502" s="2"/>
      <c r="M502" s="2"/>
      <c r="N502" s="2"/>
      <c r="O502" s="16"/>
    </row>
    <row r="503" spans="4:15" ht="14.25" customHeight="1" x14ac:dyDescent="0.3">
      <c r="D503" s="15"/>
      <c r="E503" s="15"/>
      <c r="F503" s="21"/>
      <c r="G503" s="1"/>
      <c r="H503" s="19"/>
      <c r="I503" s="1"/>
      <c r="J503" s="2"/>
      <c r="K503" s="2"/>
      <c r="L503" s="2"/>
      <c r="M503" s="2"/>
      <c r="N503" s="2"/>
      <c r="O503" s="16"/>
    </row>
    <row r="504" spans="4:15" ht="14.25" customHeight="1" x14ac:dyDescent="0.3">
      <c r="D504" s="15"/>
      <c r="E504" s="15"/>
      <c r="F504" s="21"/>
      <c r="G504" s="1"/>
      <c r="H504" s="19"/>
      <c r="I504" s="1"/>
      <c r="J504" s="2"/>
      <c r="K504" s="2"/>
      <c r="L504" s="2"/>
      <c r="M504" s="2"/>
      <c r="N504" s="2"/>
      <c r="O504" s="16"/>
    </row>
    <row r="505" spans="4:15" ht="14.25" customHeight="1" x14ac:dyDescent="0.3">
      <c r="D505" s="15"/>
      <c r="E505" s="15"/>
      <c r="F505" s="21"/>
      <c r="G505" s="1"/>
      <c r="H505" s="19"/>
      <c r="I505" s="1"/>
      <c r="J505" s="2"/>
      <c r="K505" s="2"/>
      <c r="L505" s="2"/>
      <c r="M505" s="2"/>
      <c r="N505" s="2"/>
      <c r="O505" s="16"/>
    </row>
    <row r="506" spans="4:15" ht="14.25" customHeight="1" x14ac:dyDescent="0.3">
      <c r="D506" s="15"/>
      <c r="E506" s="15"/>
      <c r="F506" s="21"/>
      <c r="G506" s="1"/>
      <c r="H506" s="19"/>
      <c r="I506" s="1"/>
      <c r="J506" s="2"/>
      <c r="K506" s="2"/>
      <c r="L506" s="2"/>
      <c r="M506" s="2"/>
      <c r="N506" s="2"/>
      <c r="O506" s="16"/>
    </row>
    <row r="507" spans="4:15" ht="14.25" customHeight="1" x14ac:dyDescent="0.3">
      <c r="D507" s="15"/>
      <c r="E507" s="15"/>
      <c r="F507" s="21"/>
      <c r="G507" s="1"/>
      <c r="H507" s="19"/>
      <c r="I507" s="1"/>
      <c r="J507" s="2"/>
      <c r="K507" s="2"/>
      <c r="L507" s="2"/>
      <c r="M507" s="2"/>
      <c r="N507" s="2"/>
      <c r="O507" s="16"/>
    </row>
    <row r="508" spans="4:15" ht="14.25" customHeight="1" x14ac:dyDescent="0.3">
      <c r="D508" s="15"/>
      <c r="E508" s="15"/>
      <c r="F508" s="21"/>
      <c r="G508" s="1"/>
      <c r="H508" s="19"/>
      <c r="I508" s="1"/>
      <c r="J508" s="2"/>
      <c r="K508" s="2"/>
      <c r="L508" s="2"/>
      <c r="M508" s="2"/>
      <c r="N508" s="2"/>
      <c r="O508" s="16"/>
    </row>
    <row r="509" spans="4:15" ht="14.25" customHeight="1" x14ac:dyDescent="0.3">
      <c r="D509" s="15"/>
      <c r="E509" s="15"/>
      <c r="F509" s="21"/>
      <c r="G509" s="1"/>
      <c r="H509" s="19"/>
      <c r="I509" s="1"/>
      <c r="J509" s="2"/>
      <c r="K509" s="2"/>
      <c r="L509" s="2"/>
      <c r="M509" s="2"/>
      <c r="N509" s="2"/>
      <c r="O509" s="16"/>
    </row>
    <row r="510" spans="4:15" ht="14.25" customHeight="1" x14ac:dyDescent="0.3">
      <c r="D510" s="15"/>
      <c r="E510" s="15"/>
      <c r="F510" s="21"/>
      <c r="G510" s="1"/>
      <c r="H510" s="19"/>
      <c r="I510" s="1"/>
      <c r="J510" s="2"/>
      <c r="K510" s="2"/>
      <c r="L510" s="2"/>
      <c r="M510" s="2"/>
      <c r="N510" s="2"/>
      <c r="O510" s="16"/>
    </row>
    <row r="511" spans="4:15" ht="14.25" customHeight="1" x14ac:dyDescent="0.3">
      <c r="D511" s="15"/>
      <c r="E511" s="15"/>
      <c r="F511" s="21"/>
      <c r="G511" s="1"/>
      <c r="H511" s="19"/>
      <c r="I511" s="1"/>
      <c r="J511" s="2"/>
      <c r="K511" s="2"/>
      <c r="L511" s="2"/>
      <c r="M511" s="2"/>
      <c r="N511" s="2"/>
      <c r="O511" s="16"/>
    </row>
    <row r="512" spans="4:15" ht="14.25" customHeight="1" x14ac:dyDescent="0.3">
      <c r="D512" s="15"/>
      <c r="E512" s="15"/>
      <c r="F512" s="21"/>
      <c r="G512" s="1"/>
      <c r="H512" s="19"/>
      <c r="I512" s="1"/>
      <c r="J512" s="2"/>
      <c r="K512" s="2"/>
      <c r="L512" s="2"/>
      <c r="M512" s="2"/>
      <c r="N512" s="2"/>
      <c r="O512" s="16"/>
    </row>
    <row r="513" spans="4:15" ht="14.25" customHeight="1" x14ac:dyDescent="0.3">
      <c r="D513" s="15"/>
      <c r="E513" s="15"/>
      <c r="F513" s="21"/>
      <c r="G513" s="1"/>
      <c r="H513" s="19"/>
      <c r="I513" s="1"/>
      <c r="J513" s="2"/>
      <c r="K513" s="2"/>
      <c r="L513" s="2"/>
      <c r="M513" s="2"/>
      <c r="N513" s="2"/>
      <c r="O513" s="16"/>
    </row>
    <row r="514" spans="4:15" ht="14.25" customHeight="1" x14ac:dyDescent="0.3">
      <c r="D514" s="15"/>
      <c r="E514" s="15"/>
      <c r="F514" s="21"/>
      <c r="G514" s="1"/>
      <c r="H514" s="19"/>
      <c r="I514" s="1"/>
      <c r="J514" s="2"/>
      <c r="K514" s="2"/>
      <c r="L514" s="2"/>
      <c r="M514" s="2"/>
      <c r="N514" s="2"/>
      <c r="O514" s="16"/>
    </row>
    <row r="515" spans="4:15" ht="14.25" customHeight="1" x14ac:dyDescent="0.3">
      <c r="D515" s="15"/>
      <c r="E515" s="15"/>
      <c r="F515" s="21"/>
      <c r="G515" s="1"/>
      <c r="H515" s="19"/>
      <c r="I515" s="1"/>
      <c r="J515" s="2"/>
      <c r="K515" s="2"/>
      <c r="L515" s="2"/>
      <c r="M515" s="2"/>
      <c r="N515" s="2"/>
      <c r="O515" s="16"/>
    </row>
    <row r="516" spans="4:15" ht="14.25" customHeight="1" x14ac:dyDescent="0.3">
      <c r="D516" s="15"/>
      <c r="E516" s="15"/>
      <c r="F516" s="21"/>
      <c r="G516" s="1"/>
      <c r="H516" s="19"/>
      <c r="I516" s="1"/>
      <c r="J516" s="2"/>
      <c r="K516" s="2"/>
      <c r="L516" s="2"/>
      <c r="M516" s="2"/>
      <c r="N516" s="2"/>
      <c r="O516" s="16"/>
    </row>
    <row r="517" spans="4:15" ht="14.25" customHeight="1" x14ac:dyDescent="0.3">
      <c r="D517" s="15"/>
      <c r="E517" s="15"/>
      <c r="F517" s="21"/>
      <c r="G517" s="1"/>
      <c r="H517" s="19"/>
      <c r="I517" s="1"/>
      <c r="J517" s="2"/>
      <c r="K517" s="2"/>
      <c r="L517" s="2"/>
      <c r="M517" s="2"/>
      <c r="N517" s="2"/>
      <c r="O517" s="16"/>
    </row>
    <row r="518" spans="4:15" ht="14.25" customHeight="1" x14ac:dyDescent="0.3">
      <c r="D518" s="15"/>
      <c r="E518" s="15"/>
      <c r="F518" s="21"/>
      <c r="G518" s="1"/>
      <c r="H518" s="19"/>
      <c r="I518" s="1"/>
      <c r="J518" s="2"/>
      <c r="K518" s="2"/>
      <c r="L518" s="2"/>
      <c r="M518" s="2"/>
      <c r="N518" s="2"/>
      <c r="O518" s="16"/>
    </row>
    <row r="519" spans="4:15" ht="14.25" customHeight="1" x14ac:dyDescent="0.3">
      <c r="D519" s="15"/>
      <c r="E519" s="15"/>
      <c r="F519" s="21"/>
      <c r="G519" s="1"/>
      <c r="H519" s="19"/>
      <c r="I519" s="1"/>
      <c r="J519" s="2"/>
      <c r="K519" s="2"/>
      <c r="L519" s="2"/>
      <c r="M519" s="2"/>
      <c r="N519" s="2"/>
      <c r="O519" s="16"/>
    </row>
    <row r="520" spans="4:15" ht="14.25" customHeight="1" x14ac:dyDescent="0.3">
      <c r="D520" s="15"/>
      <c r="E520" s="15"/>
      <c r="F520" s="21"/>
      <c r="G520" s="1"/>
      <c r="H520" s="19"/>
      <c r="I520" s="1"/>
      <c r="J520" s="2"/>
      <c r="K520" s="2"/>
      <c r="L520" s="2"/>
      <c r="M520" s="2"/>
      <c r="N520" s="2"/>
      <c r="O520" s="16"/>
    </row>
    <row r="521" spans="4:15" ht="14.25" customHeight="1" x14ac:dyDescent="0.3">
      <c r="D521" s="15"/>
      <c r="E521" s="15"/>
      <c r="F521" s="21"/>
      <c r="G521" s="1"/>
      <c r="H521" s="19"/>
      <c r="I521" s="1"/>
      <c r="J521" s="2"/>
      <c r="K521" s="2"/>
      <c r="L521" s="2"/>
      <c r="M521" s="2"/>
      <c r="N521" s="2"/>
      <c r="O521" s="16"/>
    </row>
    <row r="522" spans="4:15" ht="14.25" customHeight="1" x14ac:dyDescent="0.3">
      <c r="D522" s="15"/>
      <c r="E522" s="15"/>
      <c r="F522" s="21"/>
      <c r="G522" s="1"/>
      <c r="H522" s="19"/>
      <c r="I522" s="1"/>
      <c r="J522" s="2"/>
      <c r="K522" s="2"/>
      <c r="L522" s="2"/>
      <c r="M522" s="2"/>
      <c r="N522" s="2"/>
      <c r="O522" s="16"/>
    </row>
    <row r="523" spans="4:15" ht="14.25" customHeight="1" x14ac:dyDescent="0.3">
      <c r="D523" s="15"/>
      <c r="E523" s="15"/>
      <c r="F523" s="21"/>
      <c r="G523" s="1"/>
      <c r="H523" s="19"/>
      <c r="I523" s="1"/>
      <c r="J523" s="2"/>
      <c r="K523" s="2"/>
      <c r="L523" s="2"/>
      <c r="M523" s="2"/>
      <c r="N523" s="2"/>
      <c r="O523" s="16"/>
    </row>
    <row r="524" spans="4:15" ht="14.25" customHeight="1" x14ac:dyDescent="0.3">
      <c r="D524" s="15"/>
      <c r="E524" s="15"/>
      <c r="F524" s="21"/>
      <c r="G524" s="1"/>
      <c r="H524" s="19"/>
      <c r="I524" s="1"/>
      <c r="J524" s="2"/>
      <c r="K524" s="2"/>
      <c r="L524" s="2"/>
      <c r="M524" s="2"/>
      <c r="N524" s="2"/>
      <c r="O524" s="16"/>
    </row>
    <row r="525" spans="4:15" ht="14.25" customHeight="1" x14ac:dyDescent="0.3">
      <c r="D525" s="15"/>
      <c r="E525" s="15"/>
      <c r="F525" s="21"/>
      <c r="G525" s="1"/>
      <c r="H525" s="19"/>
      <c r="I525" s="1"/>
      <c r="J525" s="2"/>
      <c r="K525" s="2"/>
      <c r="L525" s="2"/>
      <c r="M525" s="2"/>
      <c r="N525" s="2"/>
      <c r="O525" s="16"/>
    </row>
    <row r="526" spans="4:15" ht="14.25" customHeight="1" x14ac:dyDescent="0.3">
      <c r="D526" s="15"/>
      <c r="E526" s="15"/>
      <c r="F526" s="21"/>
      <c r="G526" s="1"/>
      <c r="H526" s="19"/>
      <c r="I526" s="1"/>
      <c r="J526" s="2"/>
      <c r="K526" s="2"/>
      <c r="L526" s="2"/>
      <c r="M526" s="2"/>
      <c r="N526" s="2"/>
      <c r="O526" s="16"/>
    </row>
    <row r="527" spans="4:15" ht="14.25" customHeight="1" x14ac:dyDescent="0.3">
      <c r="D527" s="15"/>
      <c r="E527" s="15"/>
      <c r="F527" s="21"/>
      <c r="G527" s="1"/>
      <c r="H527" s="19"/>
      <c r="I527" s="1"/>
      <c r="J527" s="2"/>
      <c r="K527" s="2"/>
      <c r="L527" s="2"/>
      <c r="M527" s="2"/>
      <c r="N527" s="2"/>
      <c r="O527" s="16"/>
    </row>
    <row r="528" spans="4:15" ht="14.25" customHeight="1" x14ac:dyDescent="0.3">
      <c r="D528" s="15"/>
      <c r="E528" s="15"/>
      <c r="F528" s="21"/>
      <c r="G528" s="1"/>
      <c r="H528" s="19"/>
      <c r="I528" s="1"/>
      <c r="J528" s="2"/>
      <c r="K528" s="2"/>
      <c r="L528" s="2"/>
      <c r="M528" s="2"/>
      <c r="N528" s="2"/>
      <c r="O528" s="16"/>
    </row>
    <row r="529" spans="4:15" ht="14.25" customHeight="1" x14ac:dyDescent="0.3">
      <c r="D529" s="15"/>
      <c r="E529" s="15"/>
      <c r="F529" s="21"/>
      <c r="G529" s="1"/>
      <c r="H529" s="19"/>
      <c r="I529" s="1"/>
      <c r="J529" s="2"/>
      <c r="K529" s="2"/>
      <c r="L529" s="2"/>
      <c r="M529" s="2"/>
      <c r="N529" s="2"/>
      <c r="O529" s="16"/>
    </row>
    <row r="530" spans="4:15" ht="14.25" customHeight="1" x14ac:dyDescent="0.3">
      <c r="D530" s="15"/>
      <c r="E530" s="15"/>
      <c r="F530" s="21"/>
      <c r="G530" s="1"/>
      <c r="H530" s="19"/>
      <c r="I530" s="1"/>
      <c r="J530" s="2"/>
      <c r="K530" s="2"/>
      <c r="L530" s="2"/>
      <c r="M530" s="2"/>
      <c r="N530" s="2"/>
      <c r="O530" s="16"/>
    </row>
    <row r="531" spans="4:15" ht="14.25" customHeight="1" x14ac:dyDescent="0.3">
      <c r="D531" s="15"/>
      <c r="E531" s="15"/>
      <c r="F531" s="21"/>
      <c r="G531" s="1"/>
      <c r="H531" s="19"/>
      <c r="I531" s="1"/>
      <c r="J531" s="2"/>
      <c r="K531" s="2"/>
      <c r="L531" s="2"/>
      <c r="M531" s="2"/>
      <c r="N531" s="2"/>
      <c r="O531" s="16"/>
    </row>
    <row r="532" spans="4:15" ht="14.25" customHeight="1" x14ac:dyDescent="0.3">
      <c r="D532" s="15"/>
      <c r="E532" s="15"/>
      <c r="F532" s="21"/>
      <c r="G532" s="1"/>
      <c r="H532" s="19"/>
      <c r="I532" s="1"/>
      <c r="J532" s="2"/>
      <c r="K532" s="2"/>
      <c r="L532" s="2"/>
      <c r="M532" s="2"/>
      <c r="N532" s="2"/>
      <c r="O532" s="16"/>
    </row>
    <row r="533" spans="4:15" ht="14.25" customHeight="1" x14ac:dyDescent="0.3">
      <c r="D533" s="15"/>
      <c r="E533" s="15"/>
      <c r="F533" s="21"/>
      <c r="G533" s="1"/>
      <c r="H533" s="19"/>
      <c r="I533" s="1"/>
      <c r="J533" s="2"/>
      <c r="K533" s="2"/>
      <c r="L533" s="2"/>
      <c r="M533" s="2"/>
      <c r="N533" s="2"/>
      <c r="O533" s="16"/>
    </row>
    <row r="534" spans="4:15" ht="14.25" customHeight="1" x14ac:dyDescent="0.3">
      <c r="D534" s="15"/>
      <c r="E534" s="15"/>
      <c r="F534" s="21"/>
      <c r="G534" s="1"/>
      <c r="H534" s="19"/>
      <c r="I534" s="1"/>
      <c r="J534" s="2"/>
      <c r="K534" s="2"/>
      <c r="L534" s="2"/>
      <c r="M534" s="2"/>
      <c r="N534" s="2"/>
      <c r="O534" s="16"/>
    </row>
    <row r="535" spans="4:15" ht="14.25" customHeight="1" x14ac:dyDescent="0.3">
      <c r="D535" s="15"/>
      <c r="E535" s="15"/>
      <c r="F535" s="21"/>
      <c r="G535" s="1"/>
      <c r="H535" s="19"/>
      <c r="I535" s="1"/>
      <c r="J535" s="2"/>
      <c r="K535" s="2"/>
      <c r="L535" s="2"/>
      <c r="M535" s="2"/>
      <c r="N535" s="2"/>
      <c r="O535" s="16"/>
    </row>
    <row r="536" spans="4:15" ht="14.25" customHeight="1" x14ac:dyDescent="0.3">
      <c r="D536" s="15"/>
      <c r="E536" s="15"/>
      <c r="F536" s="21"/>
      <c r="G536" s="1"/>
      <c r="H536" s="19"/>
      <c r="I536" s="1"/>
      <c r="J536" s="2"/>
      <c r="K536" s="2"/>
      <c r="L536" s="2"/>
      <c r="M536" s="2"/>
      <c r="N536" s="2"/>
      <c r="O536" s="16"/>
    </row>
    <row r="537" spans="4:15" ht="14.25" customHeight="1" x14ac:dyDescent="0.3">
      <c r="D537" s="15"/>
      <c r="E537" s="15"/>
      <c r="F537" s="21"/>
      <c r="G537" s="1"/>
      <c r="H537" s="19"/>
      <c r="I537" s="1"/>
      <c r="J537" s="2"/>
      <c r="K537" s="2"/>
      <c r="L537" s="2"/>
      <c r="M537" s="2"/>
      <c r="N537" s="2"/>
      <c r="O537" s="16"/>
    </row>
    <row r="538" spans="4:15" ht="14.25" customHeight="1" x14ac:dyDescent="0.3">
      <c r="D538" s="15"/>
      <c r="E538" s="15"/>
      <c r="F538" s="21"/>
      <c r="G538" s="1"/>
      <c r="H538" s="19"/>
      <c r="I538" s="1"/>
      <c r="J538" s="2"/>
      <c r="K538" s="2"/>
      <c r="L538" s="2"/>
      <c r="M538" s="2"/>
      <c r="N538" s="2"/>
      <c r="O538" s="16"/>
    </row>
    <row r="539" spans="4:15" ht="14.25" customHeight="1" x14ac:dyDescent="0.3">
      <c r="D539" s="15"/>
      <c r="E539" s="15"/>
      <c r="F539" s="21"/>
      <c r="G539" s="1"/>
      <c r="H539" s="19"/>
      <c r="I539" s="1"/>
      <c r="J539" s="2"/>
      <c r="K539" s="2"/>
      <c r="L539" s="2"/>
      <c r="M539" s="2"/>
      <c r="N539" s="2"/>
      <c r="O539" s="16"/>
    </row>
    <row r="540" spans="4:15" ht="14.25" customHeight="1" x14ac:dyDescent="0.3">
      <c r="D540" s="15"/>
      <c r="E540" s="15"/>
      <c r="F540" s="21"/>
      <c r="G540" s="1"/>
      <c r="H540" s="19"/>
      <c r="I540" s="1"/>
      <c r="J540" s="2"/>
      <c r="K540" s="2"/>
      <c r="L540" s="2"/>
      <c r="M540" s="2"/>
      <c r="N540" s="2"/>
      <c r="O540" s="16"/>
    </row>
    <row r="541" spans="4:15" ht="14.25" customHeight="1" x14ac:dyDescent="0.3">
      <c r="D541" s="15"/>
      <c r="E541" s="15"/>
      <c r="F541" s="21"/>
      <c r="G541" s="1"/>
      <c r="H541" s="19"/>
      <c r="I541" s="1"/>
      <c r="J541" s="2"/>
      <c r="K541" s="2"/>
      <c r="L541" s="2"/>
      <c r="M541" s="2"/>
      <c r="N541" s="2"/>
      <c r="O541" s="16"/>
    </row>
    <row r="542" spans="4:15" ht="14.25" customHeight="1" x14ac:dyDescent="0.3">
      <c r="D542" s="15"/>
      <c r="E542" s="15"/>
      <c r="F542" s="21"/>
      <c r="G542" s="1"/>
      <c r="H542" s="19"/>
      <c r="I542" s="1"/>
      <c r="J542" s="2"/>
      <c r="K542" s="2"/>
      <c r="L542" s="2"/>
      <c r="M542" s="2"/>
      <c r="N542" s="2"/>
      <c r="O542" s="16"/>
    </row>
    <row r="543" spans="4:15" ht="14.25" customHeight="1" x14ac:dyDescent="0.3">
      <c r="D543" s="15"/>
      <c r="E543" s="15"/>
      <c r="F543" s="21"/>
      <c r="G543" s="1"/>
      <c r="H543" s="19"/>
      <c r="I543" s="1"/>
      <c r="J543" s="2"/>
      <c r="K543" s="2"/>
      <c r="L543" s="2"/>
      <c r="M543" s="2"/>
      <c r="N543" s="2"/>
      <c r="O543" s="16"/>
    </row>
    <row r="544" spans="4:15" ht="14.25" customHeight="1" x14ac:dyDescent="0.3">
      <c r="D544" s="15"/>
      <c r="E544" s="15"/>
      <c r="F544" s="21"/>
      <c r="G544" s="1"/>
      <c r="H544" s="19"/>
      <c r="I544" s="1"/>
      <c r="J544" s="2"/>
      <c r="K544" s="2"/>
      <c r="L544" s="2"/>
      <c r="M544" s="2"/>
      <c r="N544" s="2"/>
      <c r="O544" s="16"/>
    </row>
    <row r="545" spans="4:15" ht="14.25" customHeight="1" x14ac:dyDescent="0.3">
      <c r="D545" s="15"/>
      <c r="E545" s="15"/>
      <c r="F545" s="21"/>
      <c r="G545" s="1"/>
      <c r="H545" s="19"/>
      <c r="I545" s="1"/>
      <c r="J545" s="2"/>
      <c r="K545" s="2"/>
      <c r="L545" s="2"/>
      <c r="M545" s="2"/>
      <c r="N545" s="2"/>
      <c r="O545" s="16"/>
    </row>
    <row r="546" spans="4:15" ht="14.25" customHeight="1" x14ac:dyDescent="0.3">
      <c r="D546" s="15"/>
      <c r="E546" s="15"/>
      <c r="F546" s="21"/>
      <c r="G546" s="1"/>
      <c r="H546" s="19"/>
      <c r="I546" s="1"/>
      <c r="J546" s="2"/>
      <c r="K546" s="2"/>
      <c r="L546" s="2"/>
      <c r="M546" s="2"/>
      <c r="N546" s="2"/>
      <c r="O546" s="16"/>
    </row>
    <row r="547" spans="4:15" ht="14.25" customHeight="1" x14ac:dyDescent="0.3">
      <c r="D547" s="15"/>
      <c r="E547" s="15"/>
      <c r="F547" s="21"/>
      <c r="G547" s="1"/>
      <c r="H547" s="19"/>
      <c r="I547" s="1"/>
      <c r="J547" s="2"/>
      <c r="K547" s="2"/>
      <c r="L547" s="2"/>
      <c r="M547" s="2"/>
      <c r="N547" s="2"/>
      <c r="O547" s="16"/>
    </row>
    <row r="548" spans="4:15" ht="14.25" customHeight="1" x14ac:dyDescent="0.3">
      <c r="D548" s="15"/>
      <c r="E548" s="15"/>
      <c r="F548" s="21"/>
      <c r="G548" s="1"/>
      <c r="H548" s="19"/>
      <c r="I548" s="1"/>
      <c r="J548" s="2"/>
      <c r="K548" s="2"/>
      <c r="L548" s="2"/>
      <c r="M548" s="2"/>
      <c r="N548" s="2"/>
      <c r="O548" s="16"/>
    </row>
    <row r="549" spans="4:15" ht="14.25" customHeight="1" x14ac:dyDescent="0.3">
      <c r="D549" s="15"/>
      <c r="E549" s="15"/>
      <c r="F549" s="21"/>
      <c r="G549" s="1"/>
      <c r="H549" s="19"/>
      <c r="I549" s="1"/>
      <c r="J549" s="2"/>
      <c r="K549" s="2"/>
      <c r="L549" s="2"/>
      <c r="M549" s="2"/>
      <c r="N549" s="2"/>
      <c r="O549" s="16"/>
    </row>
    <row r="550" spans="4:15" ht="14.25" customHeight="1" x14ac:dyDescent="0.3">
      <c r="D550" s="15"/>
      <c r="E550" s="15"/>
      <c r="F550" s="21"/>
      <c r="G550" s="1"/>
      <c r="H550" s="19"/>
      <c r="I550" s="1"/>
      <c r="J550" s="2"/>
      <c r="K550" s="2"/>
      <c r="L550" s="2"/>
      <c r="M550" s="2"/>
      <c r="N550" s="2"/>
      <c r="O550" s="16"/>
    </row>
    <row r="551" spans="4:15" ht="14.25" customHeight="1" x14ac:dyDescent="0.3">
      <c r="D551" s="15"/>
      <c r="E551" s="15"/>
      <c r="F551" s="21"/>
      <c r="G551" s="1"/>
      <c r="H551" s="19"/>
      <c r="I551" s="1"/>
      <c r="J551" s="2"/>
      <c r="K551" s="2"/>
      <c r="L551" s="2"/>
      <c r="M551" s="2"/>
      <c r="N551" s="2"/>
      <c r="O551" s="16"/>
    </row>
    <row r="552" spans="4:15" ht="14.25" customHeight="1" x14ac:dyDescent="0.3">
      <c r="D552" s="15"/>
      <c r="E552" s="15"/>
      <c r="F552" s="21"/>
      <c r="G552" s="1"/>
      <c r="H552" s="19"/>
      <c r="I552" s="1"/>
      <c r="J552" s="2"/>
      <c r="K552" s="2"/>
      <c r="L552" s="2"/>
      <c r="M552" s="2"/>
      <c r="N552" s="2"/>
      <c r="O552" s="16"/>
    </row>
    <row r="553" spans="4:15" ht="14.25" customHeight="1" x14ac:dyDescent="0.3">
      <c r="D553" s="15"/>
      <c r="E553" s="15"/>
      <c r="F553" s="21"/>
      <c r="G553" s="1"/>
      <c r="H553" s="19"/>
      <c r="I553" s="1"/>
      <c r="J553" s="2"/>
      <c r="K553" s="2"/>
      <c r="L553" s="2"/>
      <c r="M553" s="2"/>
      <c r="N553" s="2"/>
      <c r="O553" s="16"/>
    </row>
    <row r="554" spans="4:15" ht="14.25" customHeight="1" x14ac:dyDescent="0.3">
      <c r="D554" s="15"/>
      <c r="E554" s="15"/>
      <c r="F554" s="21"/>
      <c r="G554" s="1"/>
      <c r="H554" s="19"/>
      <c r="I554" s="1"/>
      <c r="J554" s="2"/>
      <c r="K554" s="2"/>
      <c r="L554" s="2"/>
      <c r="M554" s="2"/>
      <c r="N554" s="2"/>
      <c r="O554" s="16"/>
    </row>
    <row r="555" spans="4:15" ht="14.25" customHeight="1" x14ac:dyDescent="0.3">
      <c r="D555" s="15"/>
      <c r="E555" s="15"/>
      <c r="F555" s="21"/>
      <c r="G555" s="1"/>
      <c r="H555" s="19"/>
      <c r="I555" s="1"/>
      <c r="J555" s="2"/>
      <c r="K555" s="2"/>
      <c r="L555" s="2"/>
      <c r="M555" s="2"/>
      <c r="N555" s="2"/>
      <c r="O555" s="16"/>
    </row>
    <row r="556" spans="4:15" ht="14.25" customHeight="1" x14ac:dyDescent="0.3">
      <c r="D556" s="15"/>
      <c r="E556" s="15"/>
      <c r="F556" s="21"/>
      <c r="G556" s="1"/>
      <c r="H556" s="19"/>
      <c r="I556" s="1"/>
      <c r="J556" s="2"/>
      <c r="K556" s="2"/>
      <c r="L556" s="2"/>
      <c r="M556" s="2"/>
      <c r="N556" s="2"/>
      <c r="O556" s="16"/>
    </row>
    <row r="557" spans="4:15" ht="14.25" customHeight="1" x14ac:dyDescent="0.3">
      <c r="D557" s="15"/>
      <c r="E557" s="15"/>
      <c r="F557" s="21"/>
      <c r="G557" s="1"/>
      <c r="H557" s="19"/>
      <c r="I557" s="1"/>
      <c r="J557" s="2"/>
      <c r="K557" s="2"/>
      <c r="L557" s="2"/>
      <c r="M557" s="2"/>
      <c r="N557" s="2"/>
      <c r="O557" s="16"/>
    </row>
    <row r="558" spans="4:15" ht="14.25" customHeight="1" x14ac:dyDescent="0.3">
      <c r="D558" s="15"/>
      <c r="E558" s="15"/>
      <c r="F558" s="21"/>
      <c r="G558" s="1"/>
      <c r="H558" s="19"/>
      <c r="I558" s="1"/>
      <c r="J558" s="2"/>
      <c r="K558" s="2"/>
      <c r="L558" s="2"/>
      <c r="M558" s="2"/>
      <c r="N558" s="2"/>
      <c r="O558" s="16"/>
    </row>
    <row r="559" spans="4:15" ht="14.25" customHeight="1" x14ac:dyDescent="0.3">
      <c r="D559" s="15"/>
      <c r="E559" s="15"/>
      <c r="F559" s="21"/>
      <c r="G559" s="1"/>
      <c r="H559" s="19"/>
      <c r="I559" s="1"/>
      <c r="J559" s="2"/>
      <c r="K559" s="2"/>
      <c r="L559" s="2"/>
      <c r="M559" s="2"/>
      <c r="N559" s="2"/>
      <c r="O559" s="16"/>
    </row>
    <row r="560" spans="4:15" ht="14.25" customHeight="1" x14ac:dyDescent="0.3">
      <c r="D560" s="15"/>
      <c r="E560" s="15"/>
      <c r="F560" s="21"/>
      <c r="G560" s="1"/>
      <c r="H560" s="19"/>
      <c r="I560" s="1"/>
      <c r="J560" s="2"/>
      <c r="K560" s="2"/>
      <c r="L560" s="2"/>
      <c r="M560" s="2"/>
      <c r="N560" s="2"/>
      <c r="O560" s="16"/>
    </row>
    <row r="561" spans="4:15" ht="14.25" customHeight="1" x14ac:dyDescent="0.3">
      <c r="D561" s="15"/>
      <c r="E561" s="15"/>
      <c r="F561" s="21"/>
      <c r="G561" s="1"/>
      <c r="H561" s="19"/>
      <c r="I561" s="1"/>
      <c r="J561" s="2"/>
      <c r="K561" s="2"/>
      <c r="L561" s="2"/>
      <c r="M561" s="2"/>
      <c r="N561" s="2"/>
      <c r="O561" s="16"/>
    </row>
    <row r="562" spans="4:15" ht="14.25" customHeight="1" x14ac:dyDescent="0.3">
      <c r="D562" s="15"/>
      <c r="E562" s="15"/>
      <c r="F562" s="21"/>
      <c r="G562" s="1"/>
      <c r="H562" s="19"/>
      <c r="I562" s="1"/>
      <c r="J562" s="2"/>
      <c r="K562" s="2"/>
      <c r="L562" s="2"/>
      <c r="M562" s="2"/>
      <c r="N562" s="2"/>
      <c r="O562" s="16"/>
    </row>
    <row r="563" spans="4:15" ht="14.25" customHeight="1" x14ac:dyDescent="0.3">
      <c r="D563" s="15"/>
      <c r="E563" s="15"/>
      <c r="F563" s="21"/>
      <c r="G563" s="1"/>
      <c r="H563" s="19"/>
      <c r="I563" s="1"/>
      <c r="J563" s="2"/>
      <c r="K563" s="2"/>
      <c r="L563" s="2"/>
      <c r="M563" s="2"/>
      <c r="N563" s="2"/>
      <c r="O563" s="16"/>
    </row>
    <row r="564" spans="4:15" ht="14.25" customHeight="1" x14ac:dyDescent="0.3">
      <c r="D564" s="15"/>
      <c r="E564" s="15"/>
      <c r="F564" s="21"/>
      <c r="G564" s="1"/>
      <c r="H564" s="19"/>
      <c r="I564" s="1"/>
      <c r="J564" s="2"/>
      <c r="K564" s="2"/>
      <c r="L564" s="2"/>
      <c r="M564" s="2"/>
      <c r="N564" s="2"/>
      <c r="O564" s="16"/>
    </row>
    <row r="565" spans="4:15" ht="14.25" customHeight="1" x14ac:dyDescent="0.3">
      <c r="D565" s="15"/>
      <c r="E565" s="15"/>
      <c r="F565" s="21"/>
      <c r="G565" s="1"/>
      <c r="H565" s="19"/>
      <c r="I565" s="1"/>
      <c r="J565" s="2"/>
      <c r="K565" s="2"/>
      <c r="L565" s="2"/>
      <c r="M565" s="2"/>
      <c r="N565" s="2"/>
      <c r="O565" s="16"/>
    </row>
    <row r="566" spans="4:15" ht="14.25" customHeight="1" x14ac:dyDescent="0.3">
      <c r="D566" s="15"/>
      <c r="E566" s="15"/>
      <c r="F566" s="21"/>
      <c r="G566" s="1"/>
      <c r="H566" s="19"/>
      <c r="I566" s="1"/>
      <c r="J566" s="2"/>
      <c r="K566" s="2"/>
      <c r="L566" s="2"/>
      <c r="M566" s="2"/>
      <c r="N566" s="2"/>
      <c r="O566" s="16"/>
    </row>
    <row r="567" spans="4:15" ht="14.25" customHeight="1" x14ac:dyDescent="0.3">
      <c r="D567" s="15"/>
      <c r="E567" s="15"/>
      <c r="F567" s="21"/>
      <c r="G567" s="1"/>
      <c r="H567" s="19"/>
      <c r="I567" s="1"/>
      <c r="J567" s="2"/>
      <c r="K567" s="2"/>
      <c r="L567" s="2"/>
      <c r="M567" s="2"/>
      <c r="N567" s="2"/>
      <c r="O567" s="16"/>
    </row>
    <row r="568" spans="4:15" ht="14.25" customHeight="1" x14ac:dyDescent="0.3">
      <c r="D568" s="15"/>
      <c r="E568" s="15"/>
      <c r="F568" s="21"/>
      <c r="G568" s="1"/>
      <c r="H568" s="19"/>
      <c r="I568" s="1"/>
      <c r="J568" s="2"/>
      <c r="K568" s="2"/>
      <c r="L568" s="2"/>
      <c r="M568" s="2"/>
      <c r="N568" s="2"/>
      <c r="O568" s="16"/>
    </row>
    <row r="569" spans="4:15" ht="14.25" customHeight="1" x14ac:dyDescent="0.3">
      <c r="D569" s="15"/>
      <c r="E569" s="15"/>
      <c r="F569" s="21"/>
      <c r="G569" s="1"/>
      <c r="H569" s="19"/>
      <c r="I569" s="1"/>
      <c r="J569" s="2"/>
      <c r="K569" s="2"/>
      <c r="L569" s="2"/>
      <c r="M569" s="2"/>
      <c r="N569" s="2"/>
      <c r="O569" s="16"/>
    </row>
    <row r="570" spans="4:15" ht="14.25" customHeight="1" x14ac:dyDescent="0.3">
      <c r="D570" s="15"/>
      <c r="E570" s="15"/>
      <c r="F570" s="21"/>
      <c r="G570" s="1"/>
      <c r="H570" s="19"/>
      <c r="I570" s="1"/>
      <c r="J570" s="2"/>
      <c r="K570" s="2"/>
      <c r="L570" s="2"/>
      <c r="M570" s="2"/>
      <c r="N570" s="2"/>
      <c r="O570" s="16"/>
    </row>
    <row r="571" spans="4:15" ht="14.25" customHeight="1" x14ac:dyDescent="0.3">
      <c r="D571" s="15"/>
      <c r="E571" s="15"/>
      <c r="F571" s="21"/>
      <c r="G571" s="1"/>
      <c r="H571" s="19"/>
      <c r="I571" s="1"/>
      <c r="J571" s="2"/>
      <c r="K571" s="2"/>
      <c r="L571" s="2"/>
      <c r="M571" s="2"/>
      <c r="N571" s="2"/>
      <c r="O571" s="16"/>
    </row>
    <row r="572" spans="4:15" ht="14.25" customHeight="1" x14ac:dyDescent="0.3">
      <c r="D572" s="15"/>
      <c r="E572" s="15"/>
      <c r="F572" s="21"/>
      <c r="G572" s="1"/>
      <c r="H572" s="19"/>
      <c r="I572" s="1"/>
      <c r="J572" s="2"/>
      <c r="K572" s="2"/>
      <c r="L572" s="2"/>
      <c r="M572" s="2"/>
      <c r="N572" s="2"/>
      <c r="O572" s="16"/>
    </row>
    <row r="573" spans="4:15" ht="14.25" customHeight="1" x14ac:dyDescent="0.3">
      <c r="D573" s="15"/>
      <c r="E573" s="15"/>
      <c r="F573" s="21"/>
      <c r="G573" s="1"/>
      <c r="H573" s="19"/>
      <c r="I573" s="1"/>
      <c r="J573" s="2"/>
      <c r="K573" s="2"/>
      <c r="L573" s="2"/>
      <c r="M573" s="2"/>
      <c r="N573" s="2"/>
      <c r="O573" s="16"/>
    </row>
    <row r="574" spans="4:15" ht="14.25" customHeight="1" x14ac:dyDescent="0.3">
      <c r="D574" s="15"/>
      <c r="E574" s="15"/>
      <c r="F574" s="21"/>
      <c r="G574" s="1"/>
      <c r="H574" s="19"/>
      <c r="I574" s="1"/>
      <c r="J574" s="2"/>
      <c r="K574" s="2"/>
      <c r="L574" s="2"/>
      <c r="M574" s="2"/>
      <c r="N574" s="2"/>
      <c r="O574" s="16"/>
    </row>
    <row r="575" spans="4:15" ht="14.25" customHeight="1" x14ac:dyDescent="0.3">
      <c r="D575" s="15"/>
      <c r="E575" s="15"/>
      <c r="F575" s="21"/>
      <c r="G575" s="1"/>
      <c r="H575" s="19"/>
      <c r="I575" s="1"/>
      <c r="J575" s="2"/>
      <c r="K575" s="2"/>
      <c r="L575" s="2"/>
      <c r="M575" s="2"/>
      <c r="N575" s="2"/>
      <c r="O575" s="16"/>
    </row>
    <row r="576" spans="4:15" ht="14.25" customHeight="1" x14ac:dyDescent="0.3">
      <c r="D576" s="15"/>
      <c r="E576" s="15"/>
      <c r="F576" s="21"/>
      <c r="G576" s="1"/>
      <c r="H576" s="19"/>
      <c r="I576" s="1"/>
      <c r="J576" s="2"/>
      <c r="K576" s="2"/>
      <c r="L576" s="2"/>
      <c r="M576" s="2"/>
      <c r="N576" s="2"/>
      <c r="O576" s="16"/>
    </row>
    <row r="577" spans="4:15" ht="14.25" customHeight="1" x14ac:dyDescent="0.3">
      <c r="D577" s="15"/>
      <c r="E577" s="15"/>
      <c r="F577" s="21"/>
      <c r="G577" s="1"/>
      <c r="H577" s="19"/>
      <c r="I577" s="1"/>
      <c r="J577" s="2"/>
      <c r="K577" s="2"/>
      <c r="L577" s="2"/>
      <c r="M577" s="2"/>
      <c r="N577" s="2"/>
      <c r="O577" s="16"/>
    </row>
    <row r="578" spans="4:15" ht="14.25" customHeight="1" x14ac:dyDescent="0.3">
      <c r="D578" s="15"/>
      <c r="E578" s="15"/>
      <c r="F578" s="21"/>
      <c r="G578" s="1"/>
      <c r="H578" s="19"/>
      <c r="I578" s="1"/>
      <c r="J578" s="2"/>
      <c r="K578" s="2"/>
      <c r="L578" s="2"/>
      <c r="M578" s="2"/>
      <c r="N578" s="2"/>
      <c r="O578" s="16"/>
    </row>
    <row r="579" spans="4:15" ht="14.25" customHeight="1" x14ac:dyDescent="0.3">
      <c r="D579" s="15"/>
      <c r="E579" s="15"/>
      <c r="F579" s="21"/>
      <c r="G579" s="1"/>
      <c r="H579" s="19"/>
      <c r="I579" s="1"/>
      <c r="J579" s="2"/>
      <c r="K579" s="2"/>
      <c r="L579" s="2"/>
      <c r="M579" s="2"/>
      <c r="N579" s="2"/>
      <c r="O579" s="16"/>
    </row>
    <row r="580" spans="4:15" ht="14.25" customHeight="1" x14ac:dyDescent="0.3">
      <c r="D580" s="15"/>
      <c r="E580" s="15"/>
      <c r="F580" s="21"/>
      <c r="G580" s="1"/>
      <c r="H580" s="19"/>
      <c r="I580" s="1"/>
      <c r="J580" s="2"/>
      <c r="K580" s="2"/>
      <c r="L580" s="2"/>
      <c r="M580" s="2"/>
      <c r="N580" s="2"/>
      <c r="O580" s="16"/>
    </row>
    <row r="581" spans="4:15" ht="14.25" customHeight="1" x14ac:dyDescent="0.3">
      <c r="D581" s="15"/>
      <c r="E581" s="15"/>
      <c r="F581" s="21"/>
      <c r="G581" s="1"/>
      <c r="H581" s="19"/>
      <c r="I581" s="1"/>
      <c r="J581" s="2"/>
      <c r="K581" s="2"/>
      <c r="L581" s="2"/>
      <c r="M581" s="2"/>
      <c r="N581" s="2"/>
      <c r="O581" s="16"/>
    </row>
    <row r="582" spans="4:15" ht="14.25" customHeight="1" x14ac:dyDescent="0.3">
      <c r="D582" s="15"/>
      <c r="E582" s="15"/>
      <c r="F582" s="21"/>
      <c r="G582" s="1"/>
      <c r="H582" s="19"/>
      <c r="I582" s="1"/>
      <c r="J582" s="2"/>
      <c r="K582" s="2"/>
      <c r="L582" s="2"/>
      <c r="M582" s="2"/>
      <c r="N582" s="2"/>
      <c r="O582" s="16"/>
    </row>
    <row r="583" spans="4:15" ht="14.25" customHeight="1" x14ac:dyDescent="0.3">
      <c r="D583" s="15"/>
      <c r="E583" s="15"/>
      <c r="F583" s="21"/>
      <c r="G583" s="1"/>
      <c r="H583" s="19"/>
      <c r="I583" s="1"/>
      <c r="J583" s="2"/>
      <c r="K583" s="2"/>
      <c r="L583" s="2"/>
      <c r="M583" s="2"/>
      <c r="N583" s="2"/>
      <c r="O583" s="16"/>
    </row>
    <row r="584" spans="4:15" ht="14.25" customHeight="1" x14ac:dyDescent="0.3">
      <c r="D584" s="15"/>
      <c r="E584" s="15"/>
      <c r="F584" s="21"/>
      <c r="G584" s="1"/>
      <c r="H584" s="19"/>
      <c r="I584" s="1"/>
      <c r="J584" s="2"/>
      <c r="K584" s="2"/>
      <c r="L584" s="2"/>
      <c r="M584" s="2"/>
      <c r="N584" s="2"/>
      <c r="O584" s="16"/>
    </row>
    <row r="585" spans="4:15" ht="14.25" customHeight="1" x14ac:dyDescent="0.3">
      <c r="D585" s="15"/>
      <c r="E585" s="15"/>
      <c r="F585" s="21"/>
      <c r="G585" s="1"/>
      <c r="H585" s="19"/>
      <c r="I585" s="1"/>
      <c r="J585" s="2"/>
      <c r="K585" s="2"/>
      <c r="L585" s="2"/>
      <c r="M585" s="2"/>
      <c r="N585" s="2"/>
      <c r="O585" s="16"/>
    </row>
    <row r="586" spans="4:15" ht="14.25" customHeight="1" x14ac:dyDescent="0.3">
      <c r="D586" s="15"/>
      <c r="E586" s="15"/>
      <c r="F586" s="21"/>
      <c r="G586" s="1"/>
      <c r="H586" s="19"/>
      <c r="I586" s="1"/>
      <c r="J586" s="2"/>
      <c r="K586" s="2"/>
      <c r="L586" s="2"/>
      <c r="M586" s="2"/>
      <c r="N586" s="2"/>
      <c r="O586" s="16"/>
    </row>
    <row r="587" spans="4:15" ht="14.25" customHeight="1" x14ac:dyDescent="0.3">
      <c r="D587" s="15"/>
      <c r="E587" s="15"/>
      <c r="F587" s="21"/>
      <c r="G587" s="1"/>
      <c r="H587" s="19"/>
      <c r="I587" s="1"/>
      <c r="J587" s="2"/>
      <c r="K587" s="2"/>
      <c r="L587" s="2"/>
      <c r="M587" s="2"/>
      <c r="N587" s="2"/>
      <c r="O587" s="16"/>
    </row>
    <row r="588" spans="4:15" ht="14.25" customHeight="1" x14ac:dyDescent="0.3">
      <c r="D588" s="15"/>
      <c r="E588" s="15"/>
      <c r="F588" s="21"/>
      <c r="G588" s="1"/>
      <c r="H588" s="19"/>
      <c r="I588" s="1"/>
      <c r="J588" s="2"/>
      <c r="K588" s="2"/>
      <c r="L588" s="2"/>
      <c r="M588" s="2"/>
      <c r="N588" s="2"/>
      <c r="O588" s="16"/>
    </row>
    <row r="589" spans="4:15" ht="14.25" customHeight="1" x14ac:dyDescent="0.3">
      <c r="D589" s="15"/>
      <c r="E589" s="15"/>
      <c r="F589" s="21"/>
      <c r="G589" s="1"/>
      <c r="H589" s="19"/>
      <c r="I589" s="1"/>
      <c r="J589" s="2"/>
      <c r="K589" s="2"/>
      <c r="L589" s="2"/>
      <c r="M589" s="2"/>
      <c r="N589" s="2"/>
      <c r="O589" s="16"/>
    </row>
    <row r="590" spans="4:15" ht="14.25" customHeight="1" x14ac:dyDescent="0.3">
      <c r="D590" s="15"/>
      <c r="E590" s="15"/>
      <c r="F590" s="21"/>
      <c r="G590" s="1"/>
      <c r="H590" s="19"/>
      <c r="I590" s="1"/>
      <c r="J590" s="2"/>
      <c r="K590" s="2"/>
      <c r="L590" s="2"/>
      <c r="M590" s="2"/>
      <c r="N590" s="2"/>
      <c r="O590" s="16"/>
    </row>
    <row r="591" spans="4:15" ht="14.25" customHeight="1" x14ac:dyDescent="0.3">
      <c r="D591" s="15"/>
      <c r="E591" s="15"/>
      <c r="F591" s="21"/>
      <c r="G591" s="1"/>
      <c r="H591" s="19"/>
      <c r="I591" s="1"/>
      <c r="J591" s="2"/>
      <c r="K591" s="2"/>
      <c r="L591" s="2"/>
      <c r="M591" s="2"/>
      <c r="N591" s="2"/>
      <c r="O591" s="16"/>
    </row>
    <row r="592" spans="4:15" ht="14.25" customHeight="1" x14ac:dyDescent="0.3">
      <c r="D592" s="15"/>
      <c r="E592" s="15"/>
      <c r="F592" s="21"/>
      <c r="G592" s="1"/>
      <c r="H592" s="19"/>
      <c r="I592" s="1"/>
      <c r="J592" s="2"/>
      <c r="K592" s="2"/>
      <c r="L592" s="2"/>
      <c r="M592" s="2"/>
      <c r="N592" s="2"/>
      <c r="O592" s="16"/>
    </row>
    <row r="593" spans="4:15" ht="14.25" customHeight="1" x14ac:dyDescent="0.3">
      <c r="D593" s="15"/>
      <c r="E593" s="15"/>
      <c r="F593" s="21"/>
      <c r="G593" s="1"/>
      <c r="H593" s="19"/>
      <c r="I593" s="1"/>
      <c r="J593" s="2"/>
      <c r="K593" s="2"/>
      <c r="L593" s="2"/>
      <c r="M593" s="2"/>
      <c r="N593" s="2"/>
      <c r="O593" s="16"/>
    </row>
    <row r="594" spans="4:15" ht="14.25" customHeight="1" x14ac:dyDescent="0.3">
      <c r="D594" s="15"/>
      <c r="E594" s="15"/>
      <c r="F594" s="21"/>
      <c r="G594" s="1"/>
      <c r="H594" s="19"/>
      <c r="I594" s="1"/>
      <c r="J594" s="2"/>
      <c r="K594" s="2"/>
      <c r="L594" s="2"/>
      <c r="M594" s="2"/>
      <c r="N594" s="2"/>
      <c r="O594" s="16"/>
    </row>
    <row r="595" spans="4:15" ht="14.25" customHeight="1" x14ac:dyDescent="0.3">
      <c r="D595" s="15"/>
      <c r="E595" s="15"/>
      <c r="F595" s="21"/>
      <c r="G595" s="1"/>
      <c r="H595" s="19"/>
      <c r="I595" s="1"/>
      <c r="J595" s="2"/>
      <c r="K595" s="2"/>
      <c r="L595" s="2"/>
      <c r="M595" s="2"/>
      <c r="N595" s="2"/>
      <c r="O595" s="16"/>
    </row>
    <row r="596" spans="4:15" ht="14.25" customHeight="1" x14ac:dyDescent="0.3">
      <c r="D596" s="15"/>
      <c r="E596" s="15"/>
      <c r="F596" s="21"/>
      <c r="G596" s="1"/>
      <c r="H596" s="19"/>
      <c r="I596" s="1"/>
      <c r="J596" s="2"/>
      <c r="K596" s="2"/>
      <c r="L596" s="2"/>
      <c r="M596" s="2"/>
      <c r="N596" s="2"/>
      <c r="O596" s="16"/>
    </row>
    <row r="597" spans="4:15" ht="14.25" customHeight="1" x14ac:dyDescent="0.3">
      <c r="D597" s="15"/>
      <c r="E597" s="15"/>
      <c r="F597" s="21"/>
      <c r="G597" s="1"/>
      <c r="H597" s="19"/>
      <c r="I597" s="1"/>
      <c r="J597" s="2"/>
      <c r="K597" s="2"/>
      <c r="L597" s="2"/>
      <c r="M597" s="2"/>
      <c r="N597" s="2"/>
      <c r="O597" s="16"/>
    </row>
    <row r="598" spans="4:15" ht="14.25" customHeight="1" x14ac:dyDescent="0.3">
      <c r="D598" s="15"/>
      <c r="E598" s="15"/>
      <c r="F598" s="21"/>
      <c r="G598" s="1"/>
      <c r="H598" s="19"/>
      <c r="I598" s="1"/>
      <c r="J598" s="2"/>
      <c r="K598" s="2"/>
      <c r="L598" s="2"/>
      <c r="M598" s="2"/>
      <c r="N598" s="2"/>
      <c r="O598" s="16"/>
    </row>
    <row r="599" spans="4:15" ht="14.25" customHeight="1" x14ac:dyDescent="0.3">
      <c r="D599" s="15"/>
      <c r="E599" s="15"/>
      <c r="F599" s="21"/>
      <c r="G599" s="1"/>
      <c r="H599" s="19"/>
      <c r="I599" s="1"/>
      <c r="J599" s="2"/>
      <c r="K599" s="2"/>
      <c r="L599" s="2"/>
      <c r="M599" s="2"/>
      <c r="N599" s="2"/>
      <c r="O599" s="16"/>
    </row>
    <row r="600" spans="4:15" ht="14.25" customHeight="1" x14ac:dyDescent="0.3">
      <c r="D600" s="15"/>
      <c r="E600" s="15"/>
      <c r="F600" s="21"/>
      <c r="G600" s="1"/>
      <c r="H600" s="19"/>
      <c r="I600" s="1"/>
      <c r="J600" s="2"/>
      <c r="K600" s="2"/>
      <c r="L600" s="2"/>
      <c r="M600" s="2"/>
      <c r="N600" s="2"/>
      <c r="O600" s="16"/>
    </row>
    <row r="601" spans="4:15" ht="14.25" customHeight="1" x14ac:dyDescent="0.3">
      <c r="D601" s="15"/>
      <c r="E601" s="15"/>
      <c r="F601" s="21"/>
      <c r="G601" s="1"/>
      <c r="H601" s="19"/>
      <c r="I601" s="1"/>
      <c r="J601" s="2"/>
      <c r="K601" s="2"/>
      <c r="L601" s="2"/>
      <c r="M601" s="2"/>
      <c r="N601" s="2"/>
      <c r="O601" s="16"/>
    </row>
    <row r="602" spans="4:15" ht="14.25" customHeight="1" x14ac:dyDescent="0.3">
      <c r="D602" s="15"/>
      <c r="E602" s="15"/>
      <c r="F602" s="21"/>
      <c r="G602" s="1"/>
      <c r="H602" s="19"/>
      <c r="I602" s="1"/>
      <c r="J602" s="2"/>
      <c r="K602" s="2"/>
      <c r="L602" s="2"/>
      <c r="M602" s="2"/>
      <c r="N602" s="2"/>
      <c r="O602" s="16"/>
    </row>
    <row r="603" spans="4:15" ht="14.25" customHeight="1" x14ac:dyDescent="0.3">
      <c r="D603" s="15"/>
      <c r="E603" s="15"/>
      <c r="F603" s="21"/>
      <c r="G603" s="1"/>
      <c r="H603" s="19"/>
      <c r="I603" s="1"/>
      <c r="J603" s="2"/>
      <c r="K603" s="2"/>
      <c r="L603" s="2"/>
      <c r="M603" s="2"/>
      <c r="N603" s="2"/>
      <c r="O603" s="16"/>
    </row>
    <row r="604" spans="4:15" ht="14.25" customHeight="1" x14ac:dyDescent="0.3">
      <c r="D604" s="15"/>
      <c r="E604" s="15"/>
      <c r="F604" s="21"/>
      <c r="G604" s="1"/>
      <c r="H604" s="19"/>
      <c r="I604" s="1"/>
      <c r="J604" s="2"/>
      <c r="K604" s="2"/>
      <c r="L604" s="2"/>
      <c r="M604" s="2"/>
      <c r="N604" s="2"/>
      <c r="O604" s="16"/>
    </row>
    <row r="605" spans="4:15" ht="14.25" customHeight="1" x14ac:dyDescent="0.3">
      <c r="D605" s="15"/>
      <c r="E605" s="15"/>
      <c r="F605" s="21"/>
      <c r="G605" s="1"/>
      <c r="H605" s="19"/>
      <c r="I605" s="1"/>
      <c r="J605" s="2"/>
      <c r="K605" s="2"/>
      <c r="L605" s="2"/>
      <c r="M605" s="2"/>
      <c r="N605" s="2"/>
      <c r="O605" s="16"/>
    </row>
    <row r="606" spans="4:15" ht="14.25" customHeight="1" x14ac:dyDescent="0.3">
      <c r="D606" s="15"/>
      <c r="E606" s="15"/>
      <c r="F606" s="21"/>
      <c r="G606" s="1"/>
      <c r="H606" s="19"/>
      <c r="I606" s="1"/>
      <c r="J606" s="2"/>
      <c r="K606" s="2"/>
      <c r="L606" s="2"/>
      <c r="M606" s="2"/>
      <c r="N606" s="2"/>
      <c r="O606" s="16"/>
    </row>
    <row r="607" spans="4:15" ht="14.25" customHeight="1" x14ac:dyDescent="0.3">
      <c r="D607" s="15"/>
      <c r="E607" s="15"/>
      <c r="F607" s="21"/>
      <c r="G607" s="1"/>
      <c r="H607" s="19"/>
      <c r="I607" s="1"/>
      <c r="J607" s="2"/>
      <c r="K607" s="2"/>
      <c r="L607" s="2"/>
      <c r="M607" s="2"/>
      <c r="N607" s="2"/>
      <c r="O607" s="16"/>
    </row>
    <row r="608" spans="4:15" ht="14.25" customHeight="1" x14ac:dyDescent="0.3">
      <c r="D608" s="15"/>
      <c r="E608" s="15"/>
      <c r="F608" s="21"/>
      <c r="G608" s="1"/>
      <c r="H608" s="19"/>
      <c r="I608" s="1"/>
      <c r="J608" s="2"/>
      <c r="K608" s="2"/>
      <c r="L608" s="2"/>
      <c r="M608" s="2"/>
      <c r="N608" s="2"/>
      <c r="O608" s="16"/>
    </row>
    <row r="609" spans="4:15" ht="14.25" customHeight="1" x14ac:dyDescent="0.3">
      <c r="D609" s="15"/>
      <c r="E609" s="15"/>
      <c r="F609" s="21"/>
      <c r="G609" s="1"/>
      <c r="H609" s="19"/>
      <c r="I609" s="1"/>
      <c r="J609" s="2"/>
      <c r="K609" s="2"/>
      <c r="L609" s="2"/>
      <c r="M609" s="2"/>
      <c r="N609" s="2"/>
      <c r="O609" s="16"/>
    </row>
    <row r="610" spans="4:15" ht="14.25" customHeight="1" x14ac:dyDescent="0.3">
      <c r="D610" s="15"/>
      <c r="E610" s="15"/>
      <c r="F610" s="21"/>
      <c r="G610" s="1"/>
      <c r="H610" s="19"/>
      <c r="I610" s="1"/>
      <c r="J610" s="2"/>
      <c r="K610" s="2"/>
      <c r="L610" s="2"/>
      <c r="M610" s="2"/>
      <c r="N610" s="2"/>
      <c r="O610" s="16"/>
    </row>
    <row r="611" spans="4:15" ht="14.25" customHeight="1" x14ac:dyDescent="0.3">
      <c r="D611" s="15"/>
      <c r="E611" s="15"/>
      <c r="F611" s="21"/>
      <c r="G611" s="1"/>
      <c r="H611" s="19"/>
      <c r="I611" s="1"/>
      <c r="J611" s="2"/>
      <c r="K611" s="2"/>
      <c r="L611" s="2"/>
      <c r="M611" s="2"/>
      <c r="N611" s="2"/>
      <c r="O611" s="16"/>
    </row>
    <row r="612" spans="4:15" ht="14.25" customHeight="1" x14ac:dyDescent="0.3">
      <c r="D612" s="15"/>
      <c r="E612" s="15"/>
      <c r="F612" s="21"/>
      <c r="G612" s="1"/>
      <c r="H612" s="19"/>
      <c r="I612" s="1"/>
      <c r="J612" s="2"/>
      <c r="K612" s="2"/>
      <c r="L612" s="2"/>
      <c r="M612" s="2"/>
      <c r="N612" s="2"/>
      <c r="O612" s="16"/>
    </row>
    <row r="613" spans="4:15" ht="14.25" customHeight="1" x14ac:dyDescent="0.3">
      <c r="D613" s="15"/>
      <c r="E613" s="15"/>
      <c r="F613" s="21"/>
      <c r="G613" s="1"/>
      <c r="H613" s="19"/>
      <c r="I613" s="1"/>
      <c r="J613" s="2"/>
      <c r="K613" s="2"/>
      <c r="L613" s="2"/>
      <c r="M613" s="2"/>
      <c r="N613" s="2"/>
      <c r="O613" s="16"/>
    </row>
    <row r="614" spans="4:15" ht="14.25" customHeight="1" x14ac:dyDescent="0.3">
      <c r="D614" s="15"/>
      <c r="E614" s="15"/>
      <c r="F614" s="21"/>
      <c r="G614" s="1"/>
      <c r="H614" s="19"/>
      <c r="I614" s="1"/>
      <c r="J614" s="2"/>
      <c r="K614" s="2"/>
      <c r="L614" s="2"/>
      <c r="M614" s="2"/>
      <c r="N614" s="2"/>
      <c r="O614" s="16"/>
    </row>
    <row r="615" spans="4:15" ht="14.25" customHeight="1" x14ac:dyDescent="0.3">
      <c r="D615" s="15"/>
      <c r="E615" s="15"/>
      <c r="F615" s="21"/>
      <c r="G615" s="1"/>
      <c r="H615" s="19"/>
      <c r="I615" s="1"/>
      <c r="J615" s="2"/>
      <c r="K615" s="2"/>
      <c r="L615" s="2"/>
      <c r="M615" s="2"/>
      <c r="N615" s="2"/>
      <c r="O615" s="16"/>
    </row>
    <row r="616" spans="4:15" ht="14.25" customHeight="1" x14ac:dyDescent="0.3">
      <c r="D616" s="15"/>
      <c r="E616" s="15"/>
      <c r="F616" s="21"/>
      <c r="G616" s="1"/>
      <c r="H616" s="19"/>
      <c r="I616" s="1"/>
      <c r="J616" s="2"/>
      <c r="K616" s="2"/>
      <c r="L616" s="2"/>
      <c r="M616" s="2"/>
      <c r="N616" s="2"/>
      <c r="O616" s="16"/>
    </row>
    <row r="617" spans="4:15" ht="14.25" customHeight="1" x14ac:dyDescent="0.3">
      <c r="D617" s="15"/>
      <c r="E617" s="15"/>
      <c r="F617" s="21"/>
      <c r="G617" s="1"/>
      <c r="H617" s="19"/>
      <c r="I617" s="1"/>
      <c r="J617" s="2"/>
      <c r="K617" s="2"/>
      <c r="L617" s="2"/>
      <c r="M617" s="2"/>
      <c r="N617" s="2"/>
      <c r="O617" s="16"/>
    </row>
    <row r="618" spans="4:15" ht="14.25" customHeight="1" x14ac:dyDescent="0.3">
      <c r="D618" s="15"/>
      <c r="E618" s="15"/>
      <c r="F618" s="21"/>
      <c r="G618" s="1"/>
      <c r="H618" s="19"/>
      <c r="I618" s="1"/>
      <c r="J618" s="2"/>
      <c r="K618" s="2"/>
      <c r="L618" s="2"/>
      <c r="M618" s="2"/>
      <c r="N618" s="2"/>
      <c r="O618" s="16"/>
    </row>
    <row r="619" spans="4:15" ht="14.25" customHeight="1" x14ac:dyDescent="0.3">
      <c r="D619" s="15"/>
      <c r="E619" s="15"/>
      <c r="F619" s="21"/>
      <c r="G619" s="1"/>
      <c r="H619" s="19"/>
      <c r="I619" s="1"/>
      <c r="J619" s="2"/>
      <c r="K619" s="2"/>
      <c r="L619" s="2"/>
      <c r="M619" s="2"/>
      <c r="N619" s="2"/>
      <c r="O619" s="16"/>
    </row>
    <row r="620" spans="4:15" ht="14.25" customHeight="1" x14ac:dyDescent="0.3">
      <c r="D620" s="15"/>
      <c r="E620" s="15"/>
      <c r="F620" s="21"/>
      <c r="G620" s="1"/>
      <c r="H620" s="19"/>
      <c r="I620" s="1"/>
      <c r="J620" s="2"/>
      <c r="K620" s="2"/>
      <c r="L620" s="2"/>
      <c r="M620" s="2"/>
      <c r="N620" s="2"/>
      <c r="O620" s="16"/>
    </row>
    <row r="621" spans="4:15" ht="14.25" customHeight="1" x14ac:dyDescent="0.3">
      <c r="D621" s="15"/>
      <c r="E621" s="15"/>
      <c r="F621" s="21"/>
      <c r="G621" s="1"/>
      <c r="H621" s="19"/>
      <c r="I621" s="1"/>
      <c r="J621" s="2"/>
      <c r="K621" s="2"/>
      <c r="L621" s="2"/>
      <c r="M621" s="2"/>
      <c r="N621" s="2"/>
      <c r="O621" s="16"/>
    </row>
    <row r="622" spans="4:15" ht="14.25" customHeight="1" x14ac:dyDescent="0.3">
      <c r="D622" s="15"/>
      <c r="E622" s="15"/>
      <c r="F622" s="21"/>
      <c r="G622" s="1"/>
      <c r="H622" s="19"/>
      <c r="I622" s="1"/>
      <c r="J622" s="2"/>
      <c r="K622" s="2"/>
      <c r="L622" s="2"/>
      <c r="M622" s="2"/>
      <c r="N622" s="2"/>
      <c r="O622" s="16"/>
    </row>
    <row r="623" spans="4:15" ht="14.25" customHeight="1" x14ac:dyDescent="0.3">
      <c r="D623" s="15"/>
      <c r="E623" s="15"/>
      <c r="F623" s="21"/>
      <c r="G623" s="1"/>
      <c r="H623" s="19"/>
      <c r="I623" s="1"/>
      <c r="J623" s="2"/>
      <c r="K623" s="2"/>
      <c r="L623" s="2"/>
      <c r="M623" s="2"/>
      <c r="N623" s="2"/>
      <c r="O623" s="16"/>
    </row>
    <row r="624" spans="4:15" ht="14.25" customHeight="1" x14ac:dyDescent="0.3">
      <c r="D624" s="15"/>
      <c r="E624" s="15"/>
      <c r="F624" s="21"/>
      <c r="G624" s="1"/>
      <c r="H624" s="19"/>
      <c r="I624" s="1"/>
      <c r="J624" s="2"/>
      <c r="K624" s="2"/>
      <c r="L624" s="2"/>
      <c r="M624" s="2"/>
      <c r="N624" s="2"/>
      <c r="O624" s="16"/>
    </row>
    <row r="625" spans="4:15" ht="14.25" customHeight="1" x14ac:dyDescent="0.3">
      <c r="D625" s="15"/>
      <c r="E625" s="15"/>
      <c r="F625" s="21"/>
      <c r="G625" s="1"/>
      <c r="H625" s="19"/>
      <c r="I625" s="1"/>
      <c r="J625" s="2"/>
      <c r="K625" s="2"/>
      <c r="L625" s="2"/>
      <c r="M625" s="2"/>
      <c r="N625" s="2"/>
      <c r="O625" s="16"/>
    </row>
    <row r="626" spans="4:15" ht="14.25" customHeight="1" x14ac:dyDescent="0.3">
      <c r="D626" s="15"/>
      <c r="E626" s="15"/>
      <c r="F626" s="21"/>
      <c r="G626" s="1"/>
      <c r="H626" s="19"/>
      <c r="I626" s="1"/>
      <c r="J626" s="2"/>
      <c r="K626" s="2"/>
      <c r="L626" s="2"/>
      <c r="M626" s="2"/>
      <c r="N626" s="2"/>
      <c r="O626" s="16"/>
    </row>
    <row r="627" spans="4:15" ht="14.25" customHeight="1" x14ac:dyDescent="0.3">
      <c r="D627" s="15"/>
      <c r="E627" s="15"/>
      <c r="F627" s="21"/>
      <c r="G627" s="1"/>
      <c r="H627" s="19"/>
      <c r="I627" s="1"/>
      <c r="J627" s="2"/>
      <c r="K627" s="2"/>
      <c r="L627" s="2"/>
      <c r="M627" s="2"/>
      <c r="N627" s="2"/>
      <c r="O627" s="16"/>
    </row>
    <row r="628" spans="4:15" ht="14.25" customHeight="1" x14ac:dyDescent="0.3">
      <c r="D628" s="15"/>
      <c r="E628" s="15"/>
      <c r="F628" s="21"/>
      <c r="G628" s="1"/>
      <c r="H628" s="19"/>
      <c r="I628" s="1"/>
      <c r="J628" s="2"/>
      <c r="K628" s="2"/>
      <c r="L628" s="2"/>
      <c r="M628" s="2"/>
      <c r="N628" s="2"/>
      <c r="O628" s="16"/>
    </row>
    <row r="629" spans="4:15" ht="14.25" customHeight="1" x14ac:dyDescent="0.3">
      <c r="D629" s="15"/>
      <c r="E629" s="15"/>
      <c r="F629" s="21"/>
      <c r="G629" s="1"/>
      <c r="H629" s="19"/>
      <c r="I629" s="1"/>
      <c r="J629" s="2"/>
      <c r="K629" s="2"/>
      <c r="L629" s="2"/>
      <c r="M629" s="2"/>
      <c r="N629" s="2"/>
      <c r="O629" s="16"/>
    </row>
    <row r="630" spans="4:15" ht="14.25" customHeight="1" x14ac:dyDescent="0.3">
      <c r="D630" s="15"/>
      <c r="E630" s="15"/>
      <c r="F630" s="21"/>
      <c r="G630" s="1"/>
      <c r="H630" s="19"/>
      <c r="I630" s="1"/>
      <c r="J630" s="2"/>
      <c r="K630" s="2"/>
      <c r="L630" s="2"/>
      <c r="M630" s="2"/>
      <c r="N630" s="2"/>
      <c r="O630" s="16"/>
    </row>
    <row r="631" spans="4:15" ht="14.25" customHeight="1" x14ac:dyDescent="0.3">
      <c r="D631" s="15"/>
      <c r="E631" s="15"/>
      <c r="F631" s="21"/>
      <c r="G631" s="1"/>
      <c r="H631" s="19"/>
      <c r="I631" s="1"/>
      <c r="J631" s="2"/>
      <c r="K631" s="2"/>
      <c r="L631" s="2"/>
      <c r="M631" s="2"/>
      <c r="N631" s="2"/>
      <c r="O631" s="16"/>
    </row>
    <row r="632" spans="4:15" ht="14.25" customHeight="1" x14ac:dyDescent="0.3">
      <c r="D632" s="15"/>
      <c r="E632" s="15"/>
      <c r="F632" s="21"/>
      <c r="G632" s="1"/>
      <c r="H632" s="19"/>
      <c r="I632" s="1"/>
      <c r="J632" s="2"/>
      <c r="K632" s="2"/>
      <c r="L632" s="2"/>
      <c r="M632" s="2"/>
      <c r="N632" s="2"/>
      <c r="O632" s="16"/>
    </row>
    <row r="633" spans="4:15" ht="14.25" customHeight="1" x14ac:dyDescent="0.3">
      <c r="D633" s="15"/>
      <c r="E633" s="15"/>
      <c r="F633" s="21"/>
      <c r="G633" s="1"/>
      <c r="H633" s="19"/>
      <c r="I633" s="1"/>
      <c r="J633" s="2"/>
      <c r="K633" s="2"/>
      <c r="L633" s="2"/>
      <c r="M633" s="2"/>
      <c r="N633" s="2"/>
      <c r="O633" s="16"/>
    </row>
    <row r="634" spans="4:15" ht="14.25" customHeight="1" x14ac:dyDescent="0.3">
      <c r="D634" s="15"/>
      <c r="E634" s="15"/>
      <c r="F634" s="21"/>
      <c r="G634" s="1"/>
      <c r="H634" s="19"/>
      <c r="I634" s="1"/>
      <c r="J634" s="2"/>
      <c r="K634" s="2"/>
      <c r="L634" s="2"/>
      <c r="M634" s="2"/>
      <c r="N634" s="2"/>
      <c r="O634" s="16"/>
    </row>
    <row r="635" spans="4:15" ht="14.25" customHeight="1" x14ac:dyDescent="0.3">
      <c r="D635" s="15"/>
      <c r="E635" s="15"/>
      <c r="F635" s="21"/>
      <c r="G635" s="1"/>
      <c r="H635" s="19"/>
      <c r="I635" s="1"/>
      <c r="J635" s="2"/>
      <c r="K635" s="2"/>
      <c r="L635" s="2"/>
      <c r="M635" s="2"/>
      <c r="N635" s="2"/>
      <c r="O635" s="16"/>
    </row>
    <row r="636" spans="4:15" ht="14.25" customHeight="1" x14ac:dyDescent="0.3">
      <c r="D636" s="15"/>
      <c r="E636" s="15"/>
      <c r="F636" s="21"/>
      <c r="G636" s="1"/>
      <c r="H636" s="19"/>
      <c r="I636" s="1"/>
      <c r="J636" s="2"/>
      <c r="K636" s="2"/>
      <c r="L636" s="2"/>
      <c r="M636" s="2"/>
      <c r="N636" s="2"/>
      <c r="O636" s="16"/>
    </row>
    <row r="637" spans="4:15" ht="14.25" customHeight="1" x14ac:dyDescent="0.3">
      <c r="D637" s="15"/>
      <c r="E637" s="15"/>
      <c r="F637" s="21"/>
      <c r="G637" s="1"/>
      <c r="H637" s="19"/>
      <c r="I637" s="1"/>
      <c r="J637" s="2"/>
      <c r="K637" s="2"/>
      <c r="L637" s="2"/>
      <c r="M637" s="2"/>
      <c r="N637" s="2"/>
      <c r="O637" s="16"/>
    </row>
    <row r="638" spans="4:15" ht="14.25" customHeight="1" x14ac:dyDescent="0.3">
      <c r="D638" s="15"/>
      <c r="E638" s="15"/>
      <c r="F638" s="21"/>
      <c r="G638" s="1"/>
      <c r="H638" s="19"/>
      <c r="I638" s="1"/>
      <c r="J638" s="2"/>
      <c r="K638" s="2"/>
      <c r="L638" s="2"/>
      <c r="M638" s="2"/>
      <c r="N638" s="2"/>
      <c r="O638" s="16"/>
    </row>
    <row r="639" spans="4:15" ht="14.25" customHeight="1" x14ac:dyDescent="0.3">
      <c r="D639" s="15"/>
      <c r="E639" s="15"/>
      <c r="F639" s="21"/>
      <c r="G639" s="1"/>
      <c r="H639" s="19"/>
      <c r="I639" s="1"/>
      <c r="J639" s="2"/>
      <c r="K639" s="2"/>
      <c r="L639" s="2"/>
      <c r="M639" s="2"/>
      <c r="N639" s="2"/>
      <c r="O639" s="16"/>
    </row>
    <row r="640" spans="4:15" ht="14.25" customHeight="1" x14ac:dyDescent="0.3">
      <c r="D640" s="15"/>
      <c r="E640" s="15"/>
      <c r="F640" s="21"/>
      <c r="G640" s="1"/>
      <c r="H640" s="19"/>
      <c r="I640" s="1"/>
      <c r="J640" s="2"/>
      <c r="K640" s="2"/>
      <c r="L640" s="2"/>
      <c r="M640" s="2"/>
      <c r="N640" s="2"/>
      <c r="O640" s="16"/>
    </row>
    <row r="641" spans="4:15" ht="14.25" customHeight="1" x14ac:dyDescent="0.3">
      <c r="D641" s="15"/>
      <c r="E641" s="15"/>
      <c r="F641" s="21"/>
      <c r="G641" s="1"/>
      <c r="H641" s="19"/>
      <c r="I641" s="1"/>
      <c r="J641" s="2"/>
      <c r="K641" s="2"/>
      <c r="L641" s="2"/>
      <c r="M641" s="2"/>
      <c r="N641" s="2"/>
      <c r="O641" s="16"/>
    </row>
    <row r="642" spans="4:15" ht="14.25" customHeight="1" x14ac:dyDescent="0.3">
      <c r="D642" s="15"/>
      <c r="E642" s="15"/>
      <c r="F642" s="21"/>
      <c r="G642" s="1"/>
      <c r="H642" s="19"/>
      <c r="I642" s="1"/>
      <c r="J642" s="2"/>
      <c r="K642" s="2"/>
      <c r="L642" s="2"/>
      <c r="M642" s="2"/>
      <c r="N642" s="2"/>
      <c r="O642" s="16"/>
    </row>
    <row r="643" spans="4:15" ht="14.25" customHeight="1" x14ac:dyDescent="0.3">
      <c r="D643" s="15"/>
      <c r="E643" s="15"/>
      <c r="F643" s="21"/>
      <c r="G643" s="1"/>
      <c r="H643" s="19"/>
      <c r="I643" s="1"/>
      <c r="J643" s="2"/>
      <c r="K643" s="2"/>
      <c r="L643" s="2"/>
      <c r="M643" s="2"/>
      <c r="N643" s="2"/>
      <c r="O643" s="16"/>
    </row>
    <row r="644" spans="4:15" ht="14.25" customHeight="1" x14ac:dyDescent="0.3">
      <c r="D644" s="15"/>
      <c r="E644" s="15"/>
      <c r="F644" s="21"/>
      <c r="G644" s="1"/>
      <c r="H644" s="19"/>
      <c r="I644" s="1"/>
      <c r="J644" s="2"/>
      <c r="K644" s="2"/>
      <c r="L644" s="2"/>
      <c r="M644" s="2"/>
      <c r="N644" s="2"/>
      <c r="O644" s="16"/>
    </row>
    <row r="645" spans="4:15" ht="14.25" customHeight="1" x14ac:dyDescent="0.3">
      <c r="D645" s="15"/>
      <c r="E645" s="15"/>
      <c r="F645" s="21"/>
      <c r="G645" s="1"/>
      <c r="H645" s="19"/>
      <c r="I645" s="1"/>
      <c r="J645" s="2"/>
      <c r="K645" s="2"/>
      <c r="L645" s="2"/>
      <c r="M645" s="2"/>
      <c r="N645" s="2"/>
      <c r="O645" s="16"/>
    </row>
    <row r="646" spans="4:15" ht="14.25" customHeight="1" x14ac:dyDescent="0.3">
      <c r="D646" s="15"/>
      <c r="E646" s="15"/>
      <c r="F646" s="21"/>
      <c r="G646" s="1"/>
      <c r="H646" s="19"/>
      <c r="I646" s="1"/>
      <c r="J646" s="2"/>
      <c r="K646" s="2"/>
      <c r="L646" s="2"/>
      <c r="M646" s="2"/>
      <c r="N646" s="2"/>
      <c r="O646" s="16"/>
    </row>
    <row r="647" spans="4:15" ht="14.25" customHeight="1" x14ac:dyDescent="0.3">
      <c r="D647" s="15"/>
      <c r="E647" s="15"/>
      <c r="F647" s="21"/>
      <c r="G647" s="1"/>
      <c r="H647" s="19"/>
      <c r="I647" s="1"/>
      <c r="J647" s="2"/>
      <c r="K647" s="2"/>
      <c r="L647" s="2"/>
      <c r="M647" s="2"/>
      <c r="N647" s="2"/>
      <c r="O647" s="16"/>
    </row>
    <row r="648" spans="4:15" ht="14.25" customHeight="1" x14ac:dyDescent="0.3">
      <c r="D648" s="15"/>
      <c r="E648" s="15"/>
      <c r="F648" s="21"/>
      <c r="G648" s="1"/>
      <c r="H648" s="19"/>
      <c r="I648" s="1"/>
      <c r="J648" s="2"/>
      <c r="K648" s="2"/>
      <c r="L648" s="2"/>
      <c r="M648" s="2"/>
      <c r="N648" s="2"/>
      <c r="O648" s="16"/>
    </row>
    <row r="649" spans="4:15" ht="14.25" customHeight="1" x14ac:dyDescent="0.3">
      <c r="D649" s="15"/>
      <c r="E649" s="15"/>
      <c r="F649" s="21"/>
      <c r="G649" s="1"/>
      <c r="H649" s="19"/>
      <c r="I649" s="1"/>
      <c r="J649" s="2"/>
      <c r="K649" s="2"/>
      <c r="L649" s="2"/>
      <c r="M649" s="2"/>
      <c r="N649" s="2"/>
      <c r="O649" s="16"/>
    </row>
    <row r="650" spans="4:15" ht="14.25" customHeight="1" x14ac:dyDescent="0.3">
      <c r="D650" s="15"/>
      <c r="E650" s="15"/>
      <c r="F650" s="21"/>
      <c r="G650" s="1"/>
      <c r="H650" s="19"/>
      <c r="I650" s="1"/>
      <c r="J650" s="2"/>
      <c r="K650" s="2"/>
      <c r="L650" s="2"/>
      <c r="M650" s="2"/>
      <c r="N650" s="2"/>
      <c r="O650" s="16"/>
    </row>
    <row r="651" spans="4:15" ht="14.25" customHeight="1" x14ac:dyDescent="0.3">
      <c r="D651" s="15"/>
      <c r="E651" s="15"/>
      <c r="F651" s="21"/>
      <c r="G651" s="1"/>
      <c r="H651" s="19"/>
      <c r="I651" s="1"/>
      <c r="J651" s="2"/>
      <c r="K651" s="2"/>
      <c r="L651" s="2"/>
      <c r="M651" s="2"/>
      <c r="N651" s="2"/>
      <c r="O651" s="16"/>
    </row>
    <row r="652" spans="4:15" ht="14.25" customHeight="1" x14ac:dyDescent="0.3">
      <c r="D652" s="15"/>
      <c r="E652" s="15"/>
      <c r="F652" s="21"/>
      <c r="G652" s="1"/>
      <c r="H652" s="19"/>
      <c r="I652" s="1"/>
      <c r="J652" s="2"/>
      <c r="K652" s="2"/>
      <c r="L652" s="2"/>
      <c r="M652" s="2"/>
      <c r="N652" s="2"/>
      <c r="O652" s="16"/>
    </row>
    <row r="653" spans="4:15" ht="14.25" customHeight="1" x14ac:dyDescent="0.3">
      <c r="D653" s="15"/>
      <c r="E653" s="15"/>
      <c r="F653" s="21"/>
      <c r="G653" s="1"/>
      <c r="H653" s="19"/>
      <c r="I653" s="1"/>
      <c r="J653" s="2"/>
      <c r="K653" s="2"/>
      <c r="L653" s="2"/>
      <c r="M653" s="2"/>
      <c r="N653" s="2"/>
      <c r="O653" s="16"/>
    </row>
    <row r="654" spans="4:15" ht="14.25" customHeight="1" x14ac:dyDescent="0.3">
      <c r="D654" s="15"/>
      <c r="E654" s="15"/>
      <c r="F654" s="21"/>
      <c r="G654" s="1"/>
      <c r="H654" s="19"/>
      <c r="I654" s="1"/>
      <c r="J654" s="2"/>
      <c r="K654" s="2"/>
      <c r="L654" s="2"/>
      <c r="M654" s="2"/>
      <c r="N654" s="2"/>
      <c r="O654" s="16"/>
    </row>
    <row r="655" spans="4:15" ht="14.25" customHeight="1" x14ac:dyDescent="0.3">
      <c r="D655" s="15"/>
      <c r="E655" s="15"/>
      <c r="F655" s="21"/>
      <c r="G655" s="1"/>
      <c r="H655" s="19"/>
      <c r="I655" s="1"/>
      <c r="J655" s="2"/>
      <c r="K655" s="2"/>
      <c r="L655" s="2"/>
      <c r="M655" s="2"/>
      <c r="N655" s="2"/>
      <c r="O655" s="16"/>
    </row>
    <row r="656" spans="4:15" ht="14.25" customHeight="1" x14ac:dyDescent="0.3">
      <c r="D656" s="15"/>
      <c r="E656" s="15"/>
      <c r="F656" s="21"/>
      <c r="G656" s="1"/>
      <c r="H656" s="19"/>
      <c r="I656" s="1"/>
      <c r="J656" s="2"/>
      <c r="K656" s="2"/>
      <c r="L656" s="2"/>
      <c r="M656" s="2"/>
      <c r="N656" s="2"/>
      <c r="O656" s="16"/>
    </row>
    <row r="657" spans="4:15" ht="14.25" customHeight="1" x14ac:dyDescent="0.3">
      <c r="D657" s="15"/>
      <c r="E657" s="15"/>
      <c r="F657" s="21"/>
      <c r="G657" s="1"/>
      <c r="H657" s="19"/>
      <c r="I657" s="1"/>
      <c r="J657" s="2"/>
      <c r="K657" s="2"/>
      <c r="L657" s="2"/>
      <c r="M657" s="2"/>
      <c r="N657" s="2"/>
      <c r="O657" s="16"/>
    </row>
    <row r="658" spans="4:15" ht="14.25" customHeight="1" x14ac:dyDescent="0.3">
      <c r="D658" s="15"/>
      <c r="E658" s="15"/>
      <c r="F658" s="21"/>
      <c r="G658" s="1"/>
      <c r="H658" s="19"/>
      <c r="I658" s="1"/>
      <c r="J658" s="2"/>
      <c r="K658" s="2"/>
      <c r="L658" s="2"/>
      <c r="M658" s="2"/>
      <c r="N658" s="2"/>
      <c r="O658" s="16"/>
    </row>
    <row r="659" spans="4:15" ht="14.25" customHeight="1" x14ac:dyDescent="0.3">
      <c r="D659" s="15"/>
      <c r="E659" s="15"/>
      <c r="F659" s="21"/>
      <c r="G659" s="1"/>
      <c r="H659" s="19"/>
      <c r="I659" s="1"/>
      <c r="J659" s="2"/>
      <c r="K659" s="2"/>
      <c r="L659" s="2"/>
      <c r="M659" s="2"/>
      <c r="N659" s="2"/>
      <c r="O659" s="16"/>
    </row>
    <row r="660" spans="4:15" ht="14.25" customHeight="1" x14ac:dyDescent="0.3">
      <c r="D660" s="15"/>
      <c r="E660" s="15"/>
      <c r="F660" s="21"/>
      <c r="G660" s="1"/>
      <c r="H660" s="19"/>
      <c r="I660" s="1"/>
      <c r="J660" s="2"/>
      <c r="K660" s="2"/>
      <c r="L660" s="2"/>
      <c r="M660" s="2"/>
      <c r="N660" s="2"/>
      <c r="O660" s="16"/>
    </row>
    <row r="661" spans="4:15" ht="14.25" customHeight="1" x14ac:dyDescent="0.3">
      <c r="D661" s="15"/>
      <c r="E661" s="15"/>
      <c r="F661" s="21"/>
      <c r="G661" s="1"/>
      <c r="H661" s="19"/>
      <c r="I661" s="1"/>
      <c r="J661" s="2"/>
      <c r="K661" s="2"/>
      <c r="L661" s="2"/>
      <c r="M661" s="2"/>
      <c r="N661" s="2"/>
      <c r="O661" s="16"/>
    </row>
    <row r="662" spans="4:15" ht="14.25" customHeight="1" x14ac:dyDescent="0.3">
      <c r="D662" s="15"/>
      <c r="E662" s="15"/>
      <c r="F662" s="21"/>
      <c r="G662" s="1"/>
      <c r="H662" s="19"/>
      <c r="I662" s="1"/>
      <c r="J662" s="2"/>
      <c r="K662" s="2"/>
      <c r="L662" s="2"/>
      <c r="M662" s="2"/>
      <c r="N662" s="2"/>
      <c r="O662" s="16"/>
    </row>
    <row r="663" spans="4:15" ht="14.25" customHeight="1" x14ac:dyDescent="0.3">
      <c r="D663" s="15"/>
      <c r="E663" s="15"/>
      <c r="F663" s="21"/>
      <c r="G663" s="1"/>
      <c r="H663" s="19"/>
      <c r="I663" s="1"/>
      <c r="J663" s="2"/>
      <c r="K663" s="2"/>
      <c r="L663" s="2"/>
      <c r="M663" s="2"/>
      <c r="N663" s="2"/>
      <c r="O663" s="16"/>
    </row>
    <row r="664" spans="4:15" ht="14.25" customHeight="1" x14ac:dyDescent="0.3">
      <c r="D664" s="15"/>
      <c r="E664" s="15"/>
      <c r="F664" s="21"/>
      <c r="G664" s="1"/>
      <c r="H664" s="19"/>
      <c r="I664" s="1"/>
      <c r="J664" s="2"/>
      <c r="K664" s="2"/>
      <c r="L664" s="2"/>
      <c r="M664" s="2"/>
      <c r="N664" s="2"/>
      <c r="O664" s="16"/>
    </row>
    <row r="665" spans="4:15" ht="14.25" customHeight="1" x14ac:dyDescent="0.3">
      <c r="D665" s="15"/>
      <c r="E665" s="15"/>
      <c r="F665" s="21"/>
      <c r="G665" s="1"/>
      <c r="H665" s="19"/>
      <c r="I665" s="1"/>
      <c r="J665" s="2"/>
      <c r="K665" s="2"/>
      <c r="L665" s="2"/>
      <c r="M665" s="2"/>
      <c r="N665" s="2"/>
      <c r="O665" s="16"/>
    </row>
    <row r="666" spans="4:15" ht="14.25" customHeight="1" x14ac:dyDescent="0.3">
      <c r="D666" s="15"/>
      <c r="E666" s="15"/>
      <c r="F666" s="21"/>
      <c r="G666" s="1"/>
      <c r="H666" s="19"/>
      <c r="I666" s="1"/>
      <c r="J666" s="2"/>
      <c r="K666" s="2"/>
      <c r="L666" s="2"/>
      <c r="M666" s="2"/>
      <c r="N666" s="2"/>
      <c r="O666" s="16"/>
    </row>
    <row r="667" spans="4:15" ht="14.25" customHeight="1" x14ac:dyDescent="0.3">
      <c r="D667" s="15"/>
      <c r="E667" s="15"/>
      <c r="F667" s="21"/>
      <c r="G667" s="1"/>
      <c r="H667" s="19"/>
      <c r="I667" s="1"/>
      <c r="J667" s="2"/>
      <c r="K667" s="2"/>
      <c r="L667" s="2"/>
      <c r="M667" s="2"/>
      <c r="N667" s="2"/>
      <c r="O667" s="16"/>
    </row>
    <row r="668" spans="4:15" ht="14.25" customHeight="1" x14ac:dyDescent="0.3">
      <c r="D668" s="15"/>
      <c r="E668" s="15"/>
      <c r="F668" s="21"/>
      <c r="G668" s="1"/>
      <c r="H668" s="19"/>
      <c r="I668" s="1"/>
      <c r="J668" s="2"/>
      <c r="K668" s="2"/>
      <c r="L668" s="2"/>
      <c r="M668" s="2"/>
      <c r="N668" s="2"/>
      <c r="O668" s="16"/>
    </row>
    <row r="669" spans="4:15" ht="14.25" customHeight="1" x14ac:dyDescent="0.3">
      <c r="D669" s="15"/>
      <c r="E669" s="15"/>
      <c r="F669" s="21"/>
      <c r="G669" s="1"/>
      <c r="H669" s="19"/>
      <c r="I669" s="1"/>
      <c r="J669" s="2"/>
      <c r="K669" s="2"/>
      <c r="L669" s="2"/>
      <c r="M669" s="2"/>
      <c r="N669" s="2"/>
      <c r="O669" s="16"/>
    </row>
    <row r="670" spans="4:15" ht="14.25" customHeight="1" x14ac:dyDescent="0.3">
      <c r="D670" s="15"/>
      <c r="E670" s="15"/>
      <c r="F670" s="21"/>
      <c r="G670" s="1"/>
      <c r="H670" s="19"/>
      <c r="I670" s="1"/>
      <c r="J670" s="2"/>
      <c r="K670" s="2"/>
      <c r="L670" s="2"/>
      <c r="M670" s="2"/>
      <c r="N670" s="2"/>
      <c r="O670" s="16"/>
    </row>
    <row r="671" spans="4:15" ht="14.25" customHeight="1" x14ac:dyDescent="0.3">
      <c r="D671" s="15"/>
      <c r="E671" s="15"/>
      <c r="F671" s="21"/>
      <c r="G671" s="1"/>
      <c r="H671" s="19"/>
      <c r="I671" s="1"/>
      <c r="J671" s="2"/>
      <c r="K671" s="2"/>
      <c r="L671" s="2"/>
      <c r="M671" s="2"/>
      <c r="N671" s="2"/>
      <c r="O671" s="16"/>
    </row>
    <row r="672" spans="4:15" ht="14.25" customHeight="1" x14ac:dyDescent="0.3">
      <c r="D672" s="15"/>
      <c r="E672" s="15"/>
      <c r="F672" s="21"/>
      <c r="G672" s="1"/>
      <c r="H672" s="19"/>
      <c r="I672" s="1"/>
      <c r="J672" s="2"/>
      <c r="K672" s="2"/>
      <c r="L672" s="2"/>
      <c r="M672" s="2"/>
      <c r="N672" s="2"/>
      <c r="O672" s="16"/>
    </row>
    <row r="673" spans="4:15" ht="14.25" customHeight="1" x14ac:dyDescent="0.3">
      <c r="D673" s="15"/>
      <c r="E673" s="15"/>
      <c r="F673" s="21"/>
      <c r="G673" s="1"/>
      <c r="H673" s="19"/>
      <c r="I673" s="1"/>
      <c r="J673" s="2"/>
      <c r="K673" s="2"/>
      <c r="L673" s="2"/>
      <c r="M673" s="2"/>
      <c r="N673" s="2"/>
      <c r="O673" s="16"/>
    </row>
    <row r="674" spans="4:15" ht="14.25" customHeight="1" x14ac:dyDescent="0.3">
      <c r="D674" s="15"/>
      <c r="E674" s="15"/>
      <c r="F674" s="21"/>
      <c r="G674" s="1"/>
      <c r="H674" s="19"/>
      <c r="I674" s="1"/>
      <c r="J674" s="2"/>
      <c r="K674" s="2"/>
      <c r="L674" s="2"/>
      <c r="M674" s="2"/>
      <c r="N674" s="2"/>
      <c r="O674" s="16"/>
    </row>
    <row r="675" spans="4:15" ht="14.25" customHeight="1" x14ac:dyDescent="0.3">
      <c r="D675" s="15"/>
      <c r="E675" s="15"/>
      <c r="F675" s="21"/>
      <c r="G675" s="1"/>
      <c r="H675" s="19"/>
      <c r="I675" s="1"/>
      <c r="J675" s="2"/>
      <c r="K675" s="2"/>
      <c r="L675" s="2"/>
      <c r="M675" s="2"/>
      <c r="N675" s="2"/>
      <c r="O675" s="16"/>
    </row>
    <row r="676" spans="4:15" ht="14.25" customHeight="1" x14ac:dyDescent="0.3">
      <c r="D676" s="15"/>
      <c r="E676" s="15"/>
      <c r="F676" s="21"/>
      <c r="G676" s="1"/>
      <c r="H676" s="19"/>
      <c r="I676" s="1"/>
      <c r="J676" s="2"/>
      <c r="K676" s="2"/>
      <c r="L676" s="2"/>
      <c r="M676" s="2"/>
      <c r="N676" s="2"/>
      <c r="O676" s="16"/>
    </row>
    <row r="677" spans="4:15" ht="14.25" customHeight="1" x14ac:dyDescent="0.3">
      <c r="D677" s="15"/>
      <c r="E677" s="15"/>
      <c r="F677" s="21"/>
      <c r="G677" s="1"/>
      <c r="H677" s="19"/>
      <c r="I677" s="1"/>
      <c r="J677" s="2"/>
      <c r="K677" s="2"/>
      <c r="L677" s="2"/>
      <c r="M677" s="2"/>
      <c r="N677" s="2"/>
      <c r="O677" s="16"/>
    </row>
    <row r="678" spans="4:15" ht="14.25" customHeight="1" x14ac:dyDescent="0.3">
      <c r="D678" s="15"/>
      <c r="E678" s="15"/>
      <c r="F678" s="21"/>
      <c r="G678" s="1"/>
      <c r="H678" s="19"/>
      <c r="I678" s="1"/>
      <c r="J678" s="2"/>
      <c r="K678" s="2"/>
      <c r="L678" s="2"/>
      <c r="M678" s="2"/>
      <c r="N678" s="2"/>
      <c r="O678" s="16"/>
    </row>
    <row r="679" spans="4:15" ht="14.25" customHeight="1" x14ac:dyDescent="0.3">
      <c r="D679" s="15"/>
      <c r="E679" s="15"/>
      <c r="F679" s="21"/>
      <c r="G679" s="1"/>
      <c r="H679" s="19"/>
      <c r="I679" s="1"/>
      <c r="J679" s="2"/>
      <c r="K679" s="2"/>
      <c r="L679" s="2"/>
      <c r="M679" s="2"/>
      <c r="N679" s="2"/>
      <c r="O679" s="16"/>
    </row>
    <row r="680" spans="4:15" ht="14.25" customHeight="1" x14ac:dyDescent="0.3">
      <c r="D680" s="15"/>
      <c r="E680" s="15"/>
      <c r="F680" s="21"/>
      <c r="G680" s="1"/>
      <c r="H680" s="19"/>
      <c r="I680" s="1"/>
      <c r="J680" s="2"/>
      <c r="K680" s="2"/>
      <c r="L680" s="2"/>
      <c r="M680" s="2"/>
      <c r="N680" s="2"/>
      <c r="O680" s="16"/>
    </row>
    <row r="681" spans="4:15" ht="14.25" customHeight="1" x14ac:dyDescent="0.3">
      <c r="D681" s="15"/>
      <c r="E681" s="15"/>
      <c r="F681" s="21"/>
      <c r="G681" s="1"/>
      <c r="H681" s="19"/>
      <c r="I681" s="1"/>
      <c r="J681" s="2"/>
      <c r="K681" s="2"/>
      <c r="L681" s="2"/>
      <c r="M681" s="2"/>
      <c r="N681" s="2"/>
      <c r="O681" s="16"/>
    </row>
    <row r="682" spans="4:15" ht="14.25" customHeight="1" x14ac:dyDescent="0.3">
      <c r="D682" s="15"/>
      <c r="E682" s="15"/>
      <c r="F682" s="21"/>
      <c r="G682" s="1"/>
      <c r="H682" s="19"/>
      <c r="I682" s="1"/>
      <c r="J682" s="2"/>
      <c r="K682" s="2"/>
      <c r="L682" s="2"/>
      <c r="M682" s="2"/>
      <c r="N682" s="2"/>
      <c r="O682" s="16"/>
    </row>
    <row r="683" spans="4:15" ht="14.25" customHeight="1" x14ac:dyDescent="0.3">
      <c r="D683" s="15"/>
      <c r="E683" s="15"/>
      <c r="F683" s="21"/>
      <c r="G683" s="1"/>
      <c r="H683" s="19"/>
      <c r="I683" s="1"/>
      <c r="J683" s="2"/>
      <c r="K683" s="2"/>
      <c r="L683" s="2"/>
      <c r="M683" s="2"/>
      <c r="N683" s="2"/>
      <c r="O683" s="16"/>
    </row>
    <row r="684" spans="4:15" ht="14.25" customHeight="1" x14ac:dyDescent="0.3">
      <c r="D684" s="15"/>
      <c r="E684" s="15"/>
      <c r="F684" s="21"/>
      <c r="G684" s="1"/>
      <c r="H684" s="19"/>
      <c r="I684" s="1"/>
      <c r="J684" s="2"/>
      <c r="K684" s="2"/>
      <c r="L684" s="2"/>
      <c r="M684" s="2"/>
      <c r="N684" s="2"/>
      <c r="O684" s="16"/>
    </row>
    <row r="685" spans="4:15" ht="14.25" customHeight="1" x14ac:dyDescent="0.3">
      <c r="D685" s="15"/>
      <c r="E685" s="15"/>
      <c r="F685" s="21"/>
      <c r="G685" s="1"/>
      <c r="H685" s="19"/>
      <c r="I685" s="1"/>
      <c r="J685" s="2"/>
      <c r="K685" s="2"/>
      <c r="L685" s="2"/>
      <c r="M685" s="2"/>
      <c r="N685" s="2"/>
      <c r="O685" s="16"/>
    </row>
    <row r="686" spans="4:15" ht="14.25" customHeight="1" x14ac:dyDescent="0.3">
      <c r="D686" s="15"/>
      <c r="E686" s="15"/>
      <c r="F686" s="21"/>
      <c r="G686" s="1"/>
      <c r="H686" s="19"/>
      <c r="I686" s="1"/>
      <c r="J686" s="2"/>
      <c r="K686" s="2"/>
      <c r="L686" s="2"/>
      <c r="M686" s="2"/>
      <c r="N686" s="2"/>
      <c r="O686" s="16"/>
    </row>
    <row r="687" spans="4:15" ht="14.25" customHeight="1" x14ac:dyDescent="0.3">
      <c r="D687" s="15"/>
      <c r="E687" s="15"/>
      <c r="F687" s="21"/>
      <c r="G687" s="1"/>
      <c r="H687" s="19"/>
      <c r="I687" s="1"/>
      <c r="J687" s="2"/>
      <c r="K687" s="2"/>
      <c r="L687" s="2"/>
      <c r="M687" s="2"/>
      <c r="N687" s="2"/>
      <c r="O687" s="16"/>
    </row>
    <row r="688" spans="4:15" ht="14.25" customHeight="1" x14ac:dyDescent="0.3">
      <c r="D688" s="15"/>
      <c r="E688" s="15"/>
      <c r="F688" s="21"/>
      <c r="G688" s="1"/>
      <c r="H688" s="19"/>
      <c r="I688" s="1"/>
      <c r="J688" s="2"/>
      <c r="K688" s="2"/>
      <c r="L688" s="2"/>
      <c r="M688" s="2"/>
      <c r="N688" s="2"/>
      <c r="O688" s="16"/>
    </row>
    <row r="689" spans="4:15" ht="14.25" customHeight="1" x14ac:dyDescent="0.3">
      <c r="D689" s="15"/>
      <c r="E689" s="15"/>
      <c r="F689" s="21"/>
      <c r="G689" s="1"/>
      <c r="H689" s="19"/>
      <c r="I689" s="1"/>
      <c r="J689" s="2"/>
      <c r="K689" s="2"/>
      <c r="L689" s="2"/>
      <c r="M689" s="2"/>
      <c r="N689" s="2"/>
      <c r="O689" s="16"/>
    </row>
    <row r="690" spans="4:15" ht="14.25" customHeight="1" x14ac:dyDescent="0.3">
      <c r="D690" s="15"/>
      <c r="E690" s="15"/>
      <c r="F690" s="21"/>
      <c r="G690" s="1"/>
      <c r="H690" s="19"/>
      <c r="I690" s="1"/>
      <c r="J690" s="2"/>
      <c r="K690" s="2"/>
      <c r="L690" s="2"/>
      <c r="M690" s="2"/>
      <c r="N690" s="2"/>
      <c r="O690" s="16"/>
    </row>
    <row r="691" spans="4:15" ht="14.25" customHeight="1" x14ac:dyDescent="0.3">
      <c r="D691" s="15"/>
      <c r="E691" s="15"/>
      <c r="F691" s="21"/>
      <c r="G691" s="1"/>
      <c r="H691" s="19"/>
      <c r="I691" s="1"/>
      <c r="J691" s="2"/>
      <c r="K691" s="2"/>
      <c r="L691" s="2"/>
      <c r="M691" s="2"/>
      <c r="N691" s="2"/>
      <c r="O691" s="16"/>
    </row>
    <row r="692" spans="4:15" ht="14.25" customHeight="1" x14ac:dyDescent="0.3">
      <c r="D692" s="15"/>
      <c r="E692" s="15"/>
      <c r="F692" s="21"/>
      <c r="G692" s="1"/>
      <c r="H692" s="19"/>
      <c r="I692" s="1"/>
      <c r="J692" s="2"/>
      <c r="K692" s="2"/>
      <c r="L692" s="2"/>
      <c r="M692" s="2"/>
      <c r="N692" s="2"/>
      <c r="O692" s="16"/>
    </row>
    <row r="693" spans="4:15" ht="14.25" customHeight="1" x14ac:dyDescent="0.3">
      <c r="D693" s="15"/>
      <c r="E693" s="15"/>
      <c r="F693" s="21"/>
      <c r="G693" s="1"/>
      <c r="H693" s="19"/>
      <c r="I693" s="1"/>
      <c r="J693" s="2"/>
      <c r="K693" s="2"/>
      <c r="L693" s="2"/>
      <c r="M693" s="2"/>
      <c r="N693" s="2"/>
      <c r="O693" s="16"/>
    </row>
    <row r="694" spans="4:15" ht="14.25" customHeight="1" x14ac:dyDescent="0.3">
      <c r="D694" s="15"/>
      <c r="E694" s="15"/>
      <c r="F694" s="21"/>
      <c r="G694" s="1"/>
      <c r="H694" s="19"/>
      <c r="I694" s="1"/>
      <c r="J694" s="2"/>
      <c r="K694" s="2"/>
      <c r="L694" s="2"/>
      <c r="M694" s="2"/>
      <c r="N694" s="2"/>
      <c r="O694" s="16"/>
    </row>
    <row r="695" spans="4:15" ht="14.25" customHeight="1" x14ac:dyDescent="0.3">
      <c r="D695" s="15"/>
      <c r="E695" s="15"/>
      <c r="F695" s="21"/>
      <c r="G695" s="1"/>
      <c r="H695" s="19"/>
      <c r="I695" s="1"/>
      <c r="J695" s="2"/>
      <c r="K695" s="2"/>
      <c r="L695" s="2"/>
      <c r="M695" s="2"/>
      <c r="N695" s="2"/>
      <c r="O695" s="16"/>
    </row>
    <row r="696" spans="4:15" ht="14.25" customHeight="1" x14ac:dyDescent="0.3">
      <c r="D696" s="15"/>
      <c r="E696" s="15"/>
      <c r="F696" s="21"/>
      <c r="G696" s="1"/>
      <c r="H696" s="19"/>
      <c r="I696" s="1"/>
      <c r="J696" s="2"/>
      <c r="K696" s="2"/>
      <c r="L696" s="2"/>
      <c r="M696" s="2"/>
      <c r="N696" s="2"/>
      <c r="O696" s="16"/>
    </row>
    <row r="697" spans="4:15" ht="14.25" customHeight="1" x14ac:dyDescent="0.3">
      <c r="D697" s="15"/>
      <c r="E697" s="15"/>
      <c r="F697" s="21"/>
      <c r="G697" s="1"/>
      <c r="H697" s="19"/>
      <c r="I697" s="1"/>
      <c r="J697" s="2"/>
      <c r="K697" s="2"/>
      <c r="L697" s="2"/>
      <c r="M697" s="2"/>
      <c r="N697" s="2"/>
      <c r="O697" s="16"/>
    </row>
    <row r="698" spans="4:15" ht="14.25" customHeight="1" x14ac:dyDescent="0.3">
      <c r="D698" s="15"/>
      <c r="E698" s="15"/>
      <c r="F698" s="21"/>
      <c r="G698" s="1"/>
      <c r="H698" s="19"/>
      <c r="I698" s="1"/>
      <c r="J698" s="2"/>
      <c r="K698" s="2"/>
      <c r="L698" s="2"/>
      <c r="M698" s="2"/>
      <c r="N698" s="2"/>
      <c r="O698" s="16"/>
    </row>
    <row r="699" spans="4:15" ht="14.25" customHeight="1" x14ac:dyDescent="0.3">
      <c r="D699" s="15"/>
      <c r="E699" s="15"/>
      <c r="F699" s="21"/>
      <c r="G699" s="1"/>
      <c r="H699" s="19"/>
      <c r="I699" s="1"/>
      <c r="J699" s="2"/>
      <c r="K699" s="2"/>
      <c r="L699" s="2"/>
      <c r="M699" s="2"/>
      <c r="N699" s="2"/>
      <c r="O699" s="16"/>
    </row>
    <row r="700" spans="4:15" ht="14.25" customHeight="1" x14ac:dyDescent="0.3">
      <c r="D700" s="15"/>
      <c r="E700" s="15"/>
      <c r="F700" s="21"/>
      <c r="G700" s="1"/>
      <c r="H700" s="19"/>
      <c r="I700" s="1"/>
      <c r="J700" s="2"/>
      <c r="K700" s="2"/>
      <c r="L700" s="2"/>
      <c r="M700" s="2"/>
      <c r="N700" s="2"/>
      <c r="O700" s="16"/>
    </row>
    <row r="701" spans="4:15" ht="14.25" customHeight="1" x14ac:dyDescent="0.3">
      <c r="D701" s="15"/>
      <c r="E701" s="15"/>
      <c r="F701" s="21"/>
      <c r="G701" s="1"/>
      <c r="H701" s="19"/>
      <c r="I701" s="1"/>
      <c r="J701" s="2"/>
      <c r="K701" s="2"/>
      <c r="L701" s="2"/>
      <c r="M701" s="2"/>
      <c r="N701" s="2"/>
      <c r="O701" s="16"/>
    </row>
    <row r="702" spans="4:15" ht="14.25" customHeight="1" x14ac:dyDescent="0.3">
      <c r="D702" s="15"/>
      <c r="E702" s="15"/>
      <c r="F702" s="21"/>
      <c r="G702" s="1"/>
      <c r="H702" s="19"/>
      <c r="I702" s="1"/>
      <c r="J702" s="2"/>
      <c r="K702" s="2"/>
      <c r="L702" s="2"/>
      <c r="M702" s="2"/>
      <c r="N702" s="2"/>
      <c r="O702" s="16"/>
    </row>
    <row r="703" spans="4:15" ht="14.25" customHeight="1" x14ac:dyDescent="0.3">
      <c r="D703" s="15"/>
      <c r="E703" s="15"/>
      <c r="F703" s="21"/>
      <c r="G703" s="1"/>
      <c r="H703" s="19"/>
      <c r="I703" s="1"/>
      <c r="J703" s="2"/>
      <c r="K703" s="2"/>
      <c r="L703" s="2"/>
      <c r="M703" s="2"/>
      <c r="N703" s="2"/>
      <c r="O703" s="16"/>
    </row>
    <row r="704" spans="4:15" ht="14.25" customHeight="1" x14ac:dyDescent="0.3">
      <c r="D704" s="15"/>
      <c r="E704" s="15"/>
      <c r="F704" s="21"/>
      <c r="G704" s="1"/>
      <c r="H704" s="19"/>
      <c r="I704" s="1"/>
      <c r="J704" s="2"/>
      <c r="K704" s="2"/>
      <c r="L704" s="2"/>
      <c r="M704" s="2"/>
      <c r="N704" s="2"/>
      <c r="O704" s="16"/>
    </row>
    <row r="705" spans="4:15" ht="14.25" customHeight="1" x14ac:dyDescent="0.3">
      <c r="D705" s="15"/>
      <c r="E705" s="15"/>
      <c r="F705" s="21"/>
      <c r="G705" s="1"/>
      <c r="H705" s="19"/>
      <c r="I705" s="1"/>
      <c r="J705" s="2"/>
      <c r="K705" s="2"/>
      <c r="L705" s="2"/>
      <c r="M705" s="2"/>
      <c r="N705" s="2"/>
      <c r="O705" s="16"/>
    </row>
    <row r="706" spans="4:15" ht="14.25" customHeight="1" x14ac:dyDescent="0.3">
      <c r="D706" s="15"/>
      <c r="E706" s="15"/>
      <c r="F706" s="21"/>
      <c r="G706" s="1"/>
      <c r="H706" s="19"/>
      <c r="I706" s="1"/>
      <c r="J706" s="2"/>
      <c r="K706" s="2"/>
      <c r="L706" s="2"/>
      <c r="M706" s="2"/>
      <c r="N706" s="2"/>
      <c r="O706" s="16"/>
    </row>
    <row r="707" spans="4:15" ht="14.25" customHeight="1" x14ac:dyDescent="0.3">
      <c r="D707" s="15"/>
      <c r="E707" s="15"/>
      <c r="F707" s="21"/>
      <c r="G707" s="1"/>
      <c r="H707" s="19"/>
      <c r="I707" s="1"/>
      <c r="J707" s="2"/>
      <c r="K707" s="2"/>
      <c r="L707" s="2"/>
      <c r="M707" s="2"/>
      <c r="N707" s="2"/>
      <c r="O707" s="16"/>
    </row>
    <row r="708" spans="4:15" ht="14.25" customHeight="1" x14ac:dyDescent="0.3">
      <c r="D708" s="15"/>
      <c r="E708" s="15"/>
      <c r="F708" s="21"/>
      <c r="G708" s="1"/>
      <c r="H708" s="19"/>
      <c r="I708" s="1"/>
      <c r="J708" s="2"/>
      <c r="K708" s="2"/>
      <c r="L708" s="2"/>
      <c r="M708" s="2"/>
      <c r="N708" s="2"/>
      <c r="O708" s="16"/>
    </row>
    <row r="709" spans="4:15" ht="14.25" customHeight="1" x14ac:dyDescent="0.3">
      <c r="D709" s="15"/>
      <c r="E709" s="15"/>
      <c r="F709" s="21"/>
      <c r="G709" s="1"/>
      <c r="H709" s="19"/>
      <c r="I709" s="1"/>
      <c r="J709" s="2"/>
      <c r="K709" s="2"/>
      <c r="L709" s="2"/>
      <c r="M709" s="2"/>
      <c r="N709" s="2"/>
      <c r="O709" s="16"/>
    </row>
    <row r="710" spans="4:15" ht="14.25" customHeight="1" x14ac:dyDescent="0.3">
      <c r="D710" s="15"/>
      <c r="E710" s="15"/>
      <c r="F710" s="21"/>
      <c r="G710" s="1"/>
      <c r="H710" s="19"/>
      <c r="I710" s="1"/>
      <c r="J710" s="2"/>
      <c r="K710" s="2"/>
      <c r="L710" s="2"/>
      <c r="M710" s="2"/>
      <c r="N710" s="2"/>
      <c r="O710" s="16"/>
    </row>
    <row r="711" spans="4:15" ht="14.25" customHeight="1" x14ac:dyDescent="0.3">
      <c r="D711" s="15"/>
      <c r="E711" s="15"/>
      <c r="F711" s="21"/>
      <c r="G711" s="1"/>
      <c r="H711" s="19"/>
      <c r="I711" s="1"/>
      <c r="J711" s="2"/>
      <c r="K711" s="2"/>
      <c r="L711" s="2"/>
      <c r="M711" s="2"/>
      <c r="N711" s="2"/>
      <c r="O711" s="16"/>
    </row>
    <row r="712" spans="4:15" ht="14.25" customHeight="1" x14ac:dyDescent="0.3">
      <c r="D712" s="15"/>
      <c r="E712" s="15"/>
      <c r="F712" s="21"/>
      <c r="G712" s="1"/>
      <c r="H712" s="19"/>
      <c r="I712" s="1"/>
      <c r="J712" s="2"/>
      <c r="K712" s="2"/>
      <c r="L712" s="2"/>
      <c r="M712" s="2"/>
      <c r="N712" s="2"/>
      <c r="O712" s="16"/>
    </row>
    <row r="713" spans="4:15" ht="14.25" customHeight="1" x14ac:dyDescent="0.3">
      <c r="D713" s="15"/>
      <c r="E713" s="15"/>
      <c r="F713" s="21"/>
      <c r="G713" s="1"/>
      <c r="H713" s="19"/>
      <c r="I713" s="1"/>
      <c r="J713" s="2"/>
      <c r="K713" s="2"/>
      <c r="L713" s="2"/>
      <c r="M713" s="2"/>
      <c r="N713" s="2"/>
      <c r="O713" s="16"/>
    </row>
    <row r="714" spans="4:15" ht="14.25" customHeight="1" x14ac:dyDescent="0.3">
      <c r="D714" s="15"/>
      <c r="E714" s="15"/>
      <c r="F714" s="21"/>
      <c r="G714" s="1"/>
      <c r="H714" s="19"/>
      <c r="I714" s="1"/>
      <c r="J714" s="2"/>
      <c r="K714" s="2"/>
      <c r="L714" s="2"/>
      <c r="M714" s="2"/>
      <c r="N714" s="2"/>
      <c r="O714" s="16"/>
    </row>
    <row r="715" spans="4:15" ht="14.25" customHeight="1" x14ac:dyDescent="0.3">
      <c r="D715" s="15"/>
      <c r="E715" s="15"/>
      <c r="F715" s="21"/>
      <c r="G715" s="1"/>
      <c r="H715" s="19"/>
      <c r="I715" s="1"/>
      <c r="J715" s="2"/>
      <c r="K715" s="2"/>
      <c r="L715" s="2"/>
      <c r="M715" s="2"/>
      <c r="N715" s="2"/>
      <c r="O715" s="16"/>
    </row>
    <row r="716" spans="4:15" ht="14.25" customHeight="1" x14ac:dyDescent="0.3">
      <c r="D716" s="15"/>
      <c r="E716" s="15"/>
      <c r="F716" s="21"/>
      <c r="G716" s="1"/>
      <c r="H716" s="19"/>
      <c r="I716" s="1"/>
      <c r="J716" s="2"/>
      <c r="K716" s="2"/>
      <c r="L716" s="2"/>
      <c r="M716" s="2"/>
      <c r="N716" s="2"/>
      <c r="O716" s="16"/>
    </row>
    <row r="717" spans="4:15" ht="14.25" customHeight="1" x14ac:dyDescent="0.3">
      <c r="D717" s="15"/>
      <c r="E717" s="15"/>
      <c r="F717" s="21"/>
      <c r="G717" s="1"/>
      <c r="H717" s="19"/>
      <c r="I717" s="1"/>
      <c r="J717" s="2"/>
      <c r="K717" s="2"/>
      <c r="L717" s="2"/>
      <c r="M717" s="2"/>
      <c r="N717" s="2"/>
      <c r="O717" s="16"/>
    </row>
    <row r="718" spans="4:15" ht="14.25" customHeight="1" x14ac:dyDescent="0.3">
      <c r="D718" s="15"/>
      <c r="E718" s="15"/>
      <c r="F718" s="21"/>
      <c r="G718" s="1"/>
      <c r="H718" s="19"/>
      <c r="I718" s="1"/>
      <c r="J718" s="2"/>
      <c r="K718" s="2"/>
      <c r="L718" s="2"/>
      <c r="M718" s="2"/>
      <c r="N718" s="2"/>
      <c r="O718" s="16"/>
    </row>
    <row r="719" spans="4:15" ht="14.25" customHeight="1" x14ac:dyDescent="0.3">
      <c r="D719" s="15"/>
      <c r="E719" s="15"/>
      <c r="F719" s="21"/>
      <c r="G719" s="1"/>
      <c r="H719" s="19"/>
      <c r="I719" s="1"/>
      <c r="J719" s="2"/>
      <c r="K719" s="2"/>
      <c r="L719" s="2"/>
      <c r="M719" s="2"/>
      <c r="N719" s="2"/>
      <c r="O719" s="16"/>
    </row>
    <row r="720" spans="4:15" ht="14.25" customHeight="1" x14ac:dyDescent="0.3">
      <c r="D720" s="15"/>
      <c r="E720" s="15"/>
      <c r="F720" s="21"/>
      <c r="G720" s="1"/>
      <c r="H720" s="19"/>
      <c r="I720" s="1"/>
      <c r="J720" s="2"/>
      <c r="K720" s="2"/>
      <c r="L720" s="2"/>
      <c r="M720" s="2"/>
      <c r="N720" s="2"/>
      <c r="O720" s="16"/>
    </row>
    <row r="721" spans="4:15" ht="14.25" customHeight="1" x14ac:dyDescent="0.3">
      <c r="D721" s="15"/>
      <c r="E721" s="15"/>
      <c r="F721" s="21"/>
      <c r="G721" s="1"/>
      <c r="H721" s="19"/>
      <c r="I721" s="1"/>
      <c r="J721" s="2"/>
      <c r="K721" s="2"/>
      <c r="L721" s="2"/>
      <c r="M721" s="2"/>
      <c r="N721" s="2"/>
      <c r="O721" s="16"/>
    </row>
    <row r="722" spans="4:15" ht="14.25" customHeight="1" x14ac:dyDescent="0.3">
      <c r="D722" s="15"/>
      <c r="E722" s="15"/>
      <c r="F722" s="21"/>
      <c r="G722" s="1"/>
      <c r="H722" s="19"/>
      <c r="I722" s="1"/>
      <c r="J722" s="2"/>
      <c r="K722" s="2"/>
      <c r="L722" s="2"/>
      <c r="M722" s="2"/>
      <c r="N722" s="2"/>
      <c r="O722" s="16"/>
    </row>
    <row r="723" spans="4:15" ht="14.25" customHeight="1" x14ac:dyDescent="0.3">
      <c r="D723" s="15"/>
      <c r="E723" s="15"/>
      <c r="F723" s="21"/>
      <c r="G723" s="1"/>
      <c r="H723" s="19"/>
      <c r="I723" s="1"/>
      <c r="J723" s="2"/>
      <c r="K723" s="2"/>
      <c r="L723" s="2"/>
      <c r="M723" s="2"/>
      <c r="N723" s="2"/>
      <c r="O723" s="16"/>
    </row>
    <row r="724" spans="4:15" ht="14.25" customHeight="1" x14ac:dyDescent="0.3">
      <c r="D724" s="15"/>
      <c r="E724" s="15"/>
      <c r="F724" s="21"/>
      <c r="G724" s="1"/>
      <c r="H724" s="19"/>
      <c r="I724" s="1"/>
      <c r="J724" s="2"/>
      <c r="K724" s="2"/>
      <c r="L724" s="2"/>
      <c r="M724" s="2"/>
      <c r="N724" s="2"/>
      <c r="O724" s="16"/>
    </row>
    <row r="725" spans="4:15" ht="14.25" customHeight="1" x14ac:dyDescent="0.3">
      <c r="D725" s="15"/>
      <c r="E725" s="15"/>
      <c r="F725" s="21"/>
      <c r="G725" s="1"/>
      <c r="H725" s="19"/>
      <c r="I725" s="1"/>
      <c r="J725" s="2"/>
      <c r="K725" s="2"/>
      <c r="L725" s="2"/>
      <c r="M725" s="2"/>
      <c r="N725" s="2"/>
      <c r="O725" s="16"/>
    </row>
    <row r="726" spans="4:15" ht="14.25" customHeight="1" x14ac:dyDescent="0.3">
      <c r="D726" s="15"/>
      <c r="E726" s="15"/>
      <c r="F726" s="21"/>
      <c r="G726" s="1"/>
      <c r="H726" s="19"/>
      <c r="I726" s="1"/>
      <c r="J726" s="2"/>
      <c r="K726" s="2"/>
      <c r="L726" s="2"/>
      <c r="M726" s="2"/>
      <c r="N726" s="2"/>
      <c r="O726" s="16"/>
    </row>
    <row r="727" spans="4:15" ht="14.25" customHeight="1" x14ac:dyDescent="0.3">
      <c r="D727" s="15"/>
      <c r="E727" s="15"/>
      <c r="F727" s="21"/>
      <c r="G727" s="1"/>
      <c r="H727" s="19"/>
      <c r="I727" s="1"/>
      <c r="J727" s="2"/>
      <c r="K727" s="2"/>
      <c r="L727" s="2"/>
      <c r="M727" s="2"/>
      <c r="N727" s="2"/>
      <c r="O727" s="16"/>
    </row>
    <row r="728" spans="4:15" ht="14.25" customHeight="1" x14ac:dyDescent="0.3">
      <c r="D728" s="15"/>
      <c r="E728" s="15"/>
      <c r="F728" s="21"/>
      <c r="G728" s="1"/>
      <c r="H728" s="19"/>
      <c r="I728" s="1"/>
      <c r="J728" s="2"/>
      <c r="K728" s="2"/>
      <c r="L728" s="2"/>
      <c r="M728" s="2"/>
      <c r="N728" s="2"/>
      <c r="O728" s="16"/>
    </row>
    <row r="729" spans="4:15" ht="14.25" customHeight="1" x14ac:dyDescent="0.3">
      <c r="D729" s="15"/>
      <c r="E729" s="15"/>
      <c r="F729" s="21"/>
      <c r="G729" s="1"/>
      <c r="H729" s="19"/>
      <c r="I729" s="1"/>
      <c r="J729" s="2"/>
      <c r="K729" s="2"/>
      <c r="L729" s="2"/>
      <c r="M729" s="2"/>
      <c r="N729" s="2"/>
      <c r="O729" s="16"/>
    </row>
    <row r="730" spans="4:15" ht="14.25" customHeight="1" x14ac:dyDescent="0.3">
      <c r="D730" s="15"/>
      <c r="E730" s="15"/>
      <c r="F730" s="21"/>
      <c r="G730" s="1"/>
      <c r="H730" s="19"/>
      <c r="I730" s="1"/>
      <c r="J730" s="2"/>
      <c r="K730" s="2"/>
      <c r="L730" s="2"/>
      <c r="M730" s="2"/>
      <c r="N730" s="2"/>
      <c r="O730" s="16"/>
    </row>
    <row r="731" spans="4:15" ht="14.25" customHeight="1" x14ac:dyDescent="0.3">
      <c r="D731" s="15"/>
      <c r="E731" s="15"/>
      <c r="F731" s="21"/>
      <c r="G731" s="1"/>
      <c r="H731" s="19"/>
      <c r="I731" s="1"/>
      <c r="J731" s="2"/>
      <c r="K731" s="2"/>
      <c r="L731" s="2"/>
      <c r="M731" s="2"/>
      <c r="N731" s="2"/>
      <c r="O731" s="16"/>
    </row>
    <row r="732" spans="4:15" ht="14.25" customHeight="1" x14ac:dyDescent="0.3">
      <c r="D732" s="15"/>
      <c r="E732" s="15"/>
      <c r="F732" s="21"/>
      <c r="G732" s="1"/>
      <c r="H732" s="19"/>
      <c r="I732" s="1"/>
      <c r="J732" s="2"/>
      <c r="K732" s="2"/>
      <c r="L732" s="2"/>
      <c r="M732" s="2"/>
      <c r="N732" s="2"/>
      <c r="O732" s="16"/>
    </row>
    <row r="733" spans="4:15" ht="14.25" customHeight="1" x14ac:dyDescent="0.3">
      <c r="D733" s="15"/>
      <c r="E733" s="15"/>
      <c r="F733" s="21"/>
      <c r="G733" s="1"/>
      <c r="H733" s="19"/>
      <c r="I733" s="1"/>
      <c r="J733" s="2"/>
      <c r="K733" s="2"/>
      <c r="L733" s="2"/>
      <c r="M733" s="2"/>
      <c r="N733" s="2"/>
      <c r="O733" s="16"/>
    </row>
    <row r="734" spans="4:15" ht="14.25" customHeight="1" x14ac:dyDescent="0.3">
      <c r="D734" s="15"/>
      <c r="E734" s="15"/>
      <c r="F734" s="21"/>
      <c r="G734" s="1"/>
      <c r="H734" s="19"/>
      <c r="I734" s="1"/>
      <c r="J734" s="2"/>
      <c r="K734" s="2"/>
      <c r="L734" s="2"/>
      <c r="M734" s="2"/>
      <c r="N734" s="2"/>
      <c r="O734" s="16"/>
    </row>
    <row r="735" spans="4:15" ht="14.25" customHeight="1" x14ac:dyDescent="0.3">
      <c r="D735" s="15"/>
      <c r="E735" s="15"/>
      <c r="F735" s="21"/>
      <c r="G735" s="1"/>
      <c r="H735" s="19"/>
      <c r="I735" s="1"/>
      <c r="J735" s="2"/>
      <c r="K735" s="2"/>
      <c r="L735" s="2"/>
      <c r="M735" s="2"/>
      <c r="N735" s="2"/>
      <c r="O735" s="16"/>
    </row>
    <row r="736" spans="4:15" ht="14.25" customHeight="1" x14ac:dyDescent="0.3">
      <c r="D736" s="15"/>
      <c r="E736" s="15"/>
      <c r="F736" s="21"/>
      <c r="G736" s="1"/>
      <c r="H736" s="19"/>
      <c r="I736" s="1"/>
      <c r="J736" s="2"/>
      <c r="K736" s="2"/>
      <c r="L736" s="2"/>
      <c r="M736" s="2"/>
      <c r="N736" s="2"/>
      <c r="O736" s="16"/>
    </row>
    <row r="737" spans="4:15" ht="14.25" customHeight="1" x14ac:dyDescent="0.3">
      <c r="D737" s="15"/>
      <c r="E737" s="15"/>
      <c r="F737" s="21"/>
      <c r="G737" s="1"/>
      <c r="H737" s="19"/>
      <c r="I737" s="1"/>
      <c r="J737" s="2"/>
      <c r="K737" s="2"/>
      <c r="L737" s="2"/>
      <c r="M737" s="2"/>
      <c r="N737" s="2"/>
      <c r="O737" s="16"/>
    </row>
    <row r="738" spans="4:15" ht="14.25" customHeight="1" x14ac:dyDescent="0.3">
      <c r="D738" s="15"/>
      <c r="E738" s="15"/>
      <c r="F738" s="21"/>
      <c r="G738" s="1"/>
      <c r="H738" s="19"/>
      <c r="I738" s="1"/>
      <c r="J738" s="2"/>
      <c r="K738" s="2"/>
      <c r="L738" s="2"/>
      <c r="M738" s="2"/>
      <c r="N738" s="2"/>
      <c r="O738" s="16"/>
    </row>
    <row r="739" spans="4:15" ht="14.25" customHeight="1" x14ac:dyDescent="0.3">
      <c r="D739" s="15"/>
      <c r="E739" s="15"/>
      <c r="F739" s="21"/>
      <c r="G739" s="1"/>
      <c r="H739" s="19"/>
      <c r="I739" s="1"/>
      <c r="J739" s="2"/>
      <c r="K739" s="2"/>
      <c r="L739" s="2"/>
      <c r="M739" s="2"/>
      <c r="N739" s="2"/>
      <c r="O739" s="16"/>
    </row>
    <row r="740" spans="4:15" ht="14.25" customHeight="1" x14ac:dyDescent="0.3">
      <c r="D740" s="15"/>
      <c r="E740" s="15"/>
      <c r="F740" s="21"/>
      <c r="G740" s="1"/>
      <c r="H740" s="19"/>
      <c r="I740" s="1"/>
      <c r="J740" s="2"/>
      <c r="K740" s="2"/>
      <c r="L740" s="2"/>
      <c r="M740" s="2"/>
      <c r="N740" s="2"/>
      <c r="O740" s="16"/>
    </row>
    <row r="741" spans="4:15" ht="14.25" customHeight="1" x14ac:dyDescent="0.3">
      <c r="D741" s="15"/>
      <c r="E741" s="15"/>
      <c r="F741" s="21"/>
      <c r="G741" s="1"/>
      <c r="H741" s="19"/>
      <c r="I741" s="1"/>
      <c r="J741" s="2"/>
      <c r="K741" s="2"/>
      <c r="L741" s="2"/>
      <c r="M741" s="2"/>
      <c r="N741" s="2"/>
      <c r="O741" s="16"/>
    </row>
    <row r="742" spans="4:15" ht="14.25" customHeight="1" x14ac:dyDescent="0.3">
      <c r="D742" s="15"/>
      <c r="E742" s="15"/>
      <c r="F742" s="21"/>
      <c r="G742" s="1"/>
      <c r="H742" s="19"/>
      <c r="I742" s="1"/>
      <c r="J742" s="2"/>
      <c r="K742" s="2"/>
      <c r="L742" s="2"/>
      <c r="M742" s="2"/>
      <c r="N742" s="2"/>
      <c r="O742" s="16"/>
    </row>
    <row r="743" spans="4:15" ht="14.25" customHeight="1" x14ac:dyDescent="0.3">
      <c r="D743" s="15"/>
      <c r="E743" s="15"/>
      <c r="F743" s="21"/>
      <c r="G743" s="1"/>
      <c r="H743" s="19"/>
      <c r="I743" s="1"/>
      <c r="J743" s="2"/>
      <c r="K743" s="2"/>
      <c r="L743" s="2"/>
      <c r="M743" s="2"/>
      <c r="N743" s="2"/>
      <c r="O743" s="16"/>
    </row>
    <row r="744" spans="4:15" ht="14.25" customHeight="1" x14ac:dyDescent="0.3">
      <c r="D744" s="15"/>
      <c r="E744" s="15"/>
      <c r="F744" s="21"/>
      <c r="G744" s="1"/>
      <c r="H744" s="19"/>
      <c r="I744" s="1"/>
      <c r="J744" s="2"/>
      <c r="K744" s="2"/>
      <c r="L744" s="2"/>
      <c r="M744" s="2"/>
      <c r="N744" s="2"/>
      <c r="O744" s="16"/>
    </row>
    <row r="745" spans="4:15" ht="14.25" customHeight="1" x14ac:dyDescent="0.3">
      <c r="D745" s="15"/>
      <c r="E745" s="15"/>
      <c r="F745" s="21"/>
      <c r="G745" s="1"/>
      <c r="H745" s="19"/>
      <c r="I745" s="1"/>
      <c r="J745" s="2"/>
      <c r="K745" s="2"/>
      <c r="L745" s="2"/>
      <c r="M745" s="2"/>
      <c r="N745" s="2"/>
      <c r="O745" s="16"/>
    </row>
    <row r="746" spans="4:15" ht="14.25" customHeight="1" x14ac:dyDescent="0.3">
      <c r="D746" s="15"/>
      <c r="E746" s="15"/>
      <c r="F746" s="21"/>
      <c r="G746" s="1"/>
      <c r="H746" s="19"/>
      <c r="I746" s="1"/>
      <c r="J746" s="2"/>
      <c r="K746" s="2"/>
      <c r="L746" s="2"/>
      <c r="M746" s="2"/>
      <c r="N746" s="2"/>
      <c r="O746" s="16"/>
    </row>
    <row r="747" spans="4:15" ht="14.25" customHeight="1" x14ac:dyDescent="0.3">
      <c r="D747" s="15"/>
      <c r="E747" s="15"/>
      <c r="F747" s="21"/>
      <c r="G747" s="1"/>
      <c r="H747" s="19"/>
      <c r="I747" s="1"/>
      <c r="J747" s="2"/>
      <c r="K747" s="2"/>
      <c r="L747" s="2"/>
      <c r="M747" s="2"/>
      <c r="N747" s="2"/>
      <c r="O747" s="16"/>
    </row>
    <row r="748" spans="4:15" ht="14.25" customHeight="1" x14ac:dyDescent="0.3">
      <c r="D748" s="15"/>
      <c r="E748" s="15"/>
      <c r="F748" s="21"/>
      <c r="G748" s="1"/>
      <c r="H748" s="19"/>
      <c r="I748" s="1"/>
      <c r="J748" s="2"/>
      <c r="K748" s="2"/>
      <c r="L748" s="2"/>
      <c r="M748" s="2"/>
      <c r="N748" s="2"/>
      <c r="O748" s="16"/>
    </row>
    <row r="749" spans="4:15" ht="14.25" customHeight="1" x14ac:dyDescent="0.3">
      <c r="D749" s="15"/>
      <c r="E749" s="15"/>
      <c r="F749" s="21"/>
      <c r="G749" s="1"/>
      <c r="H749" s="19"/>
      <c r="I749" s="1"/>
      <c r="J749" s="2"/>
      <c r="K749" s="2"/>
      <c r="L749" s="2"/>
      <c r="M749" s="2"/>
      <c r="N749" s="2"/>
      <c r="O749" s="16"/>
    </row>
    <row r="750" spans="4:15" ht="14.25" customHeight="1" x14ac:dyDescent="0.3">
      <c r="D750" s="15"/>
      <c r="E750" s="15"/>
      <c r="F750" s="21"/>
      <c r="G750" s="1"/>
      <c r="H750" s="19"/>
      <c r="I750" s="1"/>
      <c r="J750" s="2"/>
      <c r="K750" s="2"/>
      <c r="L750" s="2"/>
      <c r="M750" s="2"/>
      <c r="N750" s="2"/>
      <c r="O750" s="16"/>
    </row>
    <row r="751" spans="4:15" ht="14.25" customHeight="1" x14ac:dyDescent="0.3">
      <c r="D751" s="15"/>
      <c r="E751" s="15"/>
      <c r="F751" s="21"/>
      <c r="G751" s="1"/>
      <c r="H751" s="19"/>
      <c r="I751" s="1"/>
      <c r="J751" s="2"/>
      <c r="K751" s="2"/>
      <c r="L751" s="2"/>
      <c r="M751" s="2"/>
      <c r="N751" s="2"/>
      <c r="O751" s="16"/>
    </row>
    <row r="752" spans="4:15" ht="14.25" customHeight="1" x14ac:dyDescent="0.3">
      <c r="D752" s="15"/>
      <c r="E752" s="15"/>
      <c r="F752" s="21"/>
      <c r="G752" s="1"/>
      <c r="H752" s="19"/>
      <c r="I752" s="1"/>
      <c r="J752" s="2"/>
      <c r="K752" s="2"/>
      <c r="L752" s="2"/>
      <c r="M752" s="2"/>
      <c r="N752" s="2"/>
      <c r="O752" s="16"/>
    </row>
    <row r="753" spans="4:15" ht="14.25" customHeight="1" x14ac:dyDescent="0.3">
      <c r="D753" s="15"/>
      <c r="E753" s="15"/>
      <c r="F753" s="21"/>
      <c r="G753" s="1"/>
      <c r="H753" s="19"/>
      <c r="I753" s="1"/>
      <c r="J753" s="2"/>
      <c r="K753" s="2"/>
      <c r="L753" s="2"/>
      <c r="M753" s="2"/>
      <c r="N753" s="2"/>
      <c r="O753" s="16"/>
    </row>
    <row r="754" spans="4:15" ht="14.25" customHeight="1" x14ac:dyDescent="0.3">
      <c r="D754" s="15"/>
      <c r="E754" s="15"/>
      <c r="F754" s="21"/>
      <c r="G754" s="1"/>
      <c r="H754" s="19"/>
      <c r="I754" s="1"/>
      <c r="J754" s="2"/>
      <c r="K754" s="2"/>
      <c r="L754" s="2"/>
      <c r="M754" s="2"/>
      <c r="N754" s="2"/>
      <c r="O754" s="16"/>
    </row>
    <row r="755" spans="4:15" ht="14.25" customHeight="1" x14ac:dyDescent="0.3">
      <c r="D755" s="15"/>
      <c r="E755" s="15"/>
      <c r="F755" s="21"/>
      <c r="G755" s="1"/>
      <c r="H755" s="19"/>
      <c r="I755" s="1"/>
      <c r="J755" s="2"/>
      <c r="K755" s="2"/>
      <c r="L755" s="2"/>
      <c r="M755" s="2"/>
      <c r="N755" s="2"/>
      <c r="O755" s="16"/>
    </row>
    <row r="756" spans="4:15" ht="14.25" customHeight="1" x14ac:dyDescent="0.3">
      <c r="D756" s="15"/>
      <c r="E756" s="15"/>
      <c r="F756" s="21"/>
      <c r="G756" s="1"/>
      <c r="H756" s="19"/>
      <c r="I756" s="1"/>
      <c r="J756" s="2"/>
      <c r="K756" s="2"/>
      <c r="L756" s="2"/>
      <c r="M756" s="2"/>
      <c r="N756" s="2"/>
      <c r="O756" s="16"/>
    </row>
    <row r="757" spans="4:15" ht="14.25" customHeight="1" x14ac:dyDescent="0.3">
      <c r="D757" s="15"/>
      <c r="E757" s="15"/>
      <c r="F757" s="21"/>
      <c r="G757" s="1"/>
      <c r="H757" s="19"/>
      <c r="I757" s="1"/>
      <c r="J757" s="2"/>
      <c r="K757" s="2"/>
      <c r="L757" s="2"/>
      <c r="M757" s="2"/>
      <c r="N757" s="2"/>
      <c r="O757" s="16"/>
    </row>
    <row r="758" spans="4:15" ht="14.25" customHeight="1" x14ac:dyDescent="0.3">
      <c r="D758" s="15"/>
      <c r="E758" s="15"/>
      <c r="F758" s="21"/>
      <c r="G758" s="1"/>
      <c r="H758" s="19"/>
      <c r="I758" s="1"/>
      <c r="J758" s="2"/>
      <c r="K758" s="2"/>
      <c r="L758" s="2"/>
      <c r="M758" s="2"/>
      <c r="N758" s="2"/>
      <c r="O758" s="16"/>
    </row>
    <row r="759" spans="4:15" ht="14.25" customHeight="1" x14ac:dyDescent="0.3">
      <c r="D759" s="15"/>
      <c r="E759" s="15"/>
      <c r="F759" s="21"/>
      <c r="G759" s="1"/>
      <c r="H759" s="19"/>
      <c r="I759" s="1"/>
      <c r="J759" s="2"/>
      <c r="K759" s="2"/>
      <c r="L759" s="2"/>
      <c r="M759" s="2"/>
      <c r="N759" s="2"/>
      <c r="O759" s="16"/>
    </row>
    <row r="760" spans="4:15" ht="14.25" customHeight="1" x14ac:dyDescent="0.3">
      <c r="D760" s="15"/>
      <c r="E760" s="15"/>
      <c r="F760" s="21"/>
      <c r="G760" s="1"/>
      <c r="H760" s="19"/>
      <c r="I760" s="1"/>
      <c r="J760" s="2"/>
      <c r="K760" s="2"/>
      <c r="L760" s="2"/>
      <c r="M760" s="2"/>
      <c r="N760" s="2"/>
      <c r="O760" s="16"/>
    </row>
    <row r="761" spans="4:15" ht="14.25" customHeight="1" x14ac:dyDescent="0.3">
      <c r="D761" s="15"/>
      <c r="E761" s="15"/>
      <c r="F761" s="21"/>
      <c r="G761" s="1"/>
      <c r="H761" s="19"/>
      <c r="I761" s="1"/>
      <c r="J761" s="2"/>
      <c r="K761" s="2"/>
      <c r="L761" s="2"/>
      <c r="M761" s="2"/>
      <c r="N761" s="2"/>
      <c r="O761" s="16"/>
    </row>
    <row r="762" spans="4:15" ht="14.25" customHeight="1" x14ac:dyDescent="0.3">
      <c r="D762" s="15"/>
      <c r="E762" s="15"/>
      <c r="F762" s="21"/>
      <c r="G762" s="1"/>
      <c r="H762" s="19"/>
      <c r="I762" s="1"/>
      <c r="J762" s="2"/>
      <c r="K762" s="2"/>
      <c r="L762" s="2"/>
      <c r="M762" s="2"/>
      <c r="N762" s="2"/>
      <c r="O762" s="16"/>
    </row>
    <row r="763" spans="4:15" ht="14.25" customHeight="1" x14ac:dyDescent="0.3">
      <c r="D763" s="15"/>
      <c r="E763" s="15"/>
      <c r="F763" s="21"/>
      <c r="G763" s="1"/>
      <c r="H763" s="19"/>
      <c r="I763" s="1"/>
      <c r="J763" s="2"/>
      <c r="K763" s="2"/>
      <c r="L763" s="2"/>
      <c r="M763" s="2"/>
      <c r="N763" s="2"/>
      <c r="O763" s="16"/>
    </row>
    <row r="764" spans="4:15" ht="14.25" customHeight="1" x14ac:dyDescent="0.3">
      <c r="D764" s="15"/>
      <c r="E764" s="15"/>
      <c r="F764" s="21"/>
      <c r="G764" s="1"/>
      <c r="H764" s="19"/>
      <c r="I764" s="1"/>
      <c r="J764" s="2"/>
      <c r="K764" s="2"/>
      <c r="L764" s="2"/>
      <c r="M764" s="2"/>
      <c r="N764" s="2"/>
      <c r="O764" s="16"/>
    </row>
    <row r="765" spans="4:15" ht="14.25" customHeight="1" x14ac:dyDescent="0.3">
      <c r="D765" s="15"/>
      <c r="E765" s="15"/>
      <c r="F765" s="21"/>
      <c r="G765" s="1"/>
      <c r="H765" s="19"/>
      <c r="I765" s="1"/>
      <c r="J765" s="2"/>
      <c r="K765" s="2"/>
      <c r="L765" s="2"/>
      <c r="M765" s="2"/>
      <c r="N765" s="2"/>
      <c r="O765" s="16"/>
    </row>
    <row r="766" spans="4:15" ht="14.25" customHeight="1" x14ac:dyDescent="0.3">
      <c r="D766" s="15"/>
      <c r="E766" s="15"/>
      <c r="F766" s="21"/>
      <c r="G766" s="1"/>
      <c r="H766" s="19"/>
      <c r="I766" s="1"/>
      <c r="J766" s="2"/>
      <c r="K766" s="2"/>
      <c r="L766" s="2"/>
      <c r="M766" s="2"/>
      <c r="N766" s="2"/>
      <c r="O766" s="16"/>
    </row>
    <row r="767" spans="4:15" ht="14.25" customHeight="1" x14ac:dyDescent="0.3">
      <c r="D767" s="15"/>
      <c r="E767" s="15"/>
      <c r="F767" s="21"/>
      <c r="G767" s="1"/>
      <c r="H767" s="19"/>
      <c r="I767" s="1"/>
      <c r="J767" s="2"/>
      <c r="K767" s="2"/>
      <c r="L767" s="2"/>
      <c r="M767" s="2"/>
      <c r="N767" s="2"/>
      <c r="O767" s="16"/>
    </row>
    <row r="768" spans="4:15" ht="14.25" customHeight="1" x14ac:dyDescent="0.3">
      <c r="D768" s="15"/>
      <c r="E768" s="15"/>
      <c r="F768" s="21"/>
      <c r="G768" s="1"/>
      <c r="H768" s="19"/>
      <c r="I768" s="1"/>
      <c r="J768" s="2"/>
      <c r="K768" s="2"/>
      <c r="L768" s="2"/>
      <c r="M768" s="2"/>
      <c r="N768" s="2"/>
      <c r="O768" s="16"/>
    </row>
    <row r="769" spans="4:15" ht="14.25" customHeight="1" x14ac:dyDescent="0.3">
      <c r="D769" s="15"/>
      <c r="E769" s="15"/>
      <c r="F769" s="21"/>
      <c r="G769" s="1"/>
      <c r="H769" s="19"/>
      <c r="I769" s="1"/>
      <c r="J769" s="2"/>
      <c r="K769" s="2"/>
      <c r="L769" s="2"/>
      <c r="M769" s="2"/>
      <c r="N769" s="2"/>
      <c r="O769" s="16"/>
    </row>
    <row r="770" spans="4:15" ht="14.25" customHeight="1" x14ac:dyDescent="0.3">
      <c r="D770" s="15"/>
      <c r="E770" s="15"/>
      <c r="F770" s="21"/>
      <c r="G770" s="1"/>
      <c r="H770" s="19"/>
      <c r="I770" s="1"/>
      <c r="J770" s="2"/>
      <c r="K770" s="2"/>
      <c r="L770" s="2"/>
      <c r="M770" s="2"/>
      <c r="N770" s="2"/>
      <c r="O770" s="16"/>
    </row>
    <row r="771" spans="4:15" ht="14.25" customHeight="1" x14ac:dyDescent="0.3">
      <c r="D771" s="15"/>
      <c r="E771" s="15"/>
      <c r="F771" s="21"/>
      <c r="G771" s="1"/>
      <c r="H771" s="19"/>
      <c r="I771" s="1"/>
      <c r="J771" s="2"/>
      <c r="K771" s="2"/>
      <c r="L771" s="2"/>
      <c r="M771" s="2"/>
      <c r="N771" s="2"/>
      <c r="O771" s="16"/>
    </row>
    <row r="772" spans="4:15" ht="14.25" customHeight="1" x14ac:dyDescent="0.3">
      <c r="D772" s="15"/>
      <c r="E772" s="15"/>
      <c r="F772" s="21"/>
      <c r="G772" s="1"/>
      <c r="H772" s="19"/>
      <c r="I772" s="1"/>
      <c r="J772" s="2"/>
      <c r="K772" s="2"/>
      <c r="L772" s="2"/>
      <c r="M772" s="2"/>
      <c r="N772" s="2"/>
      <c r="O772" s="16"/>
    </row>
    <row r="773" spans="4:15" ht="14.25" customHeight="1" x14ac:dyDescent="0.3">
      <c r="D773" s="15"/>
      <c r="E773" s="15"/>
      <c r="F773" s="21"/>
      <c r="G773" s="1"/>
      <c r="H773" s="19"/>
      <c r="I773" s="1"/>
      <c r="J773" s="2"/>
      <c r="K773" s="2"/>
      <c r="L773" s="2"/>
      <c r="M773" s="2"/>
      <c r="N773" s="2"/>
      <c r="O773" s="16"/>
    </row>
    <row r="774" spans="4:15" ht="14.25" customHeight="1" x14ac:dyDescent="0.3">
      <c r="D774" s="15"/>
      <c r="E774" s="15"/>
      <c r="F774" s="21"/>
      <c r="G774" s="1"/>
      <c r="H774" s="19"/>
      <c r="I774" s="1"/>
      <c r="J774" s="2"/>
      <c r="K774" s="2"/>
      <c r="L774" s="2"/>
      <c r="M774" s="2"/>
      <c r="N774" s="2"/>
      <c r="O774" s="16"/>
    </row>
    <row r="775" spans="4:15" ht="14.25" customHeight="1" x14ac:dyDescent="0.3">
      <c r="D775" s="15"/>
      <c r="E775" s="15"/>
      <c r="F775" s="21"/>
      <c r="G775" s="1"/>
      <c r="H775" s="19"/>
      <c r="I775" s="1"/>
      <c r="J775" s="2"/>
      <c r="K775" s="2"/>
      <c r="L775" s="2"/>
      <c r="M775" s="2"/>
      <c r="N775" s="2"/>
      <c r="O775" s="16"/>
    </row>
    <row r="776" spans="4:15" ht="14.25" customHeight="1" x14ac:dyDescent="0.3">
      <c r="D776" s="15"/>
      <c r="E776" s="15"/>
      <c r="F776" s="21"/>
      <c r="G776" s="1"/>
      <c r="H776" s="19"/>
      <c r="I776" s="1"/>
      <c r="J776" s="2"/>
      <c r="K776" s="2"/>
      <c r="L776" s="2"/>
      <c r="M776" s="2"/>
      <c r="N776" s="2"/>
      <c r="O776" s="16"/>
    </row>
    <row r="777" spans="4:15" ht="14.25" customHeight="1" x14ac:dyDescent="0.3">
      <c r="D777" s="15"/>
      <c r="E777" s="15"/>
      <c r="F777" s="21"/>
      <c r="G777" s="1"/>
      <c r="H777" s="19"/>
      <c r="I777" s="1"/>
      <c r="J777" s="2"/>
      <c r="K777" s="2"/>
      <c r="L777" s="2"/>
      <c r="M777" s="2"/>
      <c r="N777" s="2"/>
      <c r="O777" s="16"/>
    </row>
    <row r="778" spans="4:15" ht="14.25" customHeight="1" x14ac:dyDescent="0.3">
      <c r="D778" s="15"/>
      <c r="E778" s="15"/>
      <c r="F778" s="21"/>
      <c r="G778" s="1"/>
      <c r="H778" s="19"/>
      <c r="I778" s="1"/>
      <c r="J778" s="2"/>
      <c r="K778" s="2"/>
      <c r="L778" s="2"/>
      <c r="M778" s="2"/>
      <c r="N778" s="2"/>
      <c r="O778" s="16"/>
    </row>
    <row r="779" spans="4:15" ht="14.25" customHeight="1" x14ac:dyDescent="0.3">
      <c r="D779" s="15"/>
      <c r="E779" s="15"/>
      <c r="F779" s="21"/>
      <c r="G779" s="1"/>
      <c r="H779" s="19"/>
      <c r="I779" s="1"/>
      <c r="J779" s="2"/>
      <c r="K779" s="2"/>
      <c r="L779" s="2"/>
      <c r="M779" s="2"/>
      <c r="N779" s="2"/>
      <c r="O779" s="16"/>
    </row>
    <row r="780" spans="4:15" ht="14.25" customHeight="1" x14ac:dyDescent="0.3">
      <c r="D780" s="15"/>
      <c r="E780" s="15"/>
      <c r="F780" s="21"/>
      <c r="G780" s="1"/>
      <c r="H780" s="19"/>
      <c r="I780" s="1"/>
      <c r="J780" s="2"/>
      <c r="K780" s="2"/>
      <c r="L780" s="2"/>
      <c r="M780" s="2"/>
      <c r="N780" s="2"/>
      <c r="O780" s="16"/>
    </row>
    <row r="781" spans="4:15" ht="14.25" customHeight="1" x14ac:dyDescent="0.3">
      <c r="D781" s="15"/>
      <c r="E781" s="15"/>
      <c r="F781" s="21"/>
      <c r="G781" s="1"/>
      <c r="H781" s="19"/>
      <c r="I781" s="1"/>
      <c r="J781" s="2"/>
      <c r="K781" s="2"/>
      <c r="L781" s="2"/>
      <c r="M781" s="2"/>
      <c r="N781" s="2"/>
      <c r="O781" s="16"/>
    </row>
    <row r="782" spans="4:15" ht="14.25" customHeight="1" x14ac:dyDescent="0.3">
      <c r="D782" s="15"/>
      <c r="E782" s="15"/>
      <c r="F782" s="21"/>
      <c r="G782" s="1"/>
      <c r="H782" s="19"/>
      <c r="I782" s="1"/>
      <c r="J782" s="2"/>
      <c r="K782" s="2"/>
      <c r="L782" s="2"/>
      <c r="M782" s="2"/>
      <c r="N782" s="2"/>
      <c r="O782" s="16"/>
    </row>
    <row r="783" spans="4:15" ht="14.25" customHeight="1" x14ac:dyDescent="0.3">
      <c r="D783" s="15"/>
      <c r="E783" s="15"/>
      <c r="F783" s="21"/>
      <c r="G783" s="1"/>
      <c r="H783" s="19"/>
      <c r="I783" s="1"/>
      <c r="J783" s="2"/>
      <c r="K783" s="2"/>
      <c r="L783" s="2"/>
      <c r="M783" s="2"/>
      <c r="N783" s="2"/>
      <c r="O783" s="16"/>
    </row>
    <row r="784" spans="4:15" ht="14.25" customHeight="1" x14ac:dyDescent="0.3">
      <c r="D784" s="15"/>
      <c r="E784" s="15"/>
      <c r="F784" s="21"/>
      <c r="G784" s="1"/>
      <c r="H784" s="19"/>
      <c r="I784" s="1"/>
      <c r="J784" s="2"/>
      <c r="K784" s="2"/>
      <c r="L784" s="2"/>
      <c r="M784" s="2"/>
      <c r="N784" s="2"/>
      <c r="O784" s="16"/>
    </row>
    <row r="785" spans="4:15" ht="14.25" customHeight="1" x14ac:dyDescent="0.3">
      <c r="D785" s="15"/>
      <c r="E785" s="15"/>
      <c r="F785" s="21"/>
      <c r="G785" s="1"/>
      <c r="H785" s="19"/>
      <c r="I785" s="1"/>
      <c r="J785" s="2"/>
      <c r="K785" s="2"/>
      <c r="L785" s="2"/>
      <c r="M785" s="2"/>
      <c r="N785" s="2"/>
      <c r="O785" s="16"/>
    </row>
    <row r="786" spans="4:15" ht="14.25" customHeight="1" x14ac:dyDescent="0.3">
      <c r="D786" s="15"/>
      <c r="E786" s="15"/>
      <c r="F786" s="21"/>
      <c r="G786" s="1"/>
      <c r="H786" s="19"/>
      <c r="I786" s="1"/>
      <c r="J786" s="2"/>
      <c r="K786" s="2"/>
      <c r="L786" s="2"/>
      <c r="M786" s="2"/>
      <c r="N786" s="2"/>
      <c r="O786" s="16"/>
    </row>
    <row r="787" spans="4:15" ht="14.25" customHeight="1" x14ac:dyDescent="0.3">
      <c r="D787" s="15"/>
      <c r="E787" s="15"/>
      <c r="F787" s="21"/>
      <c r="G787" s="1"/>
      <c r="H787" s="19"/>
      <c r="I787" s="1"/>
      <c r="J787" s="2"/>
      <c r="K787" s="2"/>
      <c r="L787" s="2"/>
      <c r="M787" s="2"/>
      <c r="N787" s="2"/>
      <c r="O787" s="16"/>
    </row>
    <row r="788" spans="4:15" ht="14.25" customHeight="1" x14ac:dyDescent="0.3">
      <c r="D788" s="15"/>
      <c r="E788" s="15"/>
      <c r="F788" s="21"/>
      <c r="G788" s="1"/>
      <c r="H788" s="19"/>
      <c r="I788" s="1"/>
      <c r="J788" s="2"/>
      <c r="K788" s="2"/>
      <c r="L788" s="2"/>
      <c r="M788" s="2"/>
      <c r="N788" s="2"/>
      <c r="O788" s="16"/>
    </row>
    <row r="789" spans="4:15" ht="14.25" customHeight="1" x14ac:dyDescent="0.3">
      <c r="D789" s="15"/>
      <c r="E789" s="15"/>
      <c r="F789" s="21"/>
      <c r="G789" s="1"/>
      <c r="H789" s="19"/>
      <c r="I789" s="1"/>
      <c r="J789" s="2"/>
      <c r="K789" s="2"/>
      <c r="L789" s="2"/>
      <c r="M789" s="2"/>
      <c r="N789" s="2"/>
      <c r="O789" s="16"/>
    </row>
    <row r="790" spans="4:15" ht="14.25" customHeight="1" x14ac:dyDescent="0.3">
      <c r="D790" s="15"/>
      <c r="E790" s="15"/>
      <c r="F790" s="21"/>
      <c r="G790" s="1"/>
      <c r="H790" s="19"/>
      <c r="I790" s="1"/>
      <c r="J790" s="2"/>
      <c r="K790" s="2"/>
      <c r="L790" s="2"/>
      <c r="M790" s="2"/>
      <c r="N790" s="2"/>
      <c r="O790" s="16"/>
    </row>
    <row r="791" spans="4:15" ht="14.25" customHeight="1" x14ac:dyDescent="0.3">
      <c r="D791" s="15"/>
      <c r="E791" s="15"/>
      <c r="F791" s="21"/>
      <c r="G791" s="1"/>
      <c r="H791" s="19"/>
      <c r="I791" s="1"/>
      <c r="J791" s="2"/>
      <c r="K791" s="2"/>
      <c r="L791" s="2"/>
      <c r="M791" s="2"/>
      <c r="N791" s="2"/>
      <c r="O791" s="16"/>
    </row>
    <row r="792" spans="4:15" ht="14.25" customHeight="1" x14ac:dyDescent="0.3">
      <c r="D792" s="15"/>
      <c r="E792" s="15"/>
      <c r="F792" s="21"/>
      <c r="G792" s="1"/>
      <c r="H792" s="19"/>
      <c r="I792" s="1"/>
      <c r="J792" s="2"/>
      <c r="K792" s="2"/>
      <c r="L792" s="2"/>
      <c r="M792" s="2"/>
      <c r="N792" s="2"/>
      <c r="O792" s="16"/>
    </row>
    <row r="793" spans="4:15" ht="14.25" customHeight="1" x14ac:dyDescent="0.3">
      <c r="D793" s="15"/>
      <c r="E793" s="15"/>
      <c r="F793" s="21"/>
      <c r="G793" s="1"/>
      <c r="H793" s="19"/>
      <c r="I793" s="1"/>
      <c r="J793" s="2"/>
      <c r="K793" s="2"/>
      <c r="L793" s="2"/>
      <c r="M793" s="2"/>
      <c r="N793" s="2"/>
      <c r="O793" s="16"/>
    </row>
    <row r="794" spans="4:15" ht="14.25" customHeight="1" x14ac:dyDescent="0.3">
      <c r="D794" s="15"/>
      <c r="E794" s="15"/>
      <c r="F794" s="21"/>
      <c r="G794" s="1"/>
      <c r="H794" s="19"/>
      <c r="I794" s="1"/>
      <c r="J794" s="2"/>
      <c r="K794" s="2"/>
      <c r="L794" s="2"/>
      <c r="M794" s="2"/>
      <c r="N794" s="2"/>
      <c r="O794" s="16"/>
    </row>
    <row r="795" spans="4:15" ht="14.25" customHeight="1" x14ac:dyDescent="0.3">
      <c r="D795" s="15"/>
      <c r="E795" s="15"/>
      <c r="F795" s="21"/>
      <c r="G795" s="1"/>
      <c r="H795" s="19"/>
      <c r="I795" s="1"/>
      <c r="J795" s="2"/>
      <c r="K795" s="2"/>
      <c r="L795" s="2"/>
      <c r="M795" s="2"/>
      <c r="N795" s="2"/>
      <c r="O795" s="16"/>
    </row>
    <row r="796" spans="4:15" ht="14.25" customHeight="1" x14ac:dyDescent="0.3">
      <c r="D796" s="15"/>
      <c r="E796" s="15"/>
      <c r="F796" s="21"/>
      <c r="G796" s="1"/>
      <c r="H796" s="19"/>
      <c r="I796" s="1"/>
      <c r="J796" s="2"/>
      <c r="K796" s="2"/>
      <c r="L796" s="2"/>
      <c r="M796" s="2"/>
      <c r="N796" s="2"/>
      <c r="O796" s="16"/>
    </row>
    <row r="797" spans="4:15" ht="14.25" customHeight="1" x14ac:dyDescent="0.3">
      <c r="D797" s="15"/>
      <c r="E797" s="15"/>
      <c r="F797" s="21"/>
      <c r="G797" s="1"/>
      <c r="H797" s="19"/>
      <c r="I797" s="1"/>
      <c r="J797" s="2"/>
      <c r="K797" s="2"/>
      <c r="L797" s="2"/>
      <c r="M797" s="2"/>
      <c r="N797" s="2"/>
      <c r="O797" s="16"/>
    </row>
    <row r="798" spans="4:15" ht="14.25" customHeight="1" x14ac:dyDescent="0.3">
      <c r="D798" s="15"/>
      <c r="E798" s="15"/>
      <c r="F798" s="21"/>
      <c r="G798" s="1"/>
      <c r="H798" s="19"/>
      <c r="I798" s="1"/>
      <c r="J798" s="2"/>
      <c r="K798" s="2"/>
      <c r="L798" s="2"/>
      <c r="M798" s="2"/>
      <c r="N798" s="2"/>
      <c r="O798" s="16"/>
    </row>
    <row r="799" spans="4:15" ht="14.25" customHeight="1" x14ac:dyDescent="0.3">
      <c r="D799" s="15"/>
      <c r="E799" s="15"/>
      <c r="F799" s="21"/>
      <c r="G799" s="1"/>
      <c r="H799" s="19"/>
      <c r="I799" s="1"/>
      <c r="J799" s="2"/>
      <c r="K799" s="2"/>
      <c r="L799" s="2"/>
      <c r="M799" s="2"/>
      <c r="N799" s="2"/>
      <c r="O799" s="16"/>
    </row>
    <row r="800" spans="4:15" ht="14.25" customHeight="1" x14ac:dyDescent="0.3">
      <c r="D800" s="15"/>
      <c r="E800" s="15"/>
      <c r="F800" s="21"/>
      <c r="G800" s="1"/>
      <c r="H800" s="19"/>
      <c r="I800" s="1"/>
      <c r="J800" s="2"/>
      <c r="K800" s="2"/>
      <c r="L800" s="2"/>
      <c r="M800" s="2"/>
      <c r="N800" s="2"/>
      <c r="O800" s="16"/>
    </row>
    <row r="801" spans="4:15" ht="14.25" customHeight="1" x14ac:dyDescent="0.3">
      <c r="D801" s="15"/>
      <c r="E801" s="15"/>
      <c r="F801" s="21"/>
      <c r="G801" s="1"/>
      <c r="H801" s="19"/>
      <c r="I801" s="1"/>
      <c r="J801" s="2"/>
      <c r="K801" s="2"/>
      <c r="L801" s="2"/>
      <c r="M801" s="2"/>
      <c r="N801" s="2"/>
      <c r="O801" s="16"/>
    </row>
    <row r="802" spans="4:15" ht="14.25" customHeight="1" x14ac:dyDescent="0.3">
      <c r="D802" s="15"/>
      <c r="E802" s="15"/>
      <c r="F802" s="21"/>
      <c r="G802" s="1"/>
      <c r="H802" s="19"/>
      <c r="I802" s="1"/>
      <c r="J802" s="2"/>
      <c r="K802" s="2"/>
      <c r="L802" s="2"/>
      <c r="M802" s="2"/>
      <c r="N802" s="2"/>
      <c r="O802" s="16"/>
    </row>
    <row r="803" spans="4:15" ht="14.25" customHeight="1" x14ac:dyDescent="0.3">
      <c r="D803" s="15"/>
      <c r="E803" s="15"/>
      <c r="F803" s="21"/>
      <c r="G803" s="1"/>
      <c r="H803" s="19"/>
      <c r="I803" s="1"/>
      <c r="J803" s="2"/>
      <c r="K803" s="2"/>
      <c r="L803" s="2"/>
      <c r="M803" s="2"/>
      <c r="N803" s="2"/>
      <c r="O803" s="16"/>
    </row>
    <row r="804" spans="4:15" ht="14.25" customHeight="1" x14ac:dyDescent="0.3">
      <c r="D804" s="15"/>
      <c r="E804" s="15"/>
      <c r="F804" s="21"/>
      <c r="G804" s="1"/>
      <c r="H804" s="19"/>
      <c r="I804" s="1"/>
      <c r="J804" s="2"/>
      <c r="K804" s="2"/>
      <c r="L804" s="2"/>
      <c r="M804" s="2"/>
      <c r="N804" s="2"/>
      <c r="O804" s="16"/>
    </row>
    <row r="805" spans="4:15" ht="14.25" customHeight="1" x14ac:dyDescent="0.3">
      <c r="D805" s="15"/>
      <c r="E805" s="15"/>
      <c r="F805" s="21"/>
      <c r="G805" s="1"/>
      <c r="H805" s="19"/>
      <c r="I805" s="1"/>
      <c r="J805" s="2"/>
      <c r="K805" s="2"/>
      <c r="L805" s="2"/>
      <c r="M805" s="2"/>
      <c r="N805" s="2"/>
      <c r="O805" s="16"/>
    </row>
    <row r="806" spans="4:15" ht="14.25" customHeight="1" x14ac:dyDescent="0.3">
      <c r="D806" s="15"/>
      <c r="E806" s="15"/>
      <c r="F806" s="21"/>
      <c r="G806" s="1"/>
      <c r="H806" s="19"/>
      <c r="I806" s="1"/>
      <c r="J806" s="2"/>
      <c r="K806" s="2"/>
      <c r="L806" s="2"/>
      <c r="M806" s="2"/>
      <c r="N806" s="2"/>
      <c r="O806" s="16"/>
    </row>
    <row r="807" spans="4:15" ht="14.25" customHeight="1" x14ac:dyDescent="0.3">
      <c r="D807" s="15"/>
      <c r="E807" s="15"/>
      <c r="F807" s="21"/>
      <c r="G807" s="1"/>
      <c r="H807" s="19"/>
      <c r="I807" s="1"/>
      <c r="J807" s="2"/>
      <c r="K807" s="2"/>
      <c r="L807" s="2"/>
      <c r="M807" s="2"/>
      <c r="N807" s="2"/>
      <c r="O807" s="16"/>
    </row>
    <row r="808" spans="4:15" ht="14.25" customHeight="1" x14ac:dyDescent="0.3">
      <c r="D808" s="15"/>
      <c r="E808" s="15"/>
      <c r="F808" s="21"/>
      <c r="G808" s="1"/>
      <c r="H808" s="19"/>
      <c r="I808" s="1"/>
      <c r="J808" s="2"/>
      <c r="K808" s="2"/>
      <c r="L808" s="2"/>
      <c r="M808" s="2"/>
      <c r="N808" s="2"/>
      <c r="O808" s="16"/>
    </row>
    <row r="809" spans="4:15" ht="14.25" customHeight="1" x14ac:dyDescent="0.3">
      <c r="D809" s="15"/>
      <c r="E809" s="15"/>
      <c r="F809" s="21"/>
      <c r="G809" s="1"/>
      <c r="H809" s="19"/>
      <c r="I809" s="1"/>
      <c r="J809" s="2"/>
      <c r="K809" s="2"/>
      <c r="L809" s="2"/>
      <c r="M809" s="2"/>
      <c r="N809" s="2"/>
      <c r="O809" s="16"/>
    </row>
    <row r="810" spans="4:15" ht="14.25" customHeight="1" x14ac:dyDescent="0.3">
      <c r="D810" s="15"/>
      <c r="E810" s="15"/>
      <c r="F810" s="21"/>
      <c r="G810" s="1"/>
      <c r="H810" s="19"/>
      <c r="I810" s="1"/>
      <c r="J810" s="2"/>
      <c r="K810" s="2"/>
      <c r="L810" s="2"/>
      <c r="M810" s="2"/>
      <c r="N810" s="2"/>
      <c r="O810" s="16"/>
    </row>
    <row r="811" spans="4:15" ht="14.25" customHeight="1" x14ac:dyDescent="0.3">
      <c r="D811" s="15"/>
      <c r="E811" s="15"/>
      <c r="F811" s="21"/>
      <c r="G811" s="1"/>
      <c r="H811" s="19"/>
      <c r="I811" s="1"/>
      <c r="J811" s="2"/>
      <c r="K811" s="2"/>
      <c r="L811" s="2"/>
      <c r="M811" s="2"/>
      <c r="N811" s="2"/>
      <c r="O811" s="16"/>
    </row>
    <row r="812" spans="4:15" ht="14.25" customHeight="1" x14ac:dyDescent="0.3">
      <c r="D812" s="15"/>
      <c r="E812" s="15"/>
      <c r="F812" s="21"/>
      <c r="G812" s="1"/>
      <c r="H812" s="19"/>
      <c r="I812" s="1"/>
      <c r="J812" s="2"/>
      <c r="K812" s="2"/>
      <c r="L812" s="2"/>
      <c r="M812" s="2"/>
      <c r="N812" s="2"/>
      <c r="O812" s="16"/>
    </row>
    <row r="813" spans="4:15" ht="14.25" customHeight="1" x14ac:dyDescent="0.3">
      <c r="D813" s="15"/>
      <c r="E813" s="15"/>
      <c r="F813" s="21"/>
      <c r="G813" s="1"/>
      <c r="H813" s="19"/>
      <c r="I813" s="1"/>
      <c r="J813" s="2"/>
      <c r="K813" s="2"/>
      <c r="L813" s="2"/>
      <c r="M813" s="2"/>
      <c r="N813" s="2"/>
      <c r="O813" s="16"/>
    </row>
    <row r="814" spans="4:15" ht="14.25" customHeight="1" x14ac:dyDescent="0.3">
      <c r="D814" s="15"/>
      <c r="E814" s="15"/>
      <c r="F814" s="21"/>
      <c r="G814" s="1"/>
      <c r="H814" s="19"/>
      <c r="I814" s="1"/>
      <c r="J814" s="2"/>
      <c r="K814" s="2"/>
      <c r="L814" s="2"/>
      <c r="M814" s="2"/>
      <c r="N814" s="2"/>
      <c r="O814" s="16"/>
    </row>
    <row r="815" spans="4:15" ht="14.25" customHeight="1" x14ac:dyDescent="0.3">
      <c r="D815" s="15"/>
      <c r="E815" s="15"/>
      <c r="F815" s="21"/>
      <c r="G815" s="1"/>
      <c r="H815" s="19"/>
      <c r="I815" s="1"/>
      <c r="J815" s="2"/>
      <c r="K815" s="2"/>
      <c r="L815" s="2"/>
      <c r="M815" s="2"/>
      <c r="N815" s="2"/>
      <c r="O815" s="16"/>
    </row>
    <row r="816" spans="4:15" ht="14.25" customHeight="1" x14ac:dyDescent="0.3">
      <c r="D816" s="15"/>
      <c r="E816" s="15"/>
      <c r="F816" s="21"/>
      <c r="G816" s="1"/>
      <c r="H816" s="19"/>
      <c r="I816" s="1"/>
      <c r="J816" s="2"/>
      <c r="K816" s="2"/>
      <c r="L816" s="2"/>
      <c r="M816" s="2"/>
      <c r="N816" s="2"/>
      <c r="O816" s="16"/>
    </row>
    <row r="817" spans="4:15" ht="14.25" customHeight="1" x14ac:dyDescent="0.3">
      <c r="D817" s="15"/>
      <c r="E817" s="15"/>
      <c r="F817" s="21"/>
      <c r="G817" s="1"/>
      <c r="H817" s="19"/>
      <c r="I817" s="1"/>
      <c r="J817" s="2"/>
      <c r="K817" s="2"/>
      <c r="L817" s="2"/>
      <c r="M817" s="2"/>
      <c r="N817" s="2"/>
      <c r="O817" s="16"/>
    </row>
    <row r="818" spans="4:15" ht="14.25" customHeight="1" x14ac:dyDescent="0.3">
      <c r="D818" s="15"/>
      <c r="E818" s="15"/>
      <c r="F818" s="21"/>
      <c r="G818" s="1"/>
      <c r="H818" s="19"/>
      <c r="I818" s="1"/>
      <c r="J818" s="2"/>
      <c r="K818" s="2"/>
      <c r="L818" s="2"/>
      <c r="M818" s="2"/>
      <c r="N818" s="2"/>
      <c r="O818" s="16"/>
    </row>
    <row r="819" spans="4:15" ht="14.25" customHeight="1" x14ac:dyDescent="0.3">
      <c r="D819" s="15"/>
      <c r="E819" s="15"/>
      <c r="F819" s="21"/>
      <c r="G819" s="1"/>
      <c r="H819" s="19"/>
      <c r="I819" s="1"/>
      <c r="J819" s="2"/>
      <c r="K819" s="2"/>
      <c r="L819" s="2"/>
      <c r="M819" s="2"/>
      <c r="N819" s="2"/>
      <c r="O819" s="16"/>
    </row>
    <row r="820" spans="4:15" ht="14.25" customHeight="1" x14ac:dyDescent="0.3">
      <c r="D820" s="15"/>
      <c r="E820" s="15"/>
      <c r="F820" s="21"/>
      <c r="G820" s="1"/>
      <c r="H820" s="19"/>
      <c r="I820" s="1"/>
      <c r="J820" s="2"/>
      <c r="K820" s="2"/>
      <c r="L820" s="2"/>
      <c r="M820" s="2"/>
      <c r="N820" s="2"/>
      <c r="O820" s="16"/>
    </row>
    <row r="821" spans="4:15" ht="14.25" customHeight="1" x14ac:dyDescent="0.3">
      <c r="D821" s="15"/>
      <c r="E821" s="15"/>
      <c r="F821" s="21"/>
      <c r="G821" s="1"/>
      <c r="H821" s="19"/>
      <c r="I821" s="1"/>
      <c r="J821" s="2"/>
      <c r="K821" s="2"/>
      <c r="L821" s="2"/>
      <c r="M821" s="2"/>
      <c r="N821" s="2"/>
      <c r="O821" s="16"/>
    </row>
    <row r="822" spans="4:15" ht="14.25" customHeight="1" x14ac:dyDescent="0.3">
      <c r="D822" s="15"/>
      <c r="E822" s="15"/>
      <c r="F822" s="21"/>
      <c r="G822" s="1"/>
      <c r="H822" s="19"/>
      <c r="I822" s="1"/>
      <c r="J822" s="2"/>
      <c r="K822" s="2"/>
      <c r="L822" s="2"/>
      <c r="M822" s="2"/>
      <c r="N822" s="2"/>
      <c r="O822" s="16"/>
    </row>
    <row r="823" spans="4:15" ht="14.25" customHeight="1" x14ac:dyDescent="0.3">
      <c r="D823" s="15"/>
      <c r="E823" s="15"/>
      <c r="F823" s="21"/>
      <c r="G823" s="1"/>
      <c r="H823" s="19"/>
      <c r="I823" s="1"/>
      <c r="J823" s="2"/>
      <c r="K823" s="2"/>
      <c r="L823" s="2"/>
      <c r="M823" s="2"/>
      <c r="N823" s="2"/>
      <c r="O823" s="16"/>
    </row>
    <row r="824" spans="4:15" ht="14.25" customHeight="1" x14ac:dyDescent="0.3">
      <c r="D824" s="15"/>
      <c r="E824" s="15"/>
      <c r="F824" s="21"/>
      <c r="G824" s="1"/>
      <c r="H824" s="19"/>
      <c r="I824" s="1"/>
      <c r="J824" s="2"/>
      <c r="K824" s="2"/>
      <c r="L824" s="2"/>
      <c r="M824" s="2"/>
      <c r="N824" s="2"/>
      <c r="O824" s="16"/>
    </row>
    <row r="825" spans="4:15" ht="14.25" customHeight="1" x14ac:dyDescent="0.3">
      <c r="D825" s="15"/>
      <c r="E825" s="15"/>
      <c r="F825" s="21"/>
      <c r="G825" s="1"/>
      <c r="H825" s="19"/>
      <c r="I825" s="1"/>
      <c r="J825" s="2"/>
      <c r="K825" s="2"/>
      <c r="L825" s="2"/>
      <c r="M825" s="2"/>
      <c r="N825" s="2"/>
      <c r="O825" s="16"/>
    </row>
    <row r="826" spans="4:15" ht="14.25" customHeight="1" x14ac:dyDescent="0.3">
      <c r="D826" s="15"/>
      <c r="E826" s="15"/>
      <c r="F826" s="21"/>
      <c r="G826" s="1"/>
      <c r="H826" s="19"/>
      <c r="I826" s="1"/>
      <c r="J826" s="2"/>
      <c r="K826" s="2"/>
      <c r="L826" s="2"/>
      <c r="M826" s="2"/>
      <c r="N826" s="2"/>
      <c r="O826" s="16"/>
    </row>
    <row r="827" spans="4:15" ht="14.25" customHeight="1" x14ac:dyDescent="0.3">
      <c r="D827" s="15"/>
      <c r="E827" s="15"/>
      <c r="F827" s="21"/>
      <c r="G827" s="1"/>
      <c r="H827" s="19"/>
      <c r="I827" s="1"/>
      <c r="J827" s="2"/>
      <c r="K827" s="2"/>
      <c r="L827" s="2"/>
      <c r="M827" s="2"/>
      <c r="N827" s="2"/>
      <c r="O827" s="16"/>
    </row>
    <row r="828" spans="4:15" ht="14.25" customHeight="1" x14ac:dyDescent="0.3">
      <c r="D828" s="15"/>
      <c r="E828" s="15"/>
      <c r="F828" s="21"/>
      <c r="G828" s="1"/>
      <c r="H828" s="19"/>
      <c r="I828" s="1"/>
      <c r="J828" s="2"/>
      <c r="K828" s="2"/>
      <c r="L828" s="2"/>
      <c r="M828" s="2"/>
      <c r="N828" s="2"/>
      <c r="O828" s="16"/>
    </row>
    <row r="829" spans="4:15" ht="14.25" customHeight="1" x14ac:dyDescent="0.3">
      <c r="D829" s="15"/>
      <c r="E829" s="15"/>
      <c r="F829" s="21"/>
      <c r="G829" s="1"/>
      <c r="H829" s="19"/>
      <c r="I829" s="1"/>
      <c r="J829" s="2"/>
      <c r="K829" s="2"/>
      <c r="L829" s="2"/>
      <c r="M829" s="2"/>
      <c r="N829" s="2"/>
      <c r="O829" s="16"/>
    </row>
    <row r="830" spans="4:15" ht="14.25" customHeight="1" x14ac:dyDescent="0.3">
      <c r="D830" s="15"/>
      <c r="E830" s="15"/>
      <c r="F830" s="21"/>
      <c r="G830" s="1"/>
      <c r="H830" s="19"/>
      <c r="I830" s="1"/>
      <c r="J830" s="2"/>
      <c r="K830" s="2"/>
      <c r="L830" s="2"/>
      <c r="M830" s="2"/>
      <c r="N830" s="2"/>
      <c r="O830" s="16"/>
    </row>
    <row r="831" spans="4:15" ht="14.25" customHeight="1" x14ac:dyDescent="0.3">
      <c r="D831" s="15"/>
      <c r="E831" s="15"/>
      <c r="F831" s="21"/>
      <c r="G831" s="1"/>
      <c r="H831" s="19"/>
      <c r="I831" s="1"/>
      <c r="J831" s="2"/>
      <c r="K831" s="2"/>
      <c r="L831" s="2"/>
      <c r="M831" s="2"/>
      <c r="N831" s="2"/>
      <c r="O831" s="16"/>
    </row>
    <row r="832" spans="4:15" ht="14.25" customHeight="1" x14ac:dyDescent="0.3">
      <c r="D832" s="15"/>
      <c r="E832" s="15"/>
      <c r="F832" s="21"/>
      <c r="G832" s="1"/>
      <c r="H832" s="19"/>
      <c r="I832" s="1"/>
      <c r="J832" s="2"/>
      <c r="K832" s="2"/>
      <c r="L832" s="2"/>
      <c r="M832" s="2"/>
      <c r="N832" s="2"/>
      <c r="O832" s="16"/>
    </row>
    <row r="833" spans="4:15" ht="14.25" customHeight="1" x14ac:dyDescent="0.3">
      <c r="D833" s="15"/>
      <c r="E833" s="15"/>
      <c r="F833" s="21"/>
      <c r="G833" s="1"/>
      <c r="H833" s="19"/>
      <c r="I833" s="1"/>
      <c r="J833" s="2"/>
      <c r="K833" s="2"/>
      <c r="L833" s="2"/>
      <c r="M833" s="2"/>
      <c r="N833" s="2"/>
      <c r="O833" s="16"/>
    </row>
    <row r="834" spans="4:15" ht="14.25" customHeight="1" x14ac:dyDescent="0.3">
      <c r="D834" s="15"/>
      <c r="E834" s="15"/>
      <c r="F834" s="21"/>
      <c r="G834" s="1"/>
      <c r="H834" s="19"/>
      <c r="I834" s="1"/>
      <c r="J834" s="2"/>
      <c r="K834" s="2"/>
      <c r="L834" s="2"/>
      <c r="M834" s="2"/>
      <c r="N834" s="2"/>
      <c r="O834" s="16"/>
    </row>
    <row r="835" spans="4:15" ht="14.25" customHeight="1" x14ac:dyDescent="0.3">
      <c r="D835" s="15"/>
      <c r="E835" s="15"/>
      <c r="F835" s="21"/>
      <c r="G835" s="1"/>
      <c r="H835" s="19"/>
      <c r="I835" s="1"/>
      <c r="J835" s="2"/>
      <c r="K835" s="2"/>
      <c r="L835" s="2"/>
      <c r="M835" s="2"/>
      <c r="N835" s="2"/>
      <c r="O835" s="16"/>
    </row>
    <row r="836" spans="4:15" ht="14.25" customHeight="1" x14ac:dyDescent="0.3">
      <c r="D836" s="15"/>
      <c r="E836" s="15"/>
      <c r="F836" s="21"/>
      <c r="G836" s="1"/>
      <c r="H836" s="19"/>
      <c r="I836" s="1"/>
      <c r="J836" s="2"/>
      <c r="K836" s="2"/>
      <c r="L836" s="2"/>
      <c r="M836" s="2"/>
      <c r="N836" s="2"/>
      <c r="O836" s="16"/>
    </row>
    <row r="837" spans="4:15" ht="14.25" customHeight="1" x14ac:dyDescent="0.3">
      <c r="D837" s="15"/>
      <c r="E837" s="15"/>
      <c r="F837" s="21"/>
      <c r="G837" s="1"/>
      <c r="H837" s="19"/>
      <c r="I837" s="1"/>
      <c r="J837" s="2"/>
      <c r="K837" s="2"/>
      <c r="L837" s="2"/>
      <c r="M837" s="2"/>
      <c r="N837" s="2"/>
      <c r="O837" s="16"/>
    </row>
    <row r="838" spans="4:15" ht="14.25" customHeight="1" x14ac:dyDescent="0.3">
      <c r="D838" s="15"/>
      <c r="E838" s="15"/>
      <c r="F838" s="21"/>
      <c r="G838" s="1"/>
      <c r="H838" s="19"/>
      <c r="I838" s="1"/>
      <c r="J838" s="2"/>
      <c r="K838" s="2"/>
      <c r="L838" s="2"/>
      <c r="M838" s="2"/>
      <c r="N838" s="2"/>
      <c r="O838" s="16"/>
    </row>
    <row r="839" spans="4:15" ht="14.25" customHeight="1" x14ac:dyDescent="0.3">
      <c r="D839" s="15"/>
      <c r="E839" s="15"/>
      <c r="F839" s="21"/>
      <c r="G839" s="1"/>
      <c r="H839" s="19"/>
      <c r="I839" s="1"/>
      <c r="J839" s="2"/>
      <c r="K839" s="2"/>
      <c r="L839" s="2"/>
      <c r="M839" s="2"/>
      <c r="N839" s="2"/>
      <c r="O839" s="16"/>
    </row>
    <row r="840" spans="4:15" ht="14.25" customHeight="1" x14ac:dyDescent="0.3">
      <c r="D840" s="15"/>
      <c r="E840" s="15"/>
      <c r="F840" s="21"/>
      <c r="G840" s="1"/>
      <c r="H840" s="19"/>
      <c r="I840" s="1"/>
      <c r="J840" s="2"/>
      <c r="K840" s="2"/>
      <c r="L840" s="2"/>
      <c r="M840" s="2"/>
      <c r="N840" s="2"/>
      <c r="O840" s="16"/>
    </row>
    <row r="841" spans="4:15" ht="14.25" customHeight="1" x14ac:dyDescent="0.3">
      <c r="D841" s="15"/>
      <c r="E841" s="15"/>
      <c r="F841" s="21"/>
      <c r="G841" s="1"/>
      <c r="H841" s="19"/>
      <c r="I841" s="1"/>
      <c r="J841" s="2"/>
      <c r="K841" s="2"/>
      <c r="L841" s="2"/>
      <c r="M841" s="2"/>
      <c r="N841" s="2"/>
      <c r="O841" s="16"/>
    </row>
    <row r="842" spans="4:15" ht="14.25" customHeight="1" x14ac:dyDescent="0.3">
      <c r="D842" s="15"/>
      <c r="E842" s="15"/>
      <c r="F842" s="21"/>
      <c r="G842" s="1"/>
      <c r="H842" s="19"/>
      <c r="I842" s="1"/>
      <c r="J842" s="2"/>
      <c r="K842" s="2"/>
      <c r="L842" s="2"/>
      <c r="M842" s="2"/>
      <c r="N842" s="2"/>
      <c r="O842" s="16"/>
    </row>
    <row r="843" spans="4:15" ht="14.25" customHeight="1" x14ac:dyDescent="0.3">
      <c r="D843" s="15"/>
      <c r="E843" s="15"/>
      <c r="F843" s="21"/>
      <c r="G843" s="1"/>
      <c r="H843" s="19"/>
      <c r="I843" s="1"/>
      <c r="J843" s="2"/>
      <c r="K843" s="2"/>
      <c r="L843" s="2"/>
      <c r="M843" s="2"/>
      <c r="N843" s="2"/>
      <c r="O843" s="16"/>
    </row>
    <row r="844" spans="4:15" ht="14.25" customHeight="1" x14ac:dyDescent="0.3">
      <c r="D844" s="15"/>
      <c r="E844" s="15"/>
      <c r="F844" s="21"/>
      <c r="G844" s="1"/>
      <c r="H844" s="19"/>
      <c r="I844" s="1"/>
      <c r="J844" s="2"/>
      <c r="K844" s="2"/>
      <c r="L844" s="2"/>
      <c r="M844" s="2"/>
      <c r="N844" s="2"/>
      <c r="O844" s="16"/>
    </row>
    <row r="845" spans="4:15" ht="14.25" customHeight="1" x14ac:dyDescent="0.3">
      <c r="D845" s="15"/>
      <c r="E845" s="15"/>
      <c r="F845" s="21"/>
      <c r="G845" s="1"/>
      <c r="H845" s="19"/>
      <c r="I845" s="1"/>
      <c r="J845" s="2"/>
      <c r="K845" s="2"/>
      <c r="L845" s="2"/>
      <c r="M845" s="2"/>
      <c r="N845" s="2"/>
      <c r="O845" s="16"/>
    </row>
    <row r="846" spans="4:15" ht="14.25" customHeight="1" x14ac:dyDescent="0.3">
      <c r="D846" s="15"/>
      <c r="E846" s="15"/>
      <c r="F846" s="21"/>
      <c r="G846" s="1"/>
      <c r="H846" s="19"/>
      <c r="I846" s="1"/>
      <c r="J846" s="2"/>
      <c r="K846" s="2"/>
      <c r="L846" s="2"/>
      <c r="M846" s="2"/>
      <c r="N846" s="2"/>
      <c r="O846" s="16"/>
    </row>
    <row r="847" spans="4:15" ht="14.25" customHeight="1" x14ac:dyDescent="0.3">
      <c r="D847" s="15"/>
      <c r="E847" s="15"/>
      <c r="F847" s="21"/>
      <c r="G847" s="1"/>
      <c r="H847" s="19"/>
      <c r="I847" s="1"/>
      <c r="J847" s="2"/>
      <c r="K847" s="2"/>
      <c r="L847" s="2"/>
      <c r="M847" s="2"/>
      <c r="N847" s="2"/>
      <c r="O847" s="16"/>
    </row>
    <row r="848" spans="4:15" ht="14.25" customHeight="1" x14ac:dyDescent="0.3">
      <c r="D848" s="15"/>
      <c r="E848" s="15"/>
      <c r="F848" s="21"/>
      <c r="G848" s="1"/>
      <c r="H848" s="19"/>
      <c r="I848" s="1"/>
      <c r="J848" s="2"/>
      <c r="K848" s="2"/>
      <c r="L848" s="2"/>
      <c r="M848" s="2"/>
      <c r="N848" s="2"/>
      <c r="O848" s="16"/>
    </row>
    <row r="849" spans="4:15" ht="14.25" customHeight="1" x14ac:dyDescent="0.3">
      <c r="D849" s="15"/>
      <c r="E849" s="15"/>
      <c r="F849" s="21"/>
      <c r="G849" s="1"/>
      <c r="H849" s="19"/>
      <c r="I849" s="1"/>
      <c r="J849" s="2"/>
      <c r="K849" s="2"/>
      <c r="L849" s="2"/>
      <c r="M849" s="2"/>
      <c r="N849" s="2"/>
      <c r="O849" s="16"/>
    </row>
    <row r="850" spans="4:15" ht="14.25" customHeight="1" x14ac:dyDescent="0.3">
      <c r="D850" s="15"/>
      <c r="E850" s="15"/>
      <c r="F850" s="21"/>
      <c r="G850" s="1"/>
      <c r="H850" s="19"/>
      <c r="I850" s="1"/>
      <c r="J850" s="2"/>
      <c r="K850" s="2"/>
      <c r="L850" s="2"/>
      <c r="M850" s="2"/>
      <c r="N850" s="2"/>
      <c r="O850" s="16"/>
    </row>
    <row r="851" spans="4:15" ht="14.25" customHeight="1" x14ac:dyDescent="0.3">
      <c r="D851" s="15"/>
      <c r="E851" s="15"/>
      <c r="F851" s="21"/>
      <c r="G851" s="1"/>
      <c r="H851" s="19"/>
      <c r="I851" s="1"/>
      <c r="J851" s="2"/>
      <c r="K851" s="2"/>
      <c r="L851" s="2"/>
      <c r="M851" s="2"/>
      <c r="N851" s="2"/>
      <c r="O851" s="16"/>
    </row>
    <row r="852" spans="4:15" ht="14.25" customHeight="1" x14ac:dyDescent="0.3">
      <c r="D852" s="15"/>
      <c r="E852" s="15"/>
      <c r="F852" s="21"/>
      <c r="G852" s="1"/>
      <c r="H852" s="19"/>
      <c r="I852" s="1"/>
      <c r="J852" s="2"/>
      <c r="K852" s="2"/>
      <c r="L852" s="2"/>
      <c r="M852" s="2"/>
      <c r="N852" s="2"/>
      <c r="O852" s="16"/>
    </row>
    <row r="853" spans="4:15" ht="14.25" customHeight="1" x14ac:dyDescent="0.3">
      <c r="D853" s="15"/>
      <c r="E853" s="15"/>
      <c r="F853" s="21"/>
      <c r="G853" s="1"/>
      <c r="H853" s="19"/>
      <c r="I853" s="1"/>
      <c r="J853" s="2"/>
      <c r="K853" s="2"/>
      <c r="L853" s="2"/>
      <c r="M853" s="2"/>
      <c r="N853" s="2"/>
      <c r="O853" s="16"/>
    </row>
    <row r="854" spans="4:15" ht="14.25" customHeight="1" x14ac:dyDescent="0.3">
      <c r="D854" s="15"/>
      <c r="E854" s="15"/>
      <c r="F854" s="21"/>
      <c r="G854" s="1"/>
      <c r="H854" s="19"/>
      <c r="I854" s="1"/>
      <c r="J854" s="2"/>
      <c r="K854" s="2"/>
      <c r="L854" s="2"/>
      <c r="M854" s="2"/>
      <c r="N854" s="2"/>
      <c r="O854" s="16"/>
    </row>
    <row r="855" spans="4:15" ht="14.25" customHeight="1" x14ac:dyDescent="0.3">
      <c r="D855" s="15"/>
      <c r="E855" s="15"/>
      <c r="F855" s="21"/>
      <c r="G855" s="1"/>
      <c r="H855" s="19"/>
      <c r="I855" s="1"/>
      <c r="J855" s="2"/>
      <c r="K855" s="2"/>
      <c r="L855" s="2"/>
      <c r="M855" s="2"/>
      <c r="N855" s="2"/>
      <c r="O855" s="16"/>
    </row>
    <row r="856" spans="4:15" ht="14.25" customHeight="1" x14ac:dyDescent="0.3">
      <c r="D856" s="15"/>
      <c r="E856" s="15"/>
      <c r="F856" s="21"/>
      <c r="G856" s="1"/>
      <c r="H856" s="19"/>
      <c r="I856" s="1"/>
      <c r="J856" s="2"/>
      <c r="K856" s="2"/>
      <c r="L856" s="2"/>
      <c r="M856" s="2"/>
      <c r="N856" s="2"/>
      <c r="O856" s="16"/>
    </row>
    <row r="857" spans="4:15" ht="14.25" customHeight="1" x14ac:dyDescent="0.3">
      <c r="D857" s="15"/>
      <c r="E857" s="15"/>
      <c r="F857" s="21"/>
      <c r="G857" s="1"/>
      <c r="H857" s="19"/>
      <c r="I857" s="1"/>
      <c r="J857" s="2"/>
      <c r="K857" s="2"/>
      <c r="L857" s="2"/>
      <c r="M857" s="2"/>
      <c r="N857" s="2"/>
      <c r="O857" s="16"/>
    </row>
    <row r="858" spans="4:15" ht="14.25" customHeight="1" x14ac:dyDescent="0.3">
      <c r="D858" s="15"/>
      <c r="E858" s="15"/>
      <c r="F858" s="21"/>
      <c r="G858" s="1"/>
      <c r="H858" s="19"/>
      <c r="I858" s="1"/>
      <c r="J858" s="2"/>
      <c r="K858" s="2"/>
      <c r="L858" s="2"/>
      <c r="M858" s="2"/>
      <c r="N858" s="2"/>
      <c r="O858" s="16"/>
    </row>
    <row r="859" spans="4:15" ht="14.25" customHeight="1" x14ac:dyDescent="0.3">
      <c r="D859" s="15"/>
      <c r="E859" s="15"/>
      <c r="F859" s="21"/>
      <c r="G859" s="1"/>
      <c r="H859" s="19"/>
      <c r="I859" s="1"/>
      <c r="J859" s="2"/>
      <c r="K859" s="2"/>
      <c r="L859" s="2"/>
      <c r="M859" s="2"/>
      <c r="N859" s="2"/>
      <c r="O859" s="16"/>
    </row>
    <row r="860" spans="4:15" ht="14.25" customHeight="1" x14ac:dyDescent="0.3">
      <c r="D860" s="15"/>
      <c r="E860" s="15"/>
      <c r="F860" s="21"/>
      <c r="G860" s="1"/>
      <c r="H860" s="19"/>
      <c r="I860" s="1"/>
      <c r="J860" s="2"/>
      <c r="K860" s="2"/>
      <c r="L860" s="2"/>
      <c r="M860" s="2"/>
      <c r="N860" s="2"/>
      <c r="O860" s="16"/>
    </row>
    <row r="861" spans="4:15" ht="14.25" customHeight="1" x14ac:dyDescent="0.3">
      <c r="D861" s="15"/>
      <c r="E861" s="15"/>
      <c r="F861" s="21"/>
      <c r="G861" s="1"/>
      <c r="H861" s="19"/>
      <c r="I861" s="1"/>
      <c r="J861" s="2"/>
      <c r="K861" s="2"/>
      <c r="L861" s="2"/>
      <c r="M861" s="2"/>
      <c r="N861" s="2"/>
      <c r="O861" s="16"/>
    </row>
    <row r="862" spans="4:15" ht="14.25" customHeight="1" x14ac:dyDescent="0.3">
      <c r="D862" s="15"/>
      <c r="E862" s="15"/>
      <c r="F862" s="21"/>
      <c r="G862" s="1"/>
      <c r="H862" s="19"/>
      <c r="I862" s="1"/>
      <c r="J862" s="2"/>
      <c r="K862" s="2"/>
      <c r="L862" s="2"/>
      <c r="M862" s="2"/>
      <c r="N862" s="2"/>
      <c r="O862" s="16"/>
    </row>
    <row r="863" spans="4:15" ht="14.25" customHeight="1" x14ac:dyDescent="0.3">
      <c r="D863" s="15"/>
      <c r="E863" s="15"/>
      <c r="F863" s="21"/>
      <c r="G863" s="1"/>
      <c r="H863" s="19"/>
      <c r="I863" s="1"/>
      <c r="J863" s="2"/>
      <c r="K863" s="2"/>
      <c r="L863" s="2"/>
      <c r="M863" s="2"/>
      <c r="N863" s="2"/>
      <c r="O863" s="16"/>
    </row>
    <row r="864" spans="4:15" ht="14.25" customHeight="1" x14ac:dyDescent="0.3">
      <c r="D864" s="15"/>
      <c r="E864" s="15"/>
      <c r="F864" s="21"/>
      <c r="G864" s="1"/>
      <c r="H864" s="19"/>
      <c r="I864" s="1"/>
      <c r="J864" s="2"/>
      <c r="K864" s="2"/>
      <c r="L864" s="2"/>
      <c r="M864" s="2"/>
      <c r="N864" s="2"/>
      <c r="O864" s="16"/>
    </row>
    <row r="865" spans="4:15" ht="14.25" customHeight="1" x14ac:dyDescent="0.3">
      <c r="D865" s="15"/>
      <c r="E865" s="15"/>
      <c r="F865" s="21"/>
      <c r="G865" s="1"/>
      <c r="H865" s="19"/>
      <c r="I865" s="1"/>
      <c r="J865" s="2"/>
      <c r="K865" s="2"/>
      <c r="L865" s="2"/>
      <c r="M865" s="2"/>
      <c r="N865" s="2"/>
      <c r="O865" s="16"/>
    </row>
    <row r="866" spans="4:15" ht="14.25" customHeight="1" x14ac:dyDescent="0.3">
      <c r="D866" s="15"/>
      <c r="E866" s="15"/>
      <c r="F866" s="21"/>
      <c r="G866" s="1"/>
      <c r="H866" s="19"/>
      <c r="I866" s="1"/>
      <c r="J866" s="2"/>
      <c r="K866" s="2"/>
      <c r="L866" s="2"/>
      <c r="M866" s="2"/>
      <c r="N866" s="2"/>
      <c r="O866" s="16"/>
    </row>
    <row r="867" spans="4:15" ht="14.25" customHeight="1" x14ac:dyDescent="0.3">
      <c r="D867" s="15"/>
      <c r="E867" s="15"/>
      <c r="F867" s="21"/>
      <c r="G867" s="1"/>
      <c r="H867" s="19"/>
      <c r="I867" s="1"/>
      <c r="J867" s="2"/>
      <c r="K867" s="2"/>
      <c r="L867" s="2"/>
      <c r="M867" s="2"/>
      <c r="N867" s="2"/>
      <c r="O867" s="16"/>
    </row>
    <row r="868" spans="4:15" ht="14.25" customHeight="1" x14ac:dyDescent="0.3">
      <c r="D868" s="15"/>
      <c r="E868" s="15"/>
      <c r="F868" s="21"/>
      <c r="G868" s="1"/>
      <c r="H868" s="19"/>
      <c r="I868" s="1"/>
      <c r="J868" s="2"/>
      <c r="K868" s="2"/>
      <c r="L868" s="2"/>
      <c r="M868" s="2"/>
      <c r="N868" s="2"/>
      <c r="O868" s="16"/>
    </row>
    <row r="869" spans="4:15" ht="14.25" customHeight="1" x14ac:dyDescent="0.3">
      <c r="D869" s="15"/>
      <c r="E869" s="15"/>
      <c r="F869" s="21"/>
      <c r="G869" s="1"/>
      <c r="H869" s="19"/>
      <c r="I869" s="1"/>
      <c r="J869" s="2"/>
      <c r="K869" s="2"/>
      <c r="L869" s="2"/>
      <c r="M869" s="2"/>
      <c r="N869" s="2"/>
      <c r="O869" s="16"/>
    </row>
    <row r="870" spans="4:15" ht="14.25" customHeight="1" x14ac:dyDescent="0.3">
      <c r="D870" s="15"/>
      <c r="E870" s="15"/>
      <c r="F870" s="21"/>
      <c r="G870" s="1"/>
      <c r="H870" s="19"/>
      <c r="I870" s="1"/>
      <c r="J870" s="2"/>
      <c r="K870" s="2"/>
      <c r="L870" s="2"/>
      <c r="M870" s="2"/>
      <c r="N870" s="2"/>
      <c r="O870" s="16"/>
    </row>
    <row r="871" spans="4:15" ht="14.25" customHeight="1" x14ac:dyDescent="0.3">
      <c r="D871" s="15"/>
      <c r="E871" s="15"/>
      <c r="F871" s="21"/>
      <c r="G871" s="1"/>
      <c r="H871" s="19"/>
      <c r="I871" s="1"/>
      <c r="J871" s="2"/>
      <c r="K871" s="2"/>
      <c r="L871" s="2"/>
      <c r="M871" s="2"/>
      <c r="N871" s="2"/>
      <c r="O871" s="16"/>
    </row>
    <row r="872" spans="4:15" ht="14.25" customHeight="1" x14ac:dyDescent="0.3">
      <c r="D872" s="15"/>
      <c r="E872" s="15"/>
      <c r="F872" s="21"/>
      <c r="G872" s="1"/>
      <c r="H872" s="19"/>
      <c r="I872" s="1"/>
      <c r="J872" s="2"/>
      <c r="K872" s="2"/>
      <c r="L872" s="2"/>
      <c r="M872" s="2"/>
      <c r="N872" s="2"/>
      <c r="O872" s="16"/>
    </row>
    <row r="873" spans="4:15" ht="14.25" customHeight="1" x14ac:dyDescent="0.3">
      <c r="D873" s="15"/>
      <c r="E873" s="15"/>
      <c r="F873" s="21"/>
      <c r="G873" s="1"/>
      <c r="H873" s="19"/>
      <c r="I873" s="1"/>
      <c r="J873" s="2"/>
      <c r="K873" s="2"/>
      <c r="L873" s="2"/>
      <c r="M873" s="2"/>
      <c r="N873" s="2"/>
      <c r="O873" s="16"/>
    </row>
    <row r="874" spans="4:15" ht="14.25" customHeight="1" x14ac:dyDescent="0.3">
      <c r="D874" s="15"/>
      <c r="E874" s="15"/>
      <c r="F874" s="21"/>
      <c r="G874" s="1"/>
      <c r="H874" s="19"/>
      <c r="I874" s="1"/>
      <c r="J874" s="2"/>
      <c r="K874" s="2"/>
      <c r="L874" s="2"/>
      <c r="M874" s="2"/>
      <c r="N874" s="2"/>
      <c r="O874" s="16"/>
    </row>
    <row r="875" spans="4:15" ht="14.25" customHeight="1" x14ac:dyDescent="0.3">
      <c r="D875" s="15"/>
      <c r="E875" s="15"/>
      <c r="F875" s="21"/>
      <c r="G875" s="1"/>
      <c r="H875" s="19"/>
      <c r="I875" s="1"/>
      <c r="J875" s="2"/>
      <c r="K875" s="2"/>
      <c r="L875" s="2"/>
      <c r="M875" s="2"/>
      <c r="N875" s="2"/>
      <c r="O875" s="16"/>
    </row>
    <row r="876" spans="4:15" ht="14.25" customHeight="1" x14ac:dyDescent="0.3">
      <c r="D876" s="15"/>
      <c r="E876" s="15"/>
      <c r="F876" s="21"/>
      <c r="G876" s="1"/>
      <c r="H876" s="19"/>
      <c r="I876" s="1"/>
      <c r="J876" s="2"/>
      <c r="K876" s="2"/>
      <c r="L876" s="2"/>
      <c r="M876" s="2"/>
      <c r="N876" s="2"/>
      <c r="O876" s="16"/>
    </row>
    <row r="877" spans="4:15" ht="14.25" customHeight="1" x14ac:dyDescent="0.3">
      <c r="D877" s="15"/>
      <c r="E877" s="15"/>
      <c r="F877" s="21"/>
      <c r="G877" s="1"/>
      <c r="H877" s="19"/>
      <c r="I877" s="1"/>
      <c r="J877" s="2"/>
      <c r="K877" s="2"/>
      <c r="L877" s="2"/>
      <c r="M877" s="2"/>
      <c r="N877" s="2"/>
      <c r="O877" s="16"/>
    </row>
    <row r="878" spans="4:15" ht="14.25" customHeight="1" x14ac:dyDescent="0.3">
      <c r="D878" s="15"/>
      <c r="E878" s="15"/>
      <c r="F878" s="21"/>
      <c r="G878" s="1"/>
      <c r="H878" s="19"/>
      <c r="I878" s="1"/>
      <c r="J878" s="2"/>
      <c r="K878" s="2"/>
      <c r="L878" s="2"/>
      <c r="M878" s="2"/>
      <c r="N878" s="2"/>
      <c r="O878" s="16"/>
    </row>
    <row r="879" spans="4:15" ht="14.25" customHeight="1" x14ac:dyDescent="0.3">
      <c r="D879" s="15"/>
      <c r="E879" s="15"/>
      <c r="F879" s="21"/>
      <c r="G879" s="1"/>
      <c r="H879" s="19"/>
      <c r="I879" s="1"/>
      <c r="J879" s="2"/>
      <c r="K879" s="2"/>
      <c r="L879" s="2"/>
      <c r="M879" s="2"/>
      <c r="N879" s="2"/>
      <c r="O879" s="16"/>
    </row>
    <row r="880" spans="4:15" ht="14.25" customHeight="1" x14ac:dyDescent="0.3">
      <c r="D880" s="15"/>
      <c r="E880" s="15"/>
      <c r="F880" s="21"/>
      <c r="G880" s="1"/>
      <c r="H880" s="19"/>
      <c r="I880" s="1"/>
      <c r="J880" s="2"/>
      <c r="K880" s="2"/>
      <c r="L880" s="2"/>
      <c r="M880" s="2"/>
      <c r="N880" s="2"/>
      <c r="O880" s="16"/>
    </row>
    <row r="881" spans="4:15" ht="14.25" customHeight="1" x14ac:dyDescent="0.3">
      <c r="D881" s="15"/>
      <c r="E881" s="15"/>
      <c r="F881" s="21"/>
      <c r="G881" s="1"/>
      <c r="H881" s="19"/>
      <c r="I881" s="1"/>
      <c r="J881" s="2"/>
      <c r="K881" s="2"/>
      <c r="L881" s="2"/>
      <c r="M881" s="2"/>
      <c r="N881" s="2"/>
      <c r="O881" s="16"/>
    </row>
    <row r="882" spans="4:15" ht="14.25" customHeight="1" x14ac:dyDescent="0.3">
      <c r="D882" s="15"/>
      <c r="E882" s="15"/>
      <c r="F882" s="21"/>
      <c r="G882" s="1"/>
      <c r="H882" s="19"/>
      <c r="I882" s="1"/>
      <c r="J882" s="2"/>
      <c r="K882" s="2"/>
      <c r="L882" s="2"/>
      <c r="M882" s="2"/>
      <c r="N882" s="2"/>
      <c r="O882" s="16"/>
    </row>
    <row r="883" spans="4:15" ht="14.25" customHeight="1" x14ac:dyDescent="0.3">
      <c r="D883" s="15"/>
      <c r="E883" s="15"/>
      <c r="F883" s="21"/>
      <c r="G883" s="1"/>
      <c r="H883" s="19"/>
      <c r="I883" s="1"/>
      <c r="J883" s="2"/>
      <c r="K883" s="2"/>
      <c r="L883" s="2"/>
      <c r="M883" s="2"/>
      <c r="N883" s="2"/>
      <c r="O883" s="16"/>
    </row>
    <row r="884" spans="4:15" ht="14.25" customHeight="1" x14ac:dyDescent="0.3">
      <c r="D884" s="15"/>
      <c r="E884" s="15"/>
      <c r="F884" s="21"/>
      <c r="G884" s="1"/>
      <c r="H884" s="19"/>
      <c r="I884" s="1"/>
      <c r="J884" s="2"/>
      <c r="K884" s="2"/>
      <c r="L884" s="2"/>
      <c r="M884" s="2"/>
      <c r="N884" s="2"/>
      <c r="O884" s="16"/>
    </row>
    <row r="885" spans="4:15" ht="14.25" customHeight="1" x14ac:dyDescent="0.3">
      <c r="D885" s="15"/>
      <c r="E885" s="15"/>
      <c r="F885" s="21"/>
      <c r="G885" s="1"/>
      <c r="H885" s="19"/>
      <c r="I885" s="1"/>
      <c r="J885" s="2"/>
      <c r="K885" s="2"/>
      <c r="L885" s="2"/>
      <c r="M885" s="2"/>
      <c r="N885" s="2"/>
      <c r="O885" s="16"/>
    </row>
    <row r="886" spans="4:15" ht="14.25" customHeight="1" x14ac:dyDescent="0.3">
      <c r="D886" s="15"/>
      <c r="E886" s="15"/>
      <c r="F886" s="21"/>
      <c r="G886" s="1"/>
      <c r="H886" s="19"/>
      <c r="I886" s="1"/>
      <c r="J886" s="2"/>
      <c r="K886" s="2"/>
      <c r="L886" s="2"/>
      <c r="M886" s="2"/>
      <c r="N886" s="2"/>
      <c r="O886" s="16"/>
    </row>
    <row r="887" spans="4:15" ht="14.25" customHeight="1" x14ac:dyDescent="0.3">
      <c r="D887" s="15"/>
      <c r="E887" s="15"/>
      <c r="F887" s="21"/>
      <c r="G887" s="1"/>
      <c r="H887" s="19"/>
      <c r="I887" s="1"/>
      <c r="J887" s="2"/>
      <c r="K887" s="2"/>
      <c r="L887" s="2"/>
      <c r="M887" s="2"/>
      <c r="N887" s="2"/>
      <c r="O887" s="16"/>
    </row>
    <row r="888" spans="4:15" ht="14.25" customHeight="1" x14ac:dyDescent="0.3">
      <c r="D888" s="15"/>
      <c r="E888" s="15"/>
      <c r="F888" s="21"/>
      <c r="G888" s="1"/>
      <c r="H888" s="19"/>
      <c r="I888" s="1"/>
      <c r="J888" s="2"/>
      <c r="K888" s="2"/>
      <c r="L888" s="2"/>
      <c r="M888" s="2"/>
      <c r="N888" s="2"/>
      <c r="O888" s="16"/>
    </row>
    <row r="889" spans="4:15" ht="14.25" customHeight="1" x14ac:dyDescent="0.3">
      <c r="D889" s="15"/>
      <c r="E889" s="15"/>
      <c r="F889" s="21"/>
      <c r="G889" s="1"/>
      <c r="H889" s="19"/>
      <c r="I889" s="1"/>
      <c r="J889" s="2"/>
      <c r="K889" s="2"/>
      <c r="L889" s="2"/>
      <c r="M889" s="2"/>
      <c r="N889" s="2"/>
      <c r="O889" s="16"/>
    </row>
    <row r="890" spans="4:15" ht="14.25" customHeight="1" x14ac:dyDescent="0.3">
      <c r="D890" s="15"/>
      <c r="E890" s="15"/>
      <c r="F890" s="21"/>
      <c r="G890" s="1"/>
      <c r="H890" s="19"/>
      <c r="I890" s="1"/>
      <c r="J890" s="2"/>
      <c r="K890" s="2"/>
      <c r="L890" s="2"/>
      <c r="M890" s="2"/>
      <c r="N890" s="2"/>
      <c r="O890" s="16"/>
    </row>
    <row r="891" spans="4:15" ht="14.25" customHeight="1" x14ac:dyDescent="0.3">
      <c r="D891" s="15"/>
      <c r="E891" s="15"/>
      <c r="F891" s="21"/>
      <c r="G891" s="1"/>
      <c r="H891" s="19"/>
      <c r="I891" s="1"/>
      <c r="J891" s="2"/>
      <c r="K891" s="2"/>
      <c r="L891" s="2"/>
      <c r="M891" s="2"/>
      <c r="N891" s="2"/>
      <c r="O891" s="16"/>
    </row>
    <row r="892" spans="4:15" ht="14.25" customHeight="1" x14ac:dyDescent="0.3">
      <c r="D892" s="15"/>
      <c r="E892" s="15"/>
      <c r="F892" s="21"/>
      <c r="G892" s="1"/>
      <c r="H892" s="19"/>
      <c r="I892" s="1"/>
      <c r="J892" s="2"/>
      <c r="K892" s="2"/>
      <c r="L892" s="2"/>
      <c r="M892" s="2"/>
      <c r="N892" s="2"/>
      <c r="O892" s="16"/>
    </row>
    <row r="893" spans="4:15" ht="14.25" customHeight="1" x14ac:dyDescent="0.3">
      <c r="D893" s="15"/>
      <c r="E893" s="15"/>
      <c r="F893" s="21"/>
      <c r="G893" s="1"/>
      <c r="H893" s="19"/>
      <c r="I893" s="1"/>
      <c r="J893" s="2"/>
      <c r="K893" s="2"/>
      <c r="L893" s="2"/>
      <c r="M893" s="2"/>
      <c r="N893" s="2"/>
      <c r="O893" s="16"/>
    </row>
    <row r="894" spans="4:15" ht="14.25" customHeight="1" x14ac:dyDescent="0.3">
      <c r="D894" s="15"/>
      <c r="E894" s="15"/>
      <c r="F894" s="21"/>
      <c r="G894" s="1"/>
      <c r="H894" s="19"/>
      <c r="I894" s="1"/>
      <c r="J894" s="2"/>
      <c r="K894" s="2"/>
      <c r="L894" s="2"/>
      <c r="M894" s="2"/>
      <c r="N894" s="2"/>
      <c r="O894" s="16"/>
    </row>
    <row r="895" spans="4:15" ht="14.25" customHeight="1" x14ac:dyDescent="0.3">
      <c r="D895" s="15"/>
      <c r="E895" s="15"/>
      <c r="F895" s="21"/>
      <c r="G895" s="1"/>
      <c r="H895" s="19"/>
      <c r="I895" s="1"/>
      <c r="J895" s="2"/>
      <c r="K895" s="2"/>
      <c r="L895" s="2"/>
      <c r="M895" s="2"/>
      <c r="N895" s="2"/>
      <c r="O895" s="16"/>
    </row>
    <row r="896" spans="4:15" ht="14.25" customHeight="1" x14ac:dyDescent="0.3">
      <c r="D896" s="15"/>
      <c r="E896" s="15"/>
      <c r="F896" s="21"/>
      <c r="G896" s="1"/>
      <c r="H896" s="19"/>
      <c r="I896" s="1"/>
      <c r="J896" s="2"/>
      <c r="K896" s="2"/>
      <c r="L896" s="2"/>
      <c r="M896" s="2"/>
      <c r="N896" s="2"/>
      <c r="O896" s="16"/>
    </row>
    <row r="897" spans="4:15" ht="14.25" customHeight="1" x14ac:dyDescent="0.3">
      <c r="D897" s="15"/>
      <c r="E897" s="15"/>
      <c r="F897" s="21"/>
      <c r="G897" s="1"/>
      <c r="H897" s="19"/>
      <c r="I897" s="1"/>
      <c r="J897" s="2"/>
      <c r="K897" s="2"/>
      <c r="L897" s="2"/>
      <c r="M897" s="2"/>
      <c r="N897" s="2"/>
      <c r="O897" s="16"/>
    </row>
    <row r="898" spans="4:15" ht="14.25" customHeight="1" x14ac:dyDescent="0.3">
      <c r="D898" s="15"/>
      <c r="E898" s="15"/>
      <c r="F898" s="21"/>
      <c r="G898" s="1"/>
      <c r="H898" s="19"/>
      <c r="I898" s="1"/>
      <c r="J898" s="2"/>
      <c r="K898" s="2"/>
      <c r="L898" s="2"/>
      <c r="M898" s="2"/>
      <c r="N898" s="2"/>
      <c r="O898" s="16"/>
    </row>
    <row r="899" spans="4:15" ht="14.25" customHeight="1" x14ac:dyDescent="0.3">
      <c r="D899" s="15"/>
      <c r="E899" s="15"/>
      <c r="F899" s="21"/>
      <c r="G899" s="1"/>
      <c r="H899" s="19"/>
      <c r="I899" s="1"/>
      <c r="J899" s="2"/>
      <c r="K899" s="2"/>
      <c r="L899" s="2"/>
      <c r="M899" s="2"/>
      <c r="N899" s="2"/>
      <c r="O899" s="16"/>
    </row>
    <row r="900" spans="4:15" ht="14.25" customHeight="1" x14ac:dyDescent="0.3">
      <c r="D900" s="15"/>
      <c r="E900" s="15"/>
      <c r="F900" s="21"/>
      <c r="G900" s="1"/>
      <c r="H900" s="19"/>
      <c r="I900" s="1"/>
      <c r="J900" s="2"/>
      <c r="K900" s="2"/>
      <c r="L900" s="2"/>
      <c r="M900" s="2"/>
      <c r="N900" s="2"/>
      <c r="O900" s="16"/>
    </row>
    <row r="901" spans="4:15" ht="14.25" customHeight="1" x14ac:dyDescent="0.3">
      <c r="D901" s="15"/>
      <c r="E901" s="15"/>
      <c r="F901" s="21"/>
      <c r="G901" s="1"/>
      <c r="H901" s="19"/>
      <c r="I901" s="1"/>
      <c r="J901" s="2"/>
      <c r="K901" s="2"/>
      <c r="L901" s="2"/>
      <c r="M901" s="2"/>
      <c r="N901" s="2"/>
      <c r="O901" s="16"/>
    </row>
    <row r="902" spans="4:15" ht="14.25" customHeight="1" x14ac:dyDescent="0.3">
      <c r="D902" s="15"/>
      <c r="E902" s="15"/>
      <c r="F902" s="21"/>
      <c r="G902" s="1"/>
      <c r="H902" s="19"/>
      <c r="I902" s="1"/>
      <c r="J902" s="2"/>
      <c r="K902" s="2"/>
      <c r="L902" s="2"/>
      <c r="M902" s="2"/>
      <c r="N902" s="2"/>
      <c r="O902" s="16"/>
    </row>
    <row r="903" spans="4:15" ht="14.25" customHeight="1" x14ac:dyDescent="0.3">
      <c r="D903" s="15"/>
      <c r="E903" s="15"/>
      <c r="F903" s="21"/>
      <c r="G903" s="1"/>
      <c r="H903" s="19"/>
      <c r="I903" s="1"/>
      <c r="J903" s="2"/>
      <c r="K903" s="2"/>
      <c r="L903" s="2"/>
      <c r="M903" s="2"/>
      <c r="N903" s="2"/>
      <c r="O903" s="16"/>
    </row>
    <row r="904" spans="4:15" ht="14.25" customHeight="1" x14ac:dyDescent="0.3">
      <c r="D904" s="15"/>
      <c r="E904" s="15"/>
      <c r="F904" s="21"/>
      <c r="G904" s="1"/>
      <c r="H904" s="19"/>
      <c r="I904" s="1"/>
      <c r="J904" s="2"/>
      <c r="K904" s="2"/>
      <c r="L904" s="2"/>
      <c r="M904" s="2"/>
      <c r="N904" s="2"/>
      <c r="O904" s="16"/>
    </row>
    <row r="905" spans="4:15" ht="14.25" customHeight="1" x14ac:dyDescent="0.3">
      <c r="D905" s="15"/>
      <c r="E905" s="15"/>
      <c r="F905" s="21"/>
      <c r="G905" s="1"/>
      <c r="H905" s="19"/>
      <c r="I905" s="1"/>
      <c r="J905" s="2"/>
      <c r="K905" s="2"/>
      <c r="L905" s="2"/>
      <c r="M905" s="2"/>
      <c r="N905" s="2"/>
      <c r="O905" s="16"/>
    </row>
    <row r="906" spans="4:15" ht="14.25" customHeight="1" x14ac:dyDescent="0.3">
      <c r="D906" s="15"/>
      <c r="E906" s="15"/>
      <c r="F906" s="21"/>
      <c r="G906" s="1"/>
      <c r="H906" s="19"/>
      <c r="I906" s="1"/>
      <c r="J906" s="2"/>
      <c r="K906" s="2"/>
      <c r="L906" s="2"/>
      <c r="M906" s="2"/>
      <c r="N906" s="2"/>
      <c r="O906" s="16"/>
    </row>
    <row r="907" spans="4:15" ht="14.25" customHeight="1" x14ac:dyDescent="0.3">
      <c r="D907" s="15"/>
      <c r="E907" s="15"/>
      <c r="F907" s="21"/>
      <c r="G907" s="1"/>
      <c r="H907" s="19"/>
      <c r="I907" s="1"/>
      <c r="J907" s="2"/>
      <c r="K907" s="2"/>
      <c r="L907" s="2"/>
      <c r="M907" s="2"/>
      <c r="N907" s="2"/>
      <c r="O907" s="16"/>
    </row>
    <row r="908" spans="4:15" ht="14.25" customHeight="1" x14ac:dyDescent="0.3">
      <c r="D908" s="15"/>
      <c r="E908" s="15"/>
      <c r="F908" s="21"/>
      <c r="G908" s="1"/>
      <c r="H908" s="19"/>
      <c r="I908" s="1"/>
      <c r="J908" s="2"/>
      <c r="K908" s="2"/>
      <c r="L908" s="2"/>
      <c r="M908" s="2"/>
      <c r="N908" s="2"/>
      <c r="O908" s="16"/>
    </row>
    <row r="909" spans="4:15" ht="14.25" customHeight="1" x14ac:dyDescent="0.3">
      <c r="D909" s="15"/>
      <c r="E909" s="15"/>
      <c r="F909" s="21"/>
      <c r="G909" s="1"/>
      <c r="H909" s="19"/>
      <c r="I909" s="1"/>
      <c r="J909" s="2"/>
      <c r="K909" s="2"/>
      <c r="L909" s="2"/>
      <c r="M909" s="2"/>
      <c r="N909" s="2"/>
      <c r="O909" s="16"/>
    </row>
    <row r="910" spans="4:15" ht="14.25" customHeight="1" x14ac:dyDescent="0.3">
      <c r="D910" s="15"/>
      <c r="E910" s="15"/>
      <c r="F910" s="21"/>
      <c r="G910" s="1"/>
      <c r="H910" s="19"/>
      <c r="I910" s="1"/>
      <c r="J910" s="2"/>
      <c r="K910" s="2"/>
      <c r="L910" s="2"/>
      <c r="M910" s="2"/>
      <c r="N910" s="2"/>
      <c r="O910" s="16"/>
    </row>
    <row r="911" spans="4:15" ht="14.25" customHeight="1" x14ac:dyDescent="0.3">
      <c r="D911" s="15"/>
      <c r="E911" s="15"/>
      <c r="F911" s="21"/>
      <c r="G911" s="1"/>
      <c r="H911" s="19"/>
      <c r="I911" s="1"/>
      <c r="J911" s="2"/>
      <c r="K911" s="2"/>
      <c r="L911" s="2"/>
      <c r="M911" s="2"/>
      <c r="N911" s="2"/>
      <c r="O911" s="16"/>
    </row>
    <row r="912" spans="4:15" ht="14.25" customHeight="1" x14ac:dyDescent="0.3">
      <c r="D912" s="15"/>
      <c r="E912" s="15"/>
      <c r="F912" s="21"/>
      <c r="G912" s="1"/>
      <c r="H912" s="19"/>
      <c r="I912" s="1"/>
      <c r="J912" s="2"/>
      <c r="K912" s="2"/>
      <c r="L912" s="2"/>
      <c r="M912" s="2"/>
      <c r="N912" s="2"/>
      <c r="O912" s="16"/>
    </row>
    <row r="913" spans="4:15" ht="14.25" customHeight="1" x14ac:dyDescent="0.3">
      <c r="D913" s="15"/>
      <c r="E913" s="15"/>
      <c r="F913" s="21"/>
      <c r="G913" s="1"/>
      <c r="H913" s="19"/>
      <c r="I913" s="1"/>
      <c r="J913" s="2"/>
      <c r="K913" s="2"/>
      <c r="L913" s="2"/>
      <c r="M913" s="2"/>
      <c r="N913" s="2"/>
      <c r="O913" s="16"/>
    </row>
    <row r="914" spans="4:15" ht="14.25" customHeight="1" x14ac:dyDescent="0.3">
      <c r="D914" s="15"/>
      <c r="E914" s="15"/>
      <c r="F914" s="21"/>
      <c r="G914" s="1"/>
      <c r="H914" s="19"/>
      <c r="I914" s="1"/>
      <c r="J914" s="2"/>
      <c r="K914" s="2"/>
      <c r="L914" s="2"/>
      <c r="M914" s="2"/>
      <c r="N914" s="2"/>
      <c r="O914" s="16"/>
    </row>
    <row r="915" spans="4:15" ht="14.25" customHeight="1" x14ac:dyDescent="0.3">
      <c r="D915" s="15"/>
      <c r="E915" s="15"/>
      <c r="F915" s="21"/>
      <c r="G915" s="1"/>
      <c r="H915" s="19"/>
      <c r="I915" s="1"/>
      <c r="J915" s="2"/>
      <c r="K915" s="2"/>
      <c r="L915" s="2"/>
      <c r="M915" s="2"/>
      <c r="N915" s="2"/>
      <c r="O915" s="16"/>
    </row>
    <row r="916" spans="4:15" ht="14.25" customHeight="1" x14ac:dyDescent="0.3">
      <c r="D916" s="15"/>
      <c r="E916" s="15"/>
      <c r="F916" s="21"/>
      <c r="G916" s="1"/>
      <c r="H916" s="19"/>
      <c r="I916" s="1"/>
      <c r="J916" s="2"/>
      <c r="K916" s="2"/>
      <c r="L916" s="2"/>
      <c r="M916" s="2"/>
      <c r="N916" s="2"/>
      <c r="O916" s="16"/>
    </row>
    <row r="917" spans="4:15" ht="14.25" customHeight="1" x14ac:dyDescent="0.3">
      <c r="D917" s="15"/>
      <c r="E917" s="15"/>
      <c r="F917" s="21"/>
      <c r="G917" s="1"/>
      <c r="H917" s="19"/>
      <c r="I917" s="1"/>
      <c r="J917" s="2"/>
      <c r="K917" s="2"/>
      <c r="L917" s="2"/>
      <c r="M917" s="2"/>
      <c r="N917" s="2"/>
      <c r="O917" s="16"/>
    </row>
    <row r="918" spans="4:15" ht="14.25" customHeight="1" x14ac:dyDescent="0.3">
      <c r="D918" s="15"/>
      <c r="E918" s="15"/>
      <c r="F918" s="21"/>
      <c r="G918" s="1"/>
      <c r="H918" s="19"/>
      <c r="I918" s="1"/>
      <c r="J918" s="2"/>
      <c r="K918" s="2"/>
      <c r="L918" s="2"/>
      <c r="M918" s="2"/>
      <c r="N918" s="2"/>
      <c r="O918" s="16"/>
    </row>
    <row r="919" spans="4:15" ht="14.25" customHeight="1" x14ac:dyDescent="0.3">
      <c r="D919" s="15"/>
      <c r="E919" s="15"/>
      <c r="F919" s="21"/>
      <c r="G919" s="1"/>
      <c r="H919" s="19"/>
      <c r="I919" s="1"/>
      <c r="J919" s="2"/>
      <c r="K919" s="2"/>
      <c r="L919" s="2"/>
      <c r="M919" s="2"/>
      <c r="N919" s="2"/>
      <c r="O919" s="16"/>
    </row>
    <row r="920" spans="4:15" ht="14.25" customHeight="1" x14ac:dyDescent="0.3">
      <c r="D920" s="15"/>
      <c r="E920" s="15"/>
      <c r="F920" s="21"/>
      <c r="G920" s="1"/>
      <c r="H920" s="19"/>
      <c r="I920" s="1"/>
      <c r="J920" s="2"/>
      <c r="K920" s="2"/>
      <c r="L920" s="2"/>
      <c r="M920" s="2"/>
      <c r="N920" s="2"/>
      <c r="O920" s="16"/>
    </row>
    <row r="921" spans="4:15" ht="14.25" customHeight="1" x14ac:dyDescent="0.3">
      <c r="D921" s="15"/>
      <c r="E921" s="15"/>
      <c r="F921" s="21"/>
      <c r="G921" s="1"/>
      <c r="H921" s="19"/>
      <c r="I921" s="1"/>
      <c r="J921" s="2"/>
      <c r="K921" s="2"/>
      <c r="L921" s="2"/>
      <c r="M921" s="2"/>
      <c r="N921" s="2"/>
      <c r="O921" s="16"/>
    </row>
    <row r="922" spans="4:15" ht="14.25" customHeight="1" x14ac:dyDescent="0.3">
      <c r="D922" s="15"/>
      <c r="E922" s="15"/>
      <c r="F922" s="21"/>
      <c r="G922" s="1"/>
      <c r="H922" s="19"/>
      <c r="I922" s="1"/>
      <c r="J922" s="2"/>
      <c r="K922" s="2"/>
      <c r="L922" s="2"/>
      <c r="M922" s="2"/>
      <c r="N922" s="2"/>
      <c r="O922" s="16"/>
    </row>
    <row r="923" spans="4:15" ht="14.25" customHeight="1" x14ac:dyDescent="0.3">
      <c r="D923" s="15"/>
      <c r="E923" s="15"/>
      <c r="F923" s="21"/>
      <c r="G923" s="1"/>
      <c r="H923" s="19"/>
      <c r="I923" s="1"/>
      <c r="J923" s="2"/>
      <c r="K923" s="2"/>
      <c r="L923" s="2"/>
      <c r="M923" s="2"/>
      <c r="N923" s="2"/>
      <c r="O923" s="16"/>
    </row>
    <row r="924" spans="4:15" ht="14.25" customHeight="1" x14ac:dyDescent="0.3">
      <c r="D924" s="15"/>
      <c r="E924" s="15"/>
      <c r="F924" s="21"/>
      <c r="G924" s="1"/>
      <c r="H924" s="19"/>
      <c r="I924" s="1"/>
      <c r="J924" s="2"/>
      <c r="K924" s="2"/>
      <c r="L924" s="2"/>
      <c r="M924" s="2"/>
      <c r="N924" s="2"/>
      <c r="O924" s="16"/>
    </row>
    <row r="925" spans="4:15" ht="14.25" customHeight="1" x14ac:dyDescent="0.3">
      <c r="D925" s="15"/>
      <c r="E925" s="15"/>
      <c r="F925" s="21"/>
      <c r="G925" s="1"/>
      <c r="H925" s="19"/>
      <c r="I925" s="1"/>
      <c r="J925" s="2"/>
      <c r="K925" s="2"/>
      <c r="L925" s="2"/>
      <c r="M925" s="2"/>
      <c r="N925" s="2"/>
      <c r="O925" s="16"/>
    </row>
    <row r="926" spans="4:15" ht="14.25" customHeight="1" x14ac:dyDescent="0.3">
      <c r="D926" s="15"/>
      <c r="E926" s="15"/>
      <c r="F926" s="21"/>
      <c r="G926" s="1"/>
      <c r="H926" s="19"/>
      <c r="I926" s="1"/>
      <c r="J926" s="2"/>
      <c r="K926" s="2"/>
      <c r="L926" s="2"/>
      <c r="M926" s="2"/>
      <c r="N926" s="2"/>
      <c r="O926" s="16"/>
    </row>
    <row r="927" spans="4:15" ht="14.25" customHeight="1" x14ac:dyDescent="0.3">
      <c r="D927" s="15"/>
      <c r="E927" s="15"/>
      <c r="F927" s="21"/>
      <c r="G927" s="1"/>
      <c r="H927" s="19"/>
      <c r="I927" s="1"/>
      <c r="J927" s="2"/>
      <c r="K927" s="2"/>
      <c r="L927" s="2"/>
      <c r="M927" s="2"/>
      <c r="N927" s="2"/>
      <c r="O927" s="16"/>
    </row>
    <row r="928" spans="4:15" ht="14.25" customHeight="1" x14ac:dyDescent="0.3">
      <c r="D928" s="15"/>
      <c r="E928" s="15"/>
      <c r="F928" s="21"/>
      <c r="G928" s="1"/>
      <c r="H928" s="19"/>
      <c r="I928" s="1"/>
      <c r="J928" s="2"/>
      <c r="K928" s="2"/>
      <c r="L928" s="2"/>
      <c r="M928" s="2"/>
      <c r="N928" s="2"/>
      <c r="O928" s="16"/>
    </row>
    <row r="929" spans="4:15" ht="14.25" customHeight="1" x14ac:dyDescent="0.3">
      <c r="D929" s="15"/>
      <c r="E929" s="15"/>
      <c r="F929" s="21"/>
      <c r="G929" s="1"/>
      <c r="H929" s="19"/>
      <c r="I929" s="1"/>
      <c r="J929" s="2"/>
      <c r="K929" s="2"/>
      <c r="L929" s="2"/>
      <c r="M929" s="2"/>
      <c r="N929" s="2"/>
      <c r="O929" s="16"/>
    </row>
    <row r="930" spans="4:15" ht="14.25" customHeight="1" x14ac:dyDescent="0.3">
      <c r="D930" s="15"/>
      <c r="E930" s="15"/>
      <c r="F930" s="21"/>
      <c r="G930" s="1"/>
      <c r="H930" s="19"/>
      <c r="I930" s="1"/>
      <c r="J930" s="2"/>
      <c r="K930" s="2"/>
      <c r="L930" s="2"/>
      <c r="M930" s="2"/>
      <c r="N930" s="2"/>
      <c r="O930" s="16"/>
    </row>
    <row r="931" spans="4:15" ht="14.25" customHeight="1" x14ac:dyDescent="0.3">
      <c r="D931" s="15"/>
      <c r="E931" s="15"/>
      <c r="F931" s="21"/>
      <c r="G931" s="1"/>
      <c r="H931" s="19"/>
      <c r="I931" s="1"/>
      <c r="J931" s="2"/>
      <c r="K931" s="2"/>
      <c r="L931" s="2"/>
      <c r="M931" s="2"/>
      <c r="N931" s="2"/>
      <c r="O931" s="16"/>
    </row>
    <row r="932" spans="4:15" ht="14.25" customHeight="1" x14ac:dyDescent="0.3">
      <c r="D932" s="15"/>
      <c r="E932" s="15"/>
      <c r="F932" s="21"/>
      <c r="G932" s="1"/>
      <c r="H932" s="19"/>
      <c r="I932" s="1"/>
      <c r="J932" s="2"/>
      <c r="K932" s="2"/>
      <c r="L932" s="2"/>
      <c r="M932" s="2"/>
      <c r="N932" s="2"/>
      <c r="O932" s="16"/>
    </row>
    <row r="933" spans="4:15" ht="14.25" customHeight="1" x14ac:dyDescent="0.3">
      <c r="D933" s="15"/>
      <c r="E933" s="15"/>
      <c r="F933" s="21"/>
      <c r="G933" s="1"/>
      <c r="H933" s="19"/>
      <c r="I933" s="1"/>
      <c r="J933" s="2"/>
      <c r="K933" s="2"/>
      <c r="L933" s="2"/>
      <c r="M933" s="2"/>
      <c r="N933" s="2"/>
      <c r="O933" s="16"/>
    </row>
    <row r="934" spans="4:15" ht="14.25" customHeight="1" x14ac:dyDescent="0.3">
      <c r="D934" s="15"/>
      <c r="E934" s="15"/>
      <c r="F934" s="21"/>
      <c r="G934" s="1"/>
      <c r="H934" s="19"/>
      <c r="I934" s="1"/>
      <c r="J934" s="2"/>
      <c r="K934" s="2"/>
      <c r="L934" s="2"/>
      <c r="M934" s="2"/>
      <c r="N934" s="2"/>
      <c r="O934" s="16"/>
    </row>
    <row r="935" spans="4:15" ht="14.25" customHeight="1" x14ac:dyDescent="0.3">
      <c r="D935" s="15"/>
      <c r="E935" s="15"/>
      <c r="F935" s="21"/>
      <c r="G935" s="1"/>
      <c r="H935" s="19"/>
      <c r="I935" s="1"/>
      <c r="J935" s="2"/>
      <c r="K935" s="2"/>
      <c r="L935" s="2"/>
      <c r="M935" s="2"/>
      <c r="N935" s="2"/>
      <c r="O935" s="16"/>
    </row>
    <row r="936" spans="4:15" ht="14.25" customHeight="1" x14ac:dyDescent="0.3">
      <c r="D936" s="15"/>
      <c r="E936" s="15"/>
      <c r="F936" s="21"/>
      <c r="G936" s="1"/>
      <c r="H936" s="19"/>
      <c r="I936" s="1"/>
      <c r="J936" s="2"/>
      <c r="K936" s="2"/>
      <c r="L936" s="2"/>
      <c r="M936" s="2"/>
      <c r="N936" s="2"/>
      <c r="O936" s="16"/>
    </row>
    <row r="937" spans="4:15" ht="14.25" customHeight="1" x14ac:dyDescent="0.3">
      <c r="D937" s="15"/>
      <c r="E937" s="15"/>
      <c r="F937" s="21"/>
      <c r="G937" s="1"/>
      <c r="H937" s="19"/>
      <c r="I937" s="1"/>
      <c r="J937" s="2"/>
      <c r="K937" s="2"/>
      <c r="L937" s="2"/>
      <c r="M937" s="2"/>
      <c r="N937" s="2"/>
      <c r="O937" s="16"/>
    </row>
    <row r="938" spans="4:15" ht="14.25" customHeight="1" x14ac:dyDescent="0.3">
      <c r="D938" s="15"/>
      <c r="E938" s="15"/>
      <c r="F938" s="21"/>
      <c r="G938" s="1"/>
      <c r="H938" s="19"/>
      <c r="I938" s="1"/>
      <c r="J938" s="2"/>
      <c r="K938" s="2"/>
      <c r="L938" s="2"/>
      <c r="M938" s="2"/>
      <c r="N938" s="2"/>
      <c r="O938" s="16"/>
    </row>
    <row r="939" spans="4:15" ht="14.25" customHeight="1" x14ac:dyDescent="0.3">
      <c r="D939" s="15"/>
      <c r="E939" s="15"/>
      <c r="F939" s="21"/>
      <c r="G939" s="1"/>
      <c r="H939" s="19"/>
      <c r="I939" s="1"/>
      <c r="J939" s="2"/>
      <c r="K939" s="2"/>
      <c r="L939" s="2"/>
      <c r="M939" s="2"/>
      <c r="N939" s="2"/>
      <c r="O939" s="16"/>
    </row>
    <row r="940" spans="4:15" ht="14.25" customHeight="1" x14ac:dyDescent="0.3">
      <c r="D940" s="15"/>
      <c r="E940" s="15"/>
      <c r="F940" s="21"/>
      <c r="G940" s="1"/>
      <c r="H940" s="19"/>
      <c r="I940" s="1"/>
      <c r="J940" s="2"/>
      <c r="K940" s="2"/>
      <c r="L940" s="2"/>
      <c r="M940" s="2"/>
      <c r="N940" s="2"/>
      <c r="O940" s="16"/>
    </row>
    <row r="941" spans="4:15" ht="14.25" customHeight="1" x14ac:dyDescent="0.3">
      <c r="D941" s="15"/>
      <c r="E941" s="15"/>
      <c r="F941" s="21"/>
      <c r="G941" s="1"/>
      <c r="H941" s="19"/>
      <c r="I941" s="1"/>
      <c r="J941" s="2"/>
      <c r="K941" s="2"/>
      <c r="L941" s="2"/>
      <c r="M941" s="2"/>
      <c r="N941" s="2"/>
      <c r="O941" s="16"/>
    </row>
    <row r="942" spans="4:15" ht="14.25" customHeight="1" x14ac:dyDescent="0.3">
      <c r="D942" s="15"/>
      <c r="E942" s="15"/>
      <c r="F942" s="21"/>
      <c r="G942" s="1"/>
      <c r="H942" s="19"/>
      <c r="I942" s="1"/>
      <c r="J942" s="2"/>
      <c r="K942" s="2"/>
      <c r="L942" s="2"/>
      <c r="M942" s="2"/>
      <c r="N942" s="2"/>
      <c r="O942" s="16"/>
    </row>
    <row r="943" spans="4:15" ht="14.25" customHeight="1" x14ac:dyDescent="0.3">
      <c r="D943" s="15"/>
      <c r="E943" s="15"/>
      <c r="F943" s="21"/>
      <c r="G943" s="1"/>
      <c r="H943" s="19"/>
      <c r="I943" s="1"/>
      <c r="J943" s="2"/>
      <c r="K943" s="2"/>
      <c r="L943" s="2"/>
      <c r="M943" s="2"/>
      <c r="N943" s="2"/>
      <c r="O943" s="16"/>
    </row>
    <row r="944" spans="4:15" ht="14.25" customHeight="1" x14ac:dyDescent="0.3">
      <c r="D944" s="15"/>
      <c r="E944" s="15"/>
      <c r="F944" s="21"/>
      <c r="G944" s="1"/>
      <c r="H944" s="19"/>
      <c r="I944" s="1"/>
      <c r="J944" s="2"/>
      <c r="K944" s="2"/>
      <c r="L944" s="2"/>
      <c r="M944" s="2"/>
      <c r="N944" s="2"/>
      <c r="O944" s="16"/>
    </row>
    <row r="945" spans="4:15" ht="14.25" customHeight="1" x14ac:dyDescent="0.3">
      <c r="D945" s="15"/>
      <c r="E945" s="15"/>
      <c r="F945" s="21"/>
      <c r="G945" s="1"/>
      <c r="H945" s="19"/>
      <c r="I945" s="1"/>
      <c r="J945" s="2"/>
      <c r="K945" s="2"/>
      <c r="L945" s="2"/>
      <c r="M945" s="2"/>
      <c r="N945" s="2"/>
      <c r="O945" s="16"/>
    </row>
    <row r="946" spans="4:15" ht="14.25" customHeight="1" x14ac:dyDescent="0.3">
      <c r="D946" s="15"/>
      <c r="E946" s="15"/>
      <c r="F946" s="21"/>
      <c r="G946" s="1"/>
      <c r="H946" s="19"/>
      <c r="I946" s="1"/>
      <c r="J946" s="2"/>
      <c r="K946" s="2"/>
      <c r="L946" s="2"/>
      <c r="M946" s="2"/>
      <c r="N946" s="2"/>
      <c r="O946" s="16"/>
    </row>
    <row r="947" spans="4:15" ht="14.25" customHeight="1" x14ac:dyDescent="0.3">
      <c r="D947" s="15"/>
      <c r="E947" s="15"/>
      <c r="F947" s="21"/>
      <c r="G947" s="1"/>
      <c r="H947" s="19"/>
      <c r="I947" s="1"/>
      <c r="J947" s="2"/>
      <c r="K947" s="2"/>
      <c r="L947" s="2"/>
      <c r="M947" s="2"/>
      <c r="N947" s="2"/>
      <c r="O947" s="16"/>
    </row>
    <row r="948" spans="4:15" ht="14.25" customHeight="1" x14ac:dyDescent="0.3">
      <c r="D948" s="15"/>
      <c r="E948" s="15"/>
      <c r="F948" s="21"/>
      <c r="G948" s="1"/>
      <c r="H948" s="19"/>
      <c r="I948" s="1"/>
      <c r="J948" s="2"/>
      <c r="K948" s="2"/>
      <c r="L948" s="2"/>
      <c r="M948" s="2"/>
      <c r="N948" s="2"/>
      <c r="O948" s="16"/>
    </row>
    <row r="949" spans="4:15" ht="14.25" customHeight="1" x14ac:dyDescent="0.3">
      <c r="D949" s="15"/>
      <c r="E949" s="15"/>
      <c r="F949" s="21"/>
      <c r="G949" s="1"/>
      <c r="H949" s="19"/>
      <c r="I949" s="1"/>
      <c r="J949" s="2"/>
      <c r="K949" s="2"/>
      <c r="L949" s="2"/>
      <c r="M949" s="2"/>
      <c r="N949" s="2"/>
      <c r="O949" s="16"/>
    </row>
    <row r="950" spans="4:15" ht="14.25" customHeight="1" x14ac:dyDescent="0.3">
      <c r="D950" s="15"/>
      <c r="E950" s="15"/>
      <c r="F950" s="21"/>
      <c r="G950" s="1"/>
      <c r="H950" s="19"/>
      <c r="I950" s="1"/>
      <c r="J950" s="2"/>
      <c r="K950" s="2"/>
      <c r="L950" s="2"/>
      <c r="M950" s="2"/>
      <c r="N950" s="2"/>
      <c r="O950" s="16"/>
    </row>
    <row r="951" spans="4:15" ht="14.25" customHeight="1" x14ac:dyDescent="0.3">
      <c r="D951" s="15"/>
      <c r="E951" s="15"/>
      <c r="F951" s="21"/>
      <c r="G951" s="1"/>
      <c r="H951" s="19"/>
      <c r="I951" s="1"/>
      <c r="J951" s="2"/>
      <c r="K951" s="2"/>
      <c r="L951" s="2"/>
      <c r="M951" s="2"/>
      <c r="N951" s="2"/>
      <c r="O951" s="16"/>
    </row>
    <row r="952" spans="4:15" ht="14.25" customHeight="1" x14ac:dyDescent="0.3">
      <c r="D952" s="15"/>
      <c r="E952" s="15"/>
      <c r="F952" s="21"/>
      <c r="G952" s="1"/>
      <c r="H952" s="19"/>
      <c r="I952" s="1"/>
      <c r="J952" s="2"/>
      <c r="K952" s="2"/>
      <c r="L952" s="2"/>
      <c r="M952" s="2"/>
      <c r="N952" s="2"/>
      <c r="O952" s="16"/>
    </row>
    <row r="953" spans="4:15" ht="14.25" customHeight="1" x14ac:dyDescent="0.3">
      <c r="D953" s="15"/>
      <c r="E953" s="15"/>
      <c r="F953" s="21"/>
      <c r="G953" s="1"/>
      <c r="H953" s="19"/>
      <c r="I953" s="1"/>
      <c r="J953" s="2"/>
      <c r="K953" s="2"/>
      <c r="L953" s="2"/>
      <c r="M953" s="2"/>
      <c r="N953" s="2"/>
      <c r="O953" s="16"/>
    </row>
    <row r="954" spans="4:15" ht="14.25" customHeight="1" x14ac:dyDescent="0.3">
      <c r="D954" s="15"/>
      <c r="E954" s="15"/>
      <c r="F954" s="21"/>
      <c r="G954" s="1"/>
      <c r="H954" s="19"/>
      <c r="I954" s="1"/>
      <c r="J954" s="2"/>
      <c r="K954" s="2"/>
      <c r="L954" s="2"/>
      <c r="M954" s="2"/>
      <c r="N954" s="2"/>
      <c r="O954" s="16"/>
    </row>
    <row r="955" spans="4:15" ht="14.25" customHeight="1" x14ac:dyDescent="0.3">
      <c r="D955" s="15"/>
      <c r="E955" s="15"/>
      <c r="F955" s="21"/>
      <c r="G955" s="1"/>
      <c r="H955" s="19"/>
      <c r="I955" s="1"/>
      <c r="J955" s="2"/>
      <c r="K955" s="2"/>
      <c r="L955" s="2"/>
      <c r="M955" s="2"/>
      <c r="N955" s="2"/>
      <c r="O955" s="16"/>
    </row>
    <row r="956" spans="4:15" ht="14.25" customHeight="1" x14ac:dyDescent="0.3">
      <c r="D956" s="15"/>
      <c r="E956" s="15"/>
      <c r="F956" s="21"/>
      <c r="G956" s="1"/>
      <c r="H956" s="19"/>
      <c r="I956" s="1"/>
      <c r="J956" s="2"/>
      <c r="K956" s="2"/>
      <c r="L956" s="2"/>
      <c r="M956" s="2"/>
      <c r="N956" s="2"/>
      <c r="O956" s="16"/>
    </row>
    <row r="957" spans="4:15" ht="14.25" customHeight="1" x14ac:dyDescent="0.3">
      <c r="D957" s="15"/>
      <c r="E957" s="15"/>
      <c r="F957" s="21"/>
      <c r="G957" s="1"/>
      <c r="H957" s="19"/>
      <c r="I957" s="1"/>
      <c r="J957" s="2"/>
      <c r="K957" s="2"/>
      <c r="L957" s="2"/>
      <c r="M957" s="2"/>
      <c r="N957" s="2"/>
      <c r="O957" s="16"/>
    </row>
    <row r="958" spans="4:15" ht="14.25" customHeight="1" x14ac:dyDescent="0.3">
      <c r="D958" s="15"/>
      <c r="E958" s="15"/>
      <c r="F958" s="21"/>
      <c r="G958" s="1"/>
      <c r="H958" s="19"/>
      <c r="I958" s="1"/>
      <c r="J958" s="2"/>
      <c r="K958" s="2"/>
      <c r="L958" s="2"/>
      <c r="M958" s="2"/>
      <c r="N958" s="2"/>
      <c r="O958" s="16"/>
    </row>
    <row r="959" spans="4:15" ht="14.25" customHeight="1" x14ac:dyDescent="0.3">
      <c r="D959" s="15"/>
      <c r="E959" s="15"/>
      <c r="F959" s="21"/>
      <c r="G959" s="1"/>
      <c r="H959" s="19"/>
      <c r="I959" s="1"/>
      <c r="J959" s="2"/>
      <c r="K959" s="2"/>
      <c r="L959" s="2"/>
      <c r="M959" s="2"/>
      <c r="N959" s="2"/>
      <c r="O959" s="16"/>
    </row>
    <row r="960" spans="4:15" ht="14.25" customHeight="1" x14ac:dyDescent="0.3">
      <c r="D960" s="15"/>
      <c r="E960" s="15"/>
      <c r="F960" s="21"/>
      <c r="G960" s="1"/>
      <c r="H960" s="19"/>
      <c r="I960" s="1"/>
      <c r="J960" s="2"/>
      <c r="K960" s="2"/>
      <c r="L960" s="2"/>
      <c r="M960" s="2"/>
      <c r="N960" s="2"/>
      <c r="O960" s="16"/>
    </row>
    <row r="961" spans="4:15" ht="14.25" customHeight="1" x14ac:dyDescent="0.3">
      <c r="D961" s="15"/>
      <c r="E961" s="15"/>
      <c r="F961" s="21"/>
      <c r="G961" s="1"/>
      <c r="H961" s="19"/>
      <c r="I961" s="1"/>
      <c r="J961" s="2"/>
      <c r="K961" s="2"/>
      <c r="L961" s="2"/>
      <c r="M961" s="2"/>
      <c r="N961" s="2"/>
      <c r="O961" s="16"/>
    </row>
    <row r="962" spans="4:15" ht="14.25" customHeight="1" x14ac:dyDescent="0.3">
      <c r="D962" s="15"/>
      <c r="E962" s="15"/>
      <c r="F962" s="21"/>
      <c r="G962" s="1"/>
      <c r="H962" s="19"/>
      <c r="I962" s="1"/>
      <c r="J962" s="2"/>
      <c r="K962" s="2"/>
      <c r="L962" s="2"/>
      <c r="M962" s="2"/>
      <c r="N962" s="2"/>
      <c r="O962" s="16"/>
    </row>
    <row r="963" spans="4:15" ht="14.25" customHeight="1" x14ac:dyDescent="0.3">
      <c r="D963" s="15"/>
      <c r="E963" s="15"/>
      <c r="F963" s="21"/>
      <c r="G963" s="1"/>
      <c r="H963" s="19"/>
      <c r="I963" s="1"/>
      <c r="J963" s="2"/>
      <c r="K963" s="2"/>
      <c r="L963" s="2"/>
      <c r="M963" s="2"/>
      <c r="N963" s="2"/>
      <c r="O963" s="16"/>
    </row>
    <row r="964" spans="4:15" ht="14.25" customHeight="1" x14ac:dyDescent="0.3">
      <c r="D964" s="15"/>
      <c r="E964" s="15"/>
      <c r="F964" s="21"/>
      <c r="G964" s="1"/>
      <c r="H964" s="19"/>
      <c r="I964" s="1"/>
      <c r="J964" s="2"/>
      <c r="K964" s="2"/>
      <c r="L964" s="2"/>
      <c r="M964" s="2"/>
      <c r="N964" s="2"/>
      <c r="O964" s="16"/>
    </row>
    <row r="965" spans="4:15" ht="14.25" customHeight="1" x14ac:dyDescent="0.3">
      <c r="D965" s="15"/>
      <c r="E965" s="15"/>
      <c r="F965" s="21"/>
      <c r="G965" s="1"/>
      <c r="H965" s="19"/>
      <c r="I965" s="1"/>
      <c r="J965" s="2"/>
      <c r="K965" s="2"/>
      <c r="L965" s="2"/>
      <c r="M965" s="2"/>
      <c r="N965" s="2"/>
      <c r="O965" s="16"/>
    </row>
    <row r="966" spans="4:15" ht="14.25" customHeight="1" x14ac:dyDescent="0.3">
      <c r="D966" s="15"/>
      <c r="E966" s="15"/>
      <c r="F966" s="21"/>
      <c r="G966" s="1"/>
      <c r="H966" s="19"/>
      <c r="I966" s="1"/>
      <c r="J966" s="2"/>
      <c r="K966" s="2"/>
      <c r="L966" s="2"/>
      <c r="M966" s="2"/>
      <c r="N966" s="2"/>
      <c r="O966" s="16"/>
    </row>
    <row r="967" spans="4:15" ht="14.25" customHeight="1" x14ac:dyDescent="0.3">
      <c r="D967" s="15"/>
      <c r="E967" s="15"/>
      <c r="F967" s="21"/>
      <c r="G967" s="1"/>
      <c r="H967" s="19"/>
      <c r="I967" s="1"/>
      <c r="J967" s="2"/>
      <c r="K967" s="2"/>
      <c r="L967" s="2"/>
      <c r="M967" s="2"/>
      <c r="N967" s="2"/>
      <c r="O967" s="16"/>
    </row>
    <row r="968" spans="4:15" ht="14.25" customHeight="1" x14ac:dyDescent="0.3">
      <c r="D968" s="15"/>
      <c r="E968" s="15"/>
      <c r="F968" s="21"/>
      <c r="G968" s="1"/>
      <c r="H968" s="19"/>
      <c r="I968" s="1"/>
      <c r="J968" s="2"/>
      <c r="K968" s="2"/>
      <c r="L968" s="2"/>
      <c r="M968" s="2"/>
      <c r="N968" s="2"/>
      <c r="O968" s="16"/>
    </row>
    <row r="969" spans="4:15" ht="14.25" customHeight="1" x14ac:dyDescent="0.3">
      <c r="D969" s="15"/>
      <c r="E969" s="15"/>
      <c r="F969" s="21"/>
      <c r="G969" s="1"/>
      <c r="H969" s="19"/>
      <c r="I969" s="1"/>
      <c r="J969" s="2"/>
      <c r="K969" s="2"/>
      <c r="L969" s="2"/>
      <c r="M969" s="2"/>
      <c r="N969" s="2"/>
      <c r="O969" s="16"/>
    </row>
    <row r="970" spans="4:15" ht="14.25" customHeight="1" x14ac:dyDescent="0.3">
      <c r="D970" s="15"/>
      <c r="E970" s="15"/>
      <c r="F970" s="21"/>
      <c r="G970" s="1"/>
      <c r="H970" s="19"/>
      <c r="I970" s="1"/>
      <c r="J970" s="2"/>
      <c r="K970" s="2"/>
      <c r="L970" s="2"/>
      <c r="M970" s="2"/>
      <c r="N970" s="2"/>
      <c r="O970" s="16"/>
    </row>
    <row r="971" spans="4:15" ht="14.25" customHeight="1" x14ac:dyDescent="0.3">
      <c r="D971" s="15"/>
      <c r="E971" s="15"/>
      <c r="F971" s="21"/>
      <c r="G971" s="1"/>
      <c r="H971" s="19"/>
      <c r="I971" s="1"/>
      <c r="J971" s="2"/>
      <c r="K971" s="2"/>
      <c r="L971" s="2"/>
      <c r="M971" s="2"/>
      <c r="N971" s="2"/>
      <c r="O971" s="16"/>
    </row>
    <row r="972" spans="4:15" ht="14.25" customHeight="1" x14ac:dyDescent="0.3">
      <c r="D972" s="15"/>
      <c r="E972" s="15"/>
      <c r="F972" s="21"/>
      <c r="G972" s="1"/>
      <c r="H972" s="19"/>
      <c r="I972" s="1"/>
      <c r="J972" s="2"/>
      <c r="K972" s="2"/>
      <c r="L972" s="2"/>
      <c r="M972" s="2"/>
      <c r="N972" s="2"/>
      <c r="O972" s="16"/>
    </row>
    <row r="973" spans="4:15" ht="14.25" customHeight="1" x14ac:dyDescent="0.3">
      <c r="D973" s="15"/>
      <c r="E973" s="15"/>
      <c r="F973" s="21"/>
      <c r="G973" s="1"/>
      <c r="H973" s="19"/>
      <c r="I973" s="1"/>
      <c r="J973" s="2"/>
      <c r="K973" s="2"/>
      <c r="L973" s="2"/>
      <c r="M973" s="2"/>
      <c r="N973" s="2"/>
      <c r="O973" s="16"/>
    </row>
    <row r="974" spans="4:15" ht="14.25" customHeight="1" x14ac:dyDescent="0.3">
      <c r="D974" s="15"/>
      <c r="E974" s="15"/>
      <c r="F974" s="21"/>
      <c r="G974" s="1"/>
      <c r="H974" s="19"/>
      <c r="I974" s="1"/>
      <c r="J974" s="2"/>
      <c r="K974" s="2"/>
      <c r="L974" s="2"/>
      <c r="M974" s="2"/>
      <c r="N974" s="2"/>
      <c r="O974" s="16"/>
    </row>
    <row r="975" spans="4:15" ht="14.25" customHeight="1" x14ac:dyDescent="0.3">
      <c r="D975" s="15"/>
      <c r="E975" s="15"/>
      <c r="F975" s="21"/>
      <c r="G975" s="1"/>
      <c r="H975" s="19"/>
      <c r="I975" s="1"/>
      <c r="J975" s="2"/>
      <c r="K975" s="2"/>
      <c r="L975" s="2"/>
      <c r="M975" s="2"/>
      <c r="N975" s="2"/>
      <c r="O975" s="16"/>
    </row>
    <row r="976" spans="4:15" ht="14.25" customHeight="1" x14ac:dyDescent="0.3">
      <c r="D976" s="15"/>
      <c r="E976" s="15"/>
      <c r="F976" s="21"/>
      <c r="G976" s="1"/>
      <c r="H976" s="19"/>
      <c r="I976" s="1"/>
      <c r="J976" s="2"/>
      <c r="K976" s="2"/>
      <c r="L976" s="2"/>
      <c r="M976" s="2"/>
      <c r="N976" s="2"/>
      <c r="O976" s="16"/>
    </row>
    <row r="977" spans="4:15" ht="14.25" customHeight="1" x14ac:dyDescent="0.3">
      <c r="D977" s="15"/>
      <c r="E977" s="15"/>
      <c r="F977" s="21"/>
      <c r="G977" s="1"/>
      <c r="H977" s="19"/>
      <c r="I977" s="1"/>
      <c r="J977" s="2"/>
      <c r="K977" s="2"/>
      <c r="L977" s="2"/>
      <c r="M977" s="2"/>
      <c r="N977" s="2"/>
      <c r="O977" s="16"/>
    </row>
    <row r="978" spans="4:15" ht="14.25" customHeight="1" x14ac:dyDescent="0.3">
      <c r="D978" s="15"/>
      <c r="E978" s="15"/>
      <c r="F978" s="21"/>
      <c r="G978" s="1"/>
      <c r="H978" s="19"/>
      <c r="I978" s="1"/>
      <c r="J978" s="2"/>
      <c r="K978" s="2"/>
      <c r="L978" s="2"/>
      <c r="M978" s="2"/>
      <c r="N978" s="2"/>
      <c r="O978" s="16"/>
    </row>
    <row r="979" spans="4:15" ht="14.25" customHeight="1" x14ac:dyDescent="0.3">
      <c r="D979" s="15"/>
      <c r="E979" s="15"/>
      <c r="F979" s="21"/>
      <c r="G979" s="1"/>
      <c r="H979" s="19"/>
      <c r="I979" s="1"/>
      <c r="J979" s="2"/>
      <c r="K979" s="2"/>
      <c r="L979" s="2"/>
      <c r="M979" s="2"/>
      <c r="N979" s="2"/>
      <c r="O979" s="16"/>
    </row>
    <row r="980" spans="4:15" ht="14.25" customHeight="1" x14ac:dyDescent="0.3">
      <c r="D980" s="15"/>
      <c r="E980" s="15"/>
      <c r="F980" s="21"/>
      <c r="G980" s="1"/>
      <c r="H980" s="19"/>
      <c r="I980" s="1"/>
      <c r="J980" s="2"/>
      <c r="K980" s="2"/>
      <c r="L980" s="2"/>
      <c r="M980" s="2"/>
      <c r="N980" s="2"/>
      <c r="O980" s="16"/>
    </row>
    <row r="981" spans="4:15" ht="14.25" customHeight="1" x14ac:dyDescent="0.3">
      <c r="D981" s="15"/>
      <c r="E981" s="15"/>
      <c r="F981" s="21"/>
      <c r="G981" s="1"/>
      <c r="H981" s="19"/>
      <c r="I981" s="1"/>
      <c r="J981" s="2"/>
      <c r="K981" s="2"/>
      <c r="L981" s="2"/>
      <c r="M981" s="2"/>
      <c r="N981" s="2"/>
      <c r="O981" s="16"/>
    </row>
    <row r="982" spans="4:15" ht="14.25" customHeight="1" x14ac:dyDescent="0.3">
      <c r="D982" s="15"/>
      <c r="E982" s="15"/>
      <c r="F982" s="21"/>
      <c r="G982" s="1"/>
      <c r="H982" s="19"/>
      <c r="I982" s="1"/>
      <c r="J982" s="2"/>
      <c r="K982" s="2"/>
      <c r="L982" s="2"/>
      <c r="M982" s="2"/>
      <c r="N982" s="2"/>
      <c r="O982" s="16"/>
    </row>
    <row r="983" spans="4:15" ht="14.25" customHeight="1" x14ac:dyDescent="0.3">
      <c r="D983" s="15"/>
      <c r="E983" s="15"/>
      <c r="F983" s="21"/>
      <c r="G983" s="1"/>
      <c r="H983" s="19"/>
      <c r="I983" s="1"/>
      <c r="J983" s="2"/>
      <c r="K983" s="2"/>
      <c r="L983" s="2"/>
      <c r="M983" s="2"/>
      <c r="N983" s="2"/>
      <c r="O983" s="16"/>
    </row>
    <row r="984" spans="4:15" ht="14.25" customHeight="1" x14ac:dyDescent="0.3">
      <c r="D984" s="15"/>
      <c r="E984" s="15"/>
      <c r="F984" s="21"/>
      <c r="G984" s="1"/>
      <c r="H984" s="19"/>
      <c r="I984" s="1"/>
      <c r="J984" s="2"/>
      <c r="K984" s="2"/>
      <c r="L984" s="2"/>
      <c r="M984" s="2"/>
      <c r="N984" s="2"/>
      <c r="O984" s="16"/>
    </row>
    <row r="985" spans="4:15" ht="14.25" customHeight="1" x14ac:dyDescent="0.3">
      <c r="D985" s="15"/>
      <c r="E985" s="15"/>
      <c r="F985" s="21"/>
      <c r="G985" s="1"/>
      <c r="H985" s="19"/>
      <c r="I985" s="1"/>
      <c r="J985" s="2"/>
      <c r="K985" s="2"/>
      <c r="L985" s="2"/>
      <c r="M985" s="2"/>
      <c r="N985" s="2"/>
      <c r="O985" s="16"/>
    </row>
    <row r="986" spans="4:15" ht="14.25" customHeight="1" x14ac:dyDescent="0.3">
      <c r="D986" s="15"/>
      <c r="E986" s="15"/>
      <c r="F986" s="21"/>
      <c r="G986" s="1"/>
      <c r="H986" s="19"/>
      <c r="I986" s="1"/>
      <c r="J986" s="2"/>
      <c r="K986" s="2"/>
      <c r="L986" s="2"/>
      <c r="M986" s="2"/>
      <c r="N986" s="2"/>
      <c r="O986" s="16"/>
    </row>
    <row r="987" spans="4:15" ht="14.25" customHeight="1" x14ac:dyDescent="0.3">
      <c r="D987" s="15"/>
      <c r="E987" s="15"/>
      <c r="F987" s="21"/>
      <c r="G987" s="1"/>
      <c r="H987" s="19"/>
      <c r="I987" s="1"/>
      <c r="J987" s="2"/>
      <c r="K987" s="2"/>
      <c r="L987" s="2"/>
      <c r="M987" s="2"/>
      <c r="N987" s="2"/>
      <c r="O987" s="16"/>
    </row>
    <row r="988" spans="4:15" ht="14.25" customHeight="1" x14ac:dyDescent="0.3">
      <c r="D988" s="15"/>
      <c r="E988" s="15"/>
      <c r="F988" s="21"/>
      <c r="G988" s="1"/>
      <c r="H988" s="19"/>
      <c r="I988" s="1"/>
      <c r="J988" s="2"/>
      <c r="K988" s="2"/>
      <c r="L988" s="2"/>
      <c r="M988" s="2"/>
      <c r="N988" s="2"/>
      <c r="O988" s="16"/>
    </row>
    <row r="989" spans="4:15" ht="14.25" customHeight="1" x14ac:dyDescent="0.3">
      <c r="D989" s="15"/>
      <c r="E989" s="15"/>
      <c r="F989" s="21"/>
      <c r="G989" s="1"/>
      <c r="H989" s="19"/>
      <c r="I989" s="1"/>
      <c r="J989" s="2"/>
      <c r="K989" s="2"/>
      <c r="L989" s="2"/>
      <c r="M989" s="2"/>
      <c r="N989" s="2"/>
      <c r="O989" s="16"/>
    </row>
    <row r="990" spans="4:15" ht="14.25" customHeight="1" x14ac:dyDescent="0.3">
      <c r="D990" s="15"/>
      <c r="E990" s="15"/>
      <c r="F990" s="21"/>
      <c r="G990" s="1"/>
      <c r="H990" s="19"/>
      <c r="I990" s="1"/>
      <c r="J990" s="2"/>
      <c r="K990" s="2"/>
      <c r="L990" s="2"/>
      <c r="M990" s="2"/>
      <c r="N990" s="2"/>
      <c r="O990" s="16"/>
    </row>
    <row r="991" spans="4:15" ht="14.25" customHeight="1" x14ac:dyDescent="0.3">
      <c r="D991" s="15"/>
      <c r="E991" s="15"/>
      <c r="F991" s="21"/>
      <c r="G991" s="1"/>
      <c r="H991" s="19"/>
      <c r="I991" s="1"/>
      <c r="J991" s="2"/>
      <c r="K991" s="2"/>
      <c r="L991" s="2"/>
      <c r="M991" s="2"/>
      <c r="N991" s="2"/>
      <c r="O991" s="16"/>
    </row>
    <row r="992" spans="4:15" ht="14.25" customHeight="1" x14ac:dyDescent="0.3">
      <c r="D992" s="15"/>
      <c r="E992" s="15"/>
      <c r="F992" s="21"/>
      <c r="G992" s="1"/>
      <c r="H992" s="19"/>
      <c r="I992" s="1"/>
      <c r="J992" s="2"/>
      <c r="K992" s="2"/>
      <c r="L992" s="2"/>
      <c r="M992" s="2"/>
      <c r="N992" s="2"/>
      <c r="O992" s="16"/>
    </row>
    <row r="993" spans="4:15" ht="14.25" customHeight="1" x14ac:dyDescent="0.3">
      <c r="D993" s="15"/>
      <c r="E993" s="15"/>
      <c r="F993" s="21"/>
      <c r="G993" s="1"/>
      <c r="H993" s="19"/>
      <c r="I993" s="1"/>
      <c r="J993" s="2"/>
      <c r="K993" s="2"/>
      <c r="L993" s="2"/>
      <c r="M993" s="2"/>
      <c r="N993" s="2"/>
      <c r="O993" s="16"/>
    </row>
    <row r="994" spans="4:15" ht="14.25" customHeight="1" x14ac:dyDescent="0.3">
      <c r="D994" s="15"/>
      <c r="E994" s="15"/>
      <c r="F994" s="21"/>
      <c r="G994" s="1"/>
      <c r="H994" s="19"/>
      <c r="I994" s="1"/>
      <c r="J994" s="2"/>
      <c r="K994" s="2"/>
      <c r="L994" s="2"/>
      <c r="M994" s="2"/>
      <c r="N994" s="2"/>
      <c r="O994" s="16"/>
    </row>
    <row r="995" spans="4:15" ht="14.25" customHeight="1" x14ac:dyDescent="0.3">
      <c r="D995" s="15"/>
      <c r="E995" s="15"/>
      <c r="F995" s="21"/>
      <c r="G995" s="1"/>
      <c r="H995" s="19"/>
      <c r="I995" s="1"/>
      <c r="J995" s="2"/>
      <c r="K995" s="2"/>
      <c r="L995" s="2"/>
      <c r="M995" s="2"/>
      <c r="N995" s="2"/>
      <c r="O995" s="16"/>
    </row>
    <row r="996" spans="4:15" ht="14.25" customHeight="1" x14ac:dyDescent="0.3">
      <c r="D996" s="15"/>
      <c r="E996" s="15"/>
      <c r="F996" s="21"/>
      <c r="G996" s="1"/>
      <c r="H996" s="19"/>
      <c r="I996" s="1"/>
      <c r="J996" s="2"/>
      <c r="K996" s="2"/>
      <c r="L996" s="2"/>
      <c r="M996" s="2"/>
      <c r="N996" s="2"/>
      <c r="O996" s="16"/>
    </row>
    <row r="997" spans="4:15" ht="14.25" customHeight="1" x14ac:dyDescent="0.3">
      <c r="D997" s="15"/>
      <c r="E997" s="15"/>
      <c r="F997" s="21"/>
      <c r="G997" s="1"/>
      <c r="H997" s="19"/>
      <c r="I997" s="1"/>
      <c r="J997" s="2"/>
      <c r="K997" s="2"/>
      <c r="L997" s="2"/>
      <c r="M997" s="2"/>
      <c r="N997" s="2"/>
      <c r="O997" s="16"/>
    </row>
    <row r="998" spans="4:15" ht="14.25" customHeight="1" x14ac:dyDescent="0.3">
      <c r="D998" s="15"/>
      <c r="E998" s="15"/>
      <c r="F998" s="21"/>
      <c r="G998" s="1"/>
      <c r="H998" s="19"/>
      <c r="I998" s="1"/>
      <c r="J998" s="2"/>
      <c r="K998" s="2"/>
      <c r="L998" s="2"/>
      <c r="M998" s="2"/>
      <c r="N998" s="2"/>
      <c r="O998" s="16"/>
    </row>
    <row r="999" spans="4:15" ht="14.25" customHeight="1" x14ac:dyDescent="0.3">
      <c r="D999" s="15"/>
      <c r="E999" s="15"/>
      <c r="F999" s="21"/>
      <c r="G999" s="1"/>
      <c r="H999" s="19"/>
      <c r="I999" s="1"/>
      <c r="J999" s="2"/>
      <c r="K999" s="2"/>
      <c r="L999" s="2"/>
      <c r="M999" s="2"/>
      <c r="N999" s="2"/>
      <c r="O999" s="16"/>
    </row>
    <row r="1000" spans="4:15" ht="14.25" customHeight="1" x14ac:dyDescent="0.3">
      <c r="D1000" s="15"/>
      <c r="E1000" s="15"/>
      <c r="F1000" s="21"/>
      <c r="G1000" s="1"/>
      <c r="H1000" s="19"/>
      <c r="I1000" s="1"/>
      <c r="J1000" s="2"/>
      <c r="K1000" s="2"/>
      <c r="L1000" s="2"/>
      <c r="M1000" s="2"/>
      <c r="N1000" s="2"/>
      <c r="O1000" s="16"/>
    </row>
    <row r="1001" spans="4:15" ht="14.25" customHeight="1" x14ac:dyDescent="0.3">
      <c r="D1001" s="15"/>
      <c r="E1001" s="15"/>
      <c r="F1001" s="21"/>
      <c r="G1001" s="1"/>
      <c r="H1001" s="19"/>
      <c r="I1001" s="1"/>
      <c r="J1001" s="2"/>
      <c r="K1001" s="2"/>
      <c r="L1001" s="2"/>
      <c r="M1001" s="2"/>
      <c r="N1001" s="2"/>
      <c r="O1001" s="16"/>
    </row>
    <row r="1002" spans="4:15" ht="14.25" customHeight="1" x14ac:dyDescent="0.3">
      <c r="D1002" s="15"/>
      <c r="E1002" s="15"/>
      <c r="F1002" s="21"/>
      <c r="G1002" s="1"/>
      <c r="H1002" s="19"/>
      <c r="I1002" s="1"/>
      <c r="J1002" s="2"/>
      <c r="K1002" s="2"/>
      <c r="L1002" s="2"/>
      <c r="M1002" s="2"/>
      <c r="N1002" s="2"/>
      <c r="O1002" s="16"/>
    </row>
    <row r="1003" spans="4:15" ht="14.25" customHeight="1" x14ac:dyDescent="0.3">
      <c r="D1003" s="15"/>
      <c r="E1003" s="15"/>
      <c r="F1003" s="21"/>
      <c r="G1003" s="1"/>
      <c r="H1003" s="19"/>
      <c r="I1003" s="1"/>
      <c r="J1003" s="2"/>
      <c r="K1003" s="2"/>
      <c r="L1003" s="2"/>
      <c r="M1003" s="2"/>
      <c r="N1003" s="2"/>
      <c r="O1003" s="16"/>
    </row>
    <row r="1004" spans="4:15" ht="14.25" customHeight="1" x14ac:dyDescent="0.3">
      <c r="D1004" s="15"/>
      <c r="E1004" s="15"/>
      <c r="F1004" s="21"/>
      <c r="G1004" s="1"/>
      <c r="H1004" s="19"/>
      <c r="I1004" s="1"/>
      <c r="J1004" s="2"/>
      <c r="K1004" s="2"/>
      <c r="L1004" s="2"/>
      <c r="M1004" s="2"/>
      <c r="N1004" s="2"/>
      <c r="O1004" s="16"/>
    </row>
    <row r="1005" spans="4:15" ht="14.25" customHeight="1" x14ac:dyDescent="0.3">
      <c r="D1005" s="15"/>
      <c r="E1005" s="15"/>
      <c r="F1005" s="21"/>
      <c r="G1005" s="1"/>
      <c r="H1005" s="19"/>
      <c r="I1005" s="1"/>
      <c r="J1005" s="2"/>
      <c r="K1005" s="2"/>
      <c r="L1005" s="2"/>
      <c r="M1005" s="2"/>
      <c r="N1005" s="2"/>
      <c r="O1005" s="16"/>
    </row>
    <row r="1006" spans="4:15" ht="14.25" customHeight="1" x14ac:dyDescent="0.3">
      <c r="D1006" s="15"/>
      <c r="E1006" s="15"/>
      <c r="F1006" s="21"/>
      <c r="G1006" s="1"/>
      <c r="H1006" s="19"/>
      <c r="I1006" s="1"/>
      <c r="J1006" s="2"/>
      <c r="K1006" s="2"/>
      <c r="L1006" s="2"/>
      <c r="M1006" s="2"/>
      <c r="N1006" s="2"/>
      <c r="O1006" s="16"/>
    </row>
    <row r="1007" spans="4:15" ht="14.25" customHeight="1" x14ac:dyDescent="0.3">
      <c r="D1007" s="15"/>
      <c r="E1007" s="15"/>
      <c r="F1007" s="21"/>
      <c r="G1007" s="1"/>
      <c r="H1007" s="19"/>
      <c r="I1007" s="1"/>
      <c r="J1007" s="2"/>
      <c r="K1007" s="2"/>
      <c r="L1007" s="2"/>
      <c r="M1007" s="2"/>
      <c r="N1007" s="2"/>
      <c r="O1007" s="16"/>
    </row>
    <row r="1008" spans="4:15" ht="14.25" customHeight="1" x14ac:dyDescent="0.3">
      <c r="D1008" s="15"/>
      <c r="E1008" s="15"/>
      <c r="F1008" s="21"/>
      <c r="G1008" s="1"/>
      <c r="H1008" s="19"/>
      <c r="I1008" s="1"/>
      <c r="J1008" s="2"/>
      <c r="K1008" s="2"/>
      <c r="L1008" s="2"/>
      <c r="M1008" s="2"/>
      <c r="N1008" s="2"/>
      <c r="O1008" s="16"/>
    </row>
    <row r="1009" spans="4:15" ht="14.25" customHeight="1" x14ac:dyDescent="0.3">
      <c r="D1009" s="15"/>
      <c r="E1009" s="15"/>
      <c r="F1009" s="21"/>
      <c r="G1009" s="1"/>
      <c r="H1009" s="19"/>
      <c r="I1009" s="1"/>
      <c r="J1009" s="2"/>
      <c r="K1009" s="2"/>
      <c r="L1009" s="2"/>
      <c r="M1009" s="2"/>
      <c r="N1009" s="2"/>
      <c r="O1009" s="16"/>
    </row>
    <row r="1010" spans="4:15" ht="14.25" customHeight="1" x14ac:dyDescent="0.3">
      <c r="D1010" s="15"/>
      <c r="E1010" s="15"/>
      <c r="F1010" s="21"/>
      <c r="G1010" s="1"/>
      <c r="H1010" s="19"/>
      <c r="I1010" s="1"/>
      <c r="J1010" s="2"/>
      <c r="K1010" s="2"/>
      <c r="L1010" s="2"/>
      <c r="M1010" s="2"/>
      <c r="N1010" s="2"/>
      <c r="O1010" s="16"/>
    </row>
    <row r="1011" spans="4:15" ht="14.25" customHeight="1" x14ac:dyDescent="0.3">
      <c r="D1011" s="15"/>
      <c r="E1011" s="15"/>
      <c r="F1011" s="21"/>
      <c r="G1011" s="1"/>
      <c r="H1011" s="19"/>
      <c r="I1011" s="1"/>
      <c r="J1011" s="2"/>
      <c r="K1011" s="2"/>
      <c r="L1011" s="2"/>
      <c r="M1011" s="2"/>
      <c r="N1011" s="2"/>
      <c r="O1011" s="16"/>
    </row>
    <row r="1012" spans="4:15" ht="14.25" customHeight="1" x14ac:dyDescent="0.3">
      <c r="D1012" s="15"/>
      <c r="E1012" s="15"/>
      <c r="F1012" s="21"/>
      <c r="G1012" s="1"/>
      <c r="H1012" s="19"/>
      <c r="I1012" s="1"/>
      <c r="J1012" s="2"/>
      <c r="K1012" s="2"/>
      <c r="L1012" s="2"/>
      <c r="M1012" s="2"/>
      <c r="N1012" s="2"/>
      <c r="O1012" s="16"/>
    </row>
    <row r="1013" spans="4:15" ht="14.25" customHeight="1" x14ac:dyDescent="0.3">
      <c r="D1013" s="15"/>
      <c r="E1013" s="15"/>
      <c r="F1013" s="21"/>
      <c r="G1013" s="1"/>
      <c r="H1013" s="19"/>
      <c r="I1013" s="1"/>
      <c r="J1013" s="2"/>
      <c r="K1013" s="2"/>
      <c r="L1013" s="2"/>
      <c r="M1013" s="2"/>
      <c r="N1013" s="2"/>
      <c r="O1013" s="16"/>
    </row>
    <row r="1014" spans="4:15" ht="14.25" customHeight="1" x14ac:dyDescent="0.3">
      <c r="D1014" s="15"/>
      <c r="E1014" s="15"/>
      <c r="F1014" s="21"/>
      <c r="G1014" s="1"/>
      <c r="H1014" s="19"/>
      <c r="I1014" s="1"/>
      <c r="J1014" s="2"/>
      <c r="K1014" s="2"/>
      <c r="L1014" s="2"/>
      <c r="M1014" s="2"/>
      <c r="N1014" s="2"/>
      <c r="O1014" s="16"/>
    </row>
    <row r="1015" spans="4:15" ht="14.25" customHeight="1" x14ac:dyDescent="0.3">
      <c r="D1015" s="15"/>
      <c r="E1015" s="15"/>
      <c r="F1015" s="21"/>
      <c r="G1015" s="1"/>
      <c r="H1015" s="19"/>
      <c r="I1015" s="1"/>
      <c r="J1015" s="2"/>
      <c r="K1015" s="2"/>
      <c r="L1015" s="2"/>
      <c r="M1015" s="2"/>
      <c r="N1015" s="2"/>
      <c r="O1015" s="16"/>
    </row>
    <row r="1016" spans="4:15" ht="14.25" customHeight="1" x14ac:dyDescent="0.3">
      <c r="D1016" s="15"/>
      <c r="E1016" s="15"/>
      <c r="F1016" s="21"/>
      <c r="G1016" s="1"/>
      <c r="H1016" s="19"/>
      <c r="I1016" s="1"/>
      <c r="J1016" s="2"/>
      <c r="K1016" s="2"/>
      <c r="L1016" s="2"/>
      <c r="M1016" s="2"/>
      <c r="N1016" s="2"/>
      <c r="O1016" s="16"/>
    </row>
    <row r="1017" spans="4:15" ht="14.25" customHeight="1" x14ac:dyDescent="0.3">
      <c r="D1017" s="15"/>
      <c r="E1017" s="15"/>
      <c r="F1017" s="21"/>
      <c r="G1017" s="1"/>
      <c r="H1017" s="19"/>
      <c r="I1017" s="1"/>
      <c r="J1017" s="2"/>
      <c r="K1017" s="2"/>
      <c r="L1017" s="2"/>
      <c r="M1017" s="2"/>
      <c r="N1017" s="2"/>
      <c r="O1017" s="16"/>
    </row>
    <row r="1018" spans="4:15" ht="14.25" customHeight="1" x14ac:dyDescent="0.3">
      <c r="D1018" s="15"/>
      <c r="E1018" s="15"/>
      <c r="F1018" s="21"/>
      <c r="G1018" s="1"/>
      <c r="H1018" s="19"/>
      <c r="I1018" s="1"/>
      <c r="J1018" s="2"/>
      <c r="K1018" s="2"/>
      <c r="L1018" s="2"/>
      <c r="M1018" s="2"/>
      <c r="N1018" s="2"/>
      <c r="O1018" s="16"/>
    </row>
    <row r="1019" spans="4:15" ht="14.25" customHeight="1" x14ac:dyDescent="0.3">
      <c r="D1019" s="15"/>
      <c r="E1019" s="15"/>
      <c r="F1019" s="21"/>
      <c r="G1019" s="1"/>
      <c r="H1019" s="19"/>
      <c r="I1019" s="1"/>
      <c r="J1019" s="2"/>
      <c r="K1019" s="2"/>
      <c r="L1019" s="2"/>
      <c r="M1019" s="2"/>
      <c r="N1019" s="2"/>
      <c r="O1019" s="16"/>
    </row>
    <row r="1020" spans="4:15" ht="14.25" customHeight="1" x14ac:dyDescent="0.3">
      <c r="D1020" s="15"/>
      <c r="E1020" s="15"/>
      <c r="F1020" s="21"/>
      <c r="G1020" s="1"/>
      <c r="H1020" s="19"/>
      <c r="I1020" s="1"/>
      <c r="J1020" s="2"/>
      <c r="K1020" s="2"/>
      <c r="L1020" s="2"/>
      <c r="M1020" s="2"/>
      <c r="N1020" s="2"/>
      <c r="O1020" s="16"/>
    </row>
    <row r="1021" spans="4:15" ht="14.25" customHeight="1" x14ac:dyDescent="0.3">
      <c r="D1021" s="15"/>
      <c r="E1021" s="15"/>
      <c r="F1021" s="21"/>
      <c r="G1021" s="1"/>
      <c r="H1021" s="19"/>
      <c r="I1021" s="1"/>
      <c r="J1021" s="2"/>
      <c r="K1021" s="2"/>
      <c r="L1021" s="2"/>
      <c r="M1021" s="2"/>
      <c r="N1021" s="2"/>
      <c r="O1021" s="16"/>
    </row>
    <row r="1022" spans="4:15" ht="14.25" customHeight="1" x14ac:dyDescent="0.3">
      <c r="D1022" s="15"/>
      <c r="E1022" s="15"/>
      <c r="F1022" s="21"/>
      <c r="G1022" s="1"/>
      <c r="H1022" s="19"/>
      <c r="I1022" s="1"/>
      <c r="J1022" s="2"/>
      <c r="K1022" s="2"/>
      <c r="L1022" s="2"/>
      <c r="M1022" s="2"/>
      <c r="N1022" s="2"/>
      <c r="O1022" s="16"/>
    </row>
    <row r="1023" spans="4:15" ht="14.25" customHeight="1" x14ac:dyDescent="0.3">
      <c r="D1023" s="15"/>
      <c r="E1023" s="15"/>
      <c r="F1023" s="21"/>
      <c r="G1023" s="1"/>
      <c r="H1023" s="19"/>
      <c r="I1023" s="1"/>
      <c r="J1023" s="2"/>
      <c r="K1023" s="2"/>
      <c r="L1023" s="2"/>
      <c r="M1023" s="2"/>
      <c r="N1023" s="2"/>
      <c r="O1023" s="16"/>
    </row>
    <row r="1024" spans="4:15" ht="14.25" customHeight="1" x14ac:dyDescent="0.3">
      <c r="D1024" s="15"/>
      <c r="E1024" s="15"/>
      <c r="F1024" s="21"/>
      <c r="G1024" s="1"/>
      <c r="H1024" s="19"/>
      <c r="I1024" s="1"/>
      <c r="J1024" s="2"/>
      <c r="K1024" s="2"/>
      <c r="L1024" s="2"/>
      <c r="M1024" s="2"/>
      <c r="N1024" s="2"/>
      <c r="O1024" s="16"/>
    </row>
    <row r="1025" spans="4:15" ht="14.25" customHeight="1" x14ac:dyDescent="0.3">
      <c r="D1025" s="15"/>
      <c r="E1025" s="15"/>
      <c r="F1025" s="21"/>
      <c r="G1025" s="1"/>
      <c r="H1025" s="19"/>
      <c r="I1025" s="1"/>
      <c r="J1025" s="2"/>
      <c r="K1025" s="2"/>
      <c r="L1025" s="2"/>
      <c r="M1025" s="2"/>
      <c r="N1025" s="2"/>
      <c r="O1025" s="16"/>
    </row>
    <row r="1026" spans="4:15" ht="14.25" customHeight="1" x14ac:dyDescent="0.3">
      <c r="D1026" s="15"/>
      <c r="E1026" s="15"/>
      <c r="F1026" s="21"/>
      <c r="G1026" s="1"/>
      <c r="H1026" s="19"/>
      <c r="I1026" s="1"/>
      <c r="J1026" s="2"/>
      <c r="K1026" s="2"/>
      <c r="L1026" s="2"/>
      <c r="M1026" s="2"/>
      <c r="N1026" s="2"/>
      <c r="O1026" s="16"/>
    </row>
    <row r="1027" spans="4:15" ht="14.25" customHeight="1" x14ac:dyDescent="0.3">
      <c r="D1027" s="15"/>
      <c r="E1027" s="15"/>
      <c r="F1027" s="21"/>
      <c r="G1027" s="1"/>
      <c r="H1027" s="19"/>
      <c r="I1027" s="1"/>
      <c r="J1027" s="2"/>
      <c r="K1027" s="2"/>
      <c r="L1027" s="2"/>
      <c r="M1027" s="2"/>
      <c r="N1027" s="2"/>
      <c r="O1027" s="16"/>
    </row>
    <row r="1028" spans="4:15" ht="14.25" customHeight="1" x14ac:dyDescent="0.3">
      <c r="D1028" s="15"/>
      <c r="E1028" s="15"/>
      <c r="F1028" s="21"/>
      <c r="G1028" s="1"/>
      <c r="H1028" s="19"/>
      <c r="I1028" s="1"/>
      <c r="J1028" s="2"/>
      <c r="K1028" s="2"/>
      <c r="L1028" s="2"/>
      <c r="M1028" s="2"/>
      <c r="N1028" s="2"/>
      <c r="O1028" s="16"/>
    </row>
    <row r="1029" spans="4:15" ht="14.25" customHeight="1" x14ac:dyDescent="0.3">
      <c r="D1029" s="15"/>
      <c r="E1029" s="15"/>
      <c r="F1029" s="21"/>
      <c r="G1029" s="1"/>
      <c r="H1029" s="19"/>
      <c r="I1029" s="1"/>
      <c r="J1029" s="2"/>
      <c r="K1029" s="2"/>
      <c r="L1029" s="2"/>
      <c r="M1029" s="2"/>
      <c r="N1029" s="2"/>
      <c r="O1029" s="16"/>
    </row>
    <row r="1030" spans="4:15" ht="14.25" customHeight="1" x14ac:dyDescent="0.3">
      <c r="D1030" s="15"/>
      <c r="E1030" s="15"/>
      <c r="F1030" s="21"/>
      <c r="G1030" s="1"/>
      <c r="H1030" s="19"/>
      <c r="I1030" s="1"/>
      <c r="J1030" s="2"/>
      <c r="K1030" s="2"/>
      <c r="L1030" s="2"/>
      <c r="M1030" s="2"/>
      <c r="N1030" s="2"/>
      <c r="O1030" s="16"/>
    </row>
    <row r="1031" spans="4:15" ht="14.25" customHeight="1" x14ac:dyDescent="0.3">
      <c r="D1031" s="15"/>
      <c r="E1031" s="15"/>
      <c r="F1031" s="21"/>
      <c r="G1031" s="1"/>
      <c r="H1031" s="19"/>
      <c r="I1031" s="1"/>
      <c r="J1031" s="2"/>
      <c r="K1031" s="2"/>
      <c r="L1031" s="2"/>
      <c r="M1031" s="2"/>
      <c r="N1031" s="2"/>
      <c r="O1031" s="16"/>
    </row>
    <row r="1032" spans="4:15" ht="14.25" customHeight="1" x14ac:dyDescent="0.3">
      <c r="D1032" s="15"/>
      <c r="E1032" s="15"/>
      <c r="F1032" s="21"/>
      <c r="G1032" s="1"/>
      <c r="H1032" s="19"/>
      <c r="I1032" s="1"/>
      <c r="J1032" s="2"/>
      <c r="K1032" s="2"/>
      <c r="L1032" s="2"/>
      <c r="M1032" s="2"/>
      <c r="N1032" s="2"/>
      <c r="O1032" s="16"/>
    </row>
    <row r="1033" spans="4:15" ht="14.25" customHeight="1" x14ac:dyDescent="0.3">
      <c r="D1033" s="15"/>
      <c r="E1033" s="15"/>
      <c r="F1033" s="21"/>
      <c r="G1033" s="1"/>
      <c r="H1033" s="19"/>
      <c r="I1033" s="1"/>
      <c r="J1033" s="2"/>
      <c r="K1033" s="2"/>
      <c r="L1033" s="2"/>
      <c r="M1033" s="2"/>
      <c r="N1033" s="2"/>
      <c r="O1033" s="16"/>
    </row>
    <row r="1034" spans="4:15" ht="14.25" customHeight="1" x14ac:dyDescent="0.3">
      <c r="D1034" s="15"/>
      <c r="E1034" s="15"/>
      <c r="F1034" s="21"/>
      <c r="G1034" s="1"/>
      <c r="H1034" s="19"/>
      <c r="I1034" s="1"/>
      <c r="J1034" s="2"/>
      <c r="K1034" s="2"/>
      <c r="L1034" s="2"/>
      <c r="M1034" s="2"/>
      <c r="N1034" s="2"/>
      <c r="O1034" s="16"/>
    </row>
    <row r="1035" spans="4:15" ht="14.25" customHeight="1" x14ac:dyDescent="0.3">
      <c r="D1035" s="15"/>
      <c r="E1035" s="15"/>
      <c r="F1035" s="21"/>
      <c r="G1035" s="1"/>
      <c r="H1035" s="19"/>
      <c r="I1035" s="1"/>
      <c r="J1035" s="2"/>
      <c r="K1035" s="2"/>
      <c r="L1035" s="2"/>
      <c r="M1035" s="2"/>
      <c r="N1035" s="2"/>
      <c r="O1035" s="16"/>
    </row>
    <row r="1036" spans="4:15" ht="14.25" customHeight="1" x14ac:dyDescent="0.3">
      <c r="D1036" s="15"/>
      <c r="E1036" s="15"/>
      <c r="F1036" s="21"/>
      <c r="G1036" s="1"/>
      <c r="H1036" s="19"/>
      <c r="I1036" s="1"/>
      <c r="J1036" s="2"/>
      <c r="K1036" s="2"/>
      <c r="L1036" s="2"/>
      <c r="M1036" s="2"/>
      <c r="N1036" s="2"/>
      <c r="O1036" s="16"/>
    </row>
    <row r="1037" spans="4:15" ht="14.25" customHeight="1" x14ac:dyDescent="0.3">
      <c r="D1037" s="15"/>
      <c r="E1037" s="15"/>
      <c r="F1037" s="21"/>
      <c r="G1037" s="1"/>
      <c r="H1037" s="19"/>
      <c r="I1037" s="1"/>
      <c r="J1037" s="2"/>
      <c r="K1037" s="2"/>
      <c r="L1037" s="2"/>
      <c r="M1037" s="2"/>
      <c r="N1037" s="2"/>
      <c r="O1037" s="16"/>
    </row>
    <row r="1038" spans="4:15" ht="14.25" customHeight="1" x14ac:dyDescent="0.3">
      <c r="D1038" s="15"/>
      <c r="E1038" s="15"/>
      <c r="F1038" s="21"/>
      <c r="G1038" s="1"/>
      <c r="H1038" s="19"/>
      <c r="I1038" s="1"/>
      <c r="J1038" s="2"/>
      <c r="K1038" s="2"/>
      <c r="L1038" s="2"/>
      <c r="M1038" s="2"/>
      <c r="N1038" s="2"/>
      <c r="O1038" s="16"/>
    </row>
    <row r="1039" spans="4:15" ht="14.25" customHeight="1" x14ac:dyDescent="0.3">
      <c r="D1039" s="15"/>
      <c r="E1039" s="15"/>
      <c r="F1039" s="21"/>
      <c r="G1039" s="1"/>
      <c r="H1039" s="19"/>
      <c r="I1039" s="1"/>
      <c r="J1039" s="2"/>
      <c r="K1039" s="2"/>
      <c r="L1039" s="2"/>
      <c r="M1039" s="2"/>
      <c r="N1039" s="2"/>
      <c r="O1039" s="16"/>
    </row>
    <row r="1040" spans="4:15" ht="14.25" customHeight="1" x14ac:dyDescent="0.3">
      <c r="D1040" s="15"/>
      <c r="E1040" s="15"/>
      <c r="F1040" s="21"/>
      <c r="G1040" s="1"/>
      <c r="H1040" s="19"/>
      <c r="I1040" s="1"/>
      <c r="J1040" s="2"/>
      <c r="K1040" s="2"/>
      <c r="L1040" s="2"/>
      <c r="M1040" s="2"/>
      <c r="N1040" s="2"/>
      <c r="O1040" s="16"/>
    </row>
    <row r="1041" spans="4:15" ht="14.25" customHeight="1" x14ac:dyDescent="0.3">
      <c r="D1041" s="15"/>
      <c r="E1041" s="15"/>
      <c r="F1041" s="21"/>
      <c r="G1041" s="1"/>
      <c r="H1041" s="19"/>
      <c r="I1041" s="1"/>
      <c r="J1041" s="2"/>
      <c r="K1041" s="2"/>
      <c r="L1041" s="2"/>
      <c r="M1041" s="2"/>
      <c r="N1041" s="2"/>
      <c r="O1041" s="16"/>
    </row>
    <row r="1042" spans="4:15" ht="14.25" customHeight="1" x14ac:dyDescent="0.3">
      <c r="D1042" s="15"/>
      <c r="E1042" s="15"/>
      <c r="F1042" s="21"/>
      <c r="G1042" s="1"/>
      <c r="H1042" s="19"/>
      <c r="I1042" s="1"/>
      <c r="J1042" s="2"/>
      <c r="K1042" s="2"/>
      <c r="L1042" s="2"/>
      <c r="M1042" s="2"/>
      <c r="N1042" s="2"/>
      <c r="O1042" s="16"/>
    </row>
    <row r="1043" spans="4:15" ht="14.25" customHeight="1" x14ac:dyDescent="0.3">
      <c r="D1043" s="15"/>
      <c r="E1043" s="15"/>
      <c r="F1043" s="21"/>
      <c r="G1043" s="1"/>
      <c r="H1043" s="19"/>
      <c r="I1043" s="1"/>
      <c r="J1043" s="2"/>
      <c r="K1043" s="2"/>
      <c r="L1043" s="2"/>
      <c r="M1043" s="2"/>
      <c r="N1043" s="2"/>
      <c r="O1043" s="16"/>
    </row>
    <row r="1044" spans="4:15" ht="14.25" customHeight="1" x14ac:dyDescent="0.3">
      <c r="D1044" s="15"/>
      <c r="E1044" s="15"/>
      <c r="F1044" s="21"/>
      <c r="G1044" s="1"/>
      <c r="H1044" s="19"/>
      <c r="I1044" s="1"/>
      <c r="J1044" s="2"/>
      <c r="K1044" s="2"/>
      <c r="L1044" s="2"/>
      <c r="M1044" s="2"/>
      <c r="N1044" s="2"/>
      <c r="O1044" s="16"/>
    </row>
    <row r="1045" spans="4:15" ht="14.25" customHeight="1" x14ac:dyDescent="0.3">
      <c r="D1045" s="15"/>
      <c r="E1045" s="15"/>
      <c r="F1045" s="21"/>
      <c r="G1045" s="1"/>
      <c r="H1045" s="19"/>
      <c r="I1045" s="1"/>
      <c r="J1045" s="2"/>
      <c r="K1045" s="2"/>
      <c r="L1045" s="2"/>
      <c r="M1045" s="2"/>
      <c r="N1045" s="2"/>
      <c r="O1045" s="16"/>
    </row>
    <row r="1046" spans="4:15" ht="14.25" customHeight="1" x14ac:dyDescent="0.3">
      <c r="D1046" s="15"/>
      <c r="E1046" s="15"/>
      <c r="F1046" s="21"/>
      <c r="G1046" s="1"/>
      <c r="H1046" s="19"/>
      <c r="I1046" s="1"/>
      <c r="J1046" s="2"/>
      <c r="K1046" s="2"/>
      <c r="L1046" s="2"/>
      <c r="M1046" s="2"/>
      <c r="N1046" s="2"/>
      <c r="O1046" s="16"/>
    </row>
    <row r="1047" spans="4:15" ht="14.25" customHeight="1" x14ac:dyDescent="0.3">
      <c r="D1047" s="15"/>
      <c r="E1047" s="15"/>
      <c r="F1047" s="21"/>
      <c r="G1047" s="1"/>
      <c r="H1047" s="19"/>
      <c r="I1047" s="1"/>
      <c r="J1047" s="2"/>
      <c r="K1047" s="2"/>
      <c r="L1047" s="2"/>
      <c r="M1047" s="2"/>
      <c r="N1047" s="2"/>
      <c r="O1047" s="16"/>
    </row>
    <row r="1048" spans="4:15" ht="14.25" customHeight="1" x14ac:dyDescent="0.3">
      <c r="D1048" s="15"/>
      <c r="E1048" s="15"/>
      <c r="F1048" s="21"/>
      <c r="G1048" s="1"/>
      <c r="H1048" s="19"/>
      <c r="I1048" s="1"/>
      <c r="J1048" s="2"/>
      <c r="K1048" s="2"/>
      <c r="L1048" s="2"/>
      <c r="M1048" s="2"/>
      <c r="N1048" s="2"/>
      <c r="O1048" s="16"/>
    </row>
    <row r="1049" spans="4:15" ht="14.25" customHeight="1" x14ac:dyDescent="0.3">
      <c r="D1049" s="15"/>
      <c r="E1049" s="15"/>
      <c r="F1049" s="21"/>
      <c r="G1049" s="1"/>
      <c r="H1049" s="19"/>
      <c r="I1049" s="1"/>
      <c r="J1049" s="2"/>
      <c r="K1049" s="2"/>
      <c r="L1049" s="2"/>
      <c r="M1049" s="2"/>
      <c r="N1049" s="2"/>
      <c r="O1049" s="16"/>
    </row>
    <row r="1050" spans="4:15" ht="14.25" customHeight="1" x14ac:dyDescent="0.3">
      <c r="D1050" s="15"/>
      <c r="E1050" s="15"/>
      <c r="F1050" s="21"/>
      <c r="G1050" s="1"/>
      <c r="H1050" s="19"/>
      <c r="I1050" s="1"/>
      <c r="J1050" s="2"/>
      <c r="K1050" s="2"/>
      <c r="L1050" s="2"/>
      <c r="M1050" s="2"/>
      <c r="N1050" s="2"/>
      <c r="O1050" s="16"/>
    </row>
    <row r="1051" spans="4:15" ht="14.25" customHeight="1" x14ac:dyDescent="0.3">
      <c r="D1051" s="15"/>
      <c r="E1051" s="15"/>
      <c r="F1051" s="21"/>
      <c r="G1051" s="1"/>
      <c r="H1051" s="19"/>
      <c r="I1051" s="1"/>
      <c r="J1051" s="2"/>
      <c r="K1051" s="2"/>
      <c r="L1051" s="2"/>
      <c r="M1051" s="2"/>
      <c r="N1051" s="2"/>
      <c r="O1051" s="16"/>
    </row>
    <row r="1052" spans="4:15" ht="14.25" customHeight="1" x14ac:dyDescent="0.3">
      <c r="D1052" s="15"/>
      <c r="E1052" s="15"/>
      <c r="F1052" s="21"/>
      <c r="G1052" s="1"/>
      <c r="H1052" s="19"/>
      <c r="I1052" s="1"/>
      <c r="J1052" s="2"/>
      <c r="K1052" s="2"/>
      <c r="L1052" s="2"/>
      <c r="M1052" s="2"/>
      <c r="N1052" s="2"/>
      <c r="O1052" s="16"/>
    </row>
    <row r="1053" spans="4:15" ht="14.25" customHeight="1" x14ac:dyDescent="0.3">
      <c r="D1053" s="15"/>
      <c r="E1053" s="15"/>
      <c r="F1053" s="21"/>
      <c r="G1053" s="1"/>
      <c r="H1053" s="19"/>
      <c r="I1053" s="1"/>
      <c r="J1053" s="2"/>
      <c r="K1053" s="2"/>
      <c r="L1053" s="2"/>
      <c r="M1053" s="2"/>
      <c r="N1053" s="2"/>
      <c r="O1053" s="16"/>
    </row>
    <row r="1054" spans="4:15" ht="14.25" customHeight="1" x14ac:dyDescent="0.3">
      <c r="D1054" s="15"/>
      <c r="E1054" s="15"/>
      <c r="F1054" s="21"/>
      <c r="G1054" s="1"/>
      <c r="H1054" s="19"/>
      <c r="I1054" s="1"/>
      <c r="J1054" s="2"/>
      <c r="K1054" s="2"/>
      <c r="L1054" s="2"/>
      <c r="M1054" s="2"/>
      <c r="N1054" s="2"/>
      <c r="O1054" s="16"/>
    </row>
    <row r="1055" spans="4:15" ht="14.25" customHeight="1" x14ac:dyDescent="0.3">
      <c r="D1055" s="15"/>
      <c r="E1055" s="15"/>
      <c r="F1055" s="21"/>
      <c r="G1055" s="1"/>
      <c r="H1055" s="19"/>
      <c r="I1055" s="1"/>
      <c r="J1055" s="2"/>
      <c r="K1055" s="2"/>
      <c r="L1055" s="2"/>
      <c r="M1055" s="2"/>
      <c r="N1055" s="2"/>
      <c r="O1055" s="16"/>
    </row>
    <row r="1056" spans="4:15" ht="14.25" customHeight="1" x14ac:dyDescent="0.3">
      <c r="D1056" s="15"/>
      <c r="E1056" s="15"/>
      <c r="F1056" s="21"/>
      <c r="G1056" s="1"/>
      <c r="H1056" s="19"/>
      <c r="I1056" s="1"/>
      <c r="J1056" s="2"/>
      <c r="K1056" s="2"/>
      <c r="L1056" s="2"/>
      <c r="M1056" s="2"/>
      <c r="N1056" s="2"/>
      <c r="O1056" s="16"/>
    </row>
    <row r="1057" spans="4:15" ht="14.25" customHeight="1" x14ac:dyDescent="0.3">
      <c r="D1057" s="15"/>
      <c r="E1057" s="15"/>
      <c r="F1057" s="21"/>
      <c r="G1057" s="1"/>
      <c r="H1057" s="19"/>
      <c r="I1057" s="1"/>
      <c r="J1057" s="2"/>
      <c r="K1057" s="2"/>
      <c r="L1057" s="2"/>
      <c r="M1057" s="2"/>
      <c r="N1057" s="2"/>
      <c r="O1057" s="16"/>
    </row>
    <row r="1058" spans="4:15" ht="14.25" customHeight="1" x14ac:dyDescent="0.3">
      <c r="D1058" s="15"/>
      <c r="E1058" s="15"/>
      <c r="F1058" s="21"/>
      <c r="G1058" s="1"/>
      <c r="H1058" s="19"/>
      <c r="I1058" s="1"/>
      <c r="J1058" s="2"/>
      <c r="K1058" s="2"/>
      <c r="L1058" s="2"/>
      <c r="M1058" s="2"/>
      <c r="N1058" s="2"/>
      <c r="O1058" s="16"/>
    </row>
    <row r="1059" spans="4:15" ht="14.25" customHeight="1" x14ac:dyDescent="0.3">
      <c r="D1059" s="15"/>
      <c r="E1059" s="15"/>
      <c r="F1059" s="21"/>
      <c r="G1059" s="1"/>
      <c r="H1059" s="19"/>
      <c r="I1059" s="1"/>
      <c r="J1059" s="2"/>
      <c r="K1059" s="2"/>
      <c r="L1059" s="2"/>
      <c r="M1059" s="2"/>
      <c r="N1059" s="2"/>
      <c r="O1059" s="16"/>
    </row>
    <row r="1060" spans="4:15" ht="14.25" customHeight="1" x14ac:dyDescent="0.3">
      <c r="D1060" s="15"/>
      <c r="E1060" s="15"/>
      <c r="F1060" s="21"/>
      <c r="G1060" s="1"/>
      <c r="H1060" s="19"/>
      <c r="I1060" s="1"/>
      <c r="J1060" s="2"/>
      <c r="K1060" s="2"/>
      <c r="L1060" s="2"/>
      <c r="M1060" s="2"/>
      <c r="N1060" s="2"/>
      <c r="O1060" s="16"/>
    </row>
    <row r="1061" spans="4:15" ht="14.25" customHeight="1" x14ac:dyDescent="0.3">
      <c r="D1061" s="15"/>
      <c r="E1061" s="15"/>
      <c r="F1061" s="21"/>
      <c r="G1061" s="1"/>
      <c r="H1061" s="19"/>
      <c r="I1061" s="1"/>
      <c r="J1061" s="2"/>
      <c r="K1061" s="2"/>
      <c r="L1061" s="2"/>
      <c r="M1061" s="2"/>
      <c r="N1061" s="2"/>
      <c r="O1061" s="16"/>
    </row>
    <row r="1062" spans="4:15" ht="14.25" customHeight="1" x14ac:dyDescent="0.3">
      <c r="D1062" s="15"/>
      <c r="E1062" s="15"/>
      <c r="F1062" s="21"/>
      <c r="G1062" s="1"/>
      <c r="H1062" s="19"/>
      <c r="I1062" s="1"/>
      <c r="J1062" s="2"/>
      <c r="K1062" s="2"/>
      <c r="L1062" s="2"/>
      <c r="M1062" s="2"/>
      <c r="N1062" s="2"/>
      <c r="O1062" s="16"/>
    </row>
    <row r="1063" spans="4:15" ht="14.25" customHeight="1" x14ac:dyDescent="0.3">
      <c r="D1063" s="15"/>
      <c r="E1063" s="15"/>
      <c r="F1063" s="21"/>
      <c r="G1063" s="1"/>
      <c r="H1063" s="19"/>
      <c r="I1063" s="1"/>
      <c r="J1063" s="2"/>
      <c r="K1063" s="2"/>
      <c r="L1063" s="2"/>
      <c r="M1063" s="2"/>
      <c r="N1063" s="2"/>
      <c r="O1063" s="16"/>
    </row>
    <row r="1064" spans="4:15" ht="14.25" customHeight="1" x14ac:dyDescent="0.3">
      <c r="D1064" s="15"/>
      <c r="E1064" s="15"/>
      <c r="F1064" s="21"/>
      <c r="G1064" s="1"/>
      <c r="H1064" s="19"/>
      <c r="I1064" s="1"/>
      <c r="J1064" s="2"/>
      <c r="K1064" s="2"/>
      <c r="L1064" s="2"/>
      <c r="M1064" s="2"/>
      <c r="N1064" s="2"/>
      <c r="O1064" s="16"/>
    </row>
    <row r="1065" spans="4:15" ht="14.25" customHeight="1" x14ac:dyDescent="0.3">
      <c r="D1065" s="15"/>
      <c r="E1065" s="15"/>
      <c r="F1065" s="21"/>
      <c r="G1065" s="1"/>
      <c r="H1065" s="19"/>
      <c r="I1065" s="1"/>
      <c r="J1065" s="2"/>
      <c r="K1065" s="2"/>
      <c r="L1065" s="2"/>
      <c r="M1065" s="2"/>
      <c r="N1065" s="2"/>
      <c r="O1065" s="16"/>
    </row>
    <row r="1066" spans="4:15" ht="14.25" customHeight="1" x14ac:dyDescent="0.3">
      <c r="D1066" s="15"/>
      <c r="E1066" s="15"/>
      <c r="F1066" s="21"/>
      <c r="G1066" s="1"/>
      <c r="H1066" s="19"/>
      <c r="I1066" s="1"/>
      <c r="J1066" s="2"/>
      <c r="K1066" s="2"/>
      <c r="L1066" s="2"/>
      <c r="M1066" s="2"/>
      <c r="N1066" s="2"/>
      <c r="O1066" s="16"/>
    </row>
    <row r="1067" spans="4:15" ht="14.25" customHeight="1" x14ac:dyDescent="0.3">
      <c r="D1067" s="15"/>
      <c r="E1067" s="15"/>
      <c r="F1067" s="21"/>
      <c r="G1067" s="1"/>
      <c r="H1067" s="19"/>
      <c r="I1067" s="1"/>
      <c r="J1067" s="2"/>
      <c r="K1067" s="2"/>
      <c r="L1067" s="2"/>
      <c r="M1067" s="2"/>
      <c r="N1067" s="2"/>
      <c r="O1067" s="16"/>
    </row>
    <row r="1068" spans="4:15" ht="14.25" customHeight="1" x14ac:dyDescent="0.3">
      <c r="D1068" s="15"/>
      <c r="E1068" s="15"/>
      <c r="F1068" s="21"/>
      <c r="G1068" s="1"/>
      <c r="H1068" s="19"/>
      <c r="I1068" s="1"/>
      <c r="J1068" s="2"/>
      <c r="K1068" s="2"/>
      <c r="L1068" s="2"/>
      <c r="M1068" s="2"/>
      <c r="N1068" s="2"/>
      <c r="O1068" s="16"/>
    </row>
  </sheetData>
  <mergeCells count="3">
    <mergeCell ref="A1:S1"/>
    <mergeCell ref="D2:E2"/>
    <mergeCell ref="A3:A97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7"/>
  <sheetViews>
    <sheetView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C12" sqref="C12"/>
    </sheetView>
  </sheetViews>
  <sheetFormatPr defaultColWidth="14.44140625" defaultRowHeight="15" customHeight="1" x14ac:dyDescent="0.3"/>
  <cols>
    <col min="1" max="1" width="14.5546875" style="104" customWidth="1"/>
    <col min="2" max="2" width="11" style="104" bestFit="1" customWidth="1"/>
    <col min="3" max="3" width="41.5546875" style="104" bestFit="1" customWidth="1"/>
    <col min="4" max="4" width="19.6640625" style="104" bestFit="1" customWidth="1"/>
    <col min="5" max="5" width="12.21875" style="104" customWidth="1"/>
    <col min="6" max="6" width="8.77734375" style="104" customWidth="1"/>
    <col min="7" max="7" width="8.88671875" style="104" customWidth="1"/>
    <col min="8" max="8" width="8.21875" style="104" customWidth="1"/>
    <col min="9" max="9" width="10.5546875" style="112" customWidth="1"/>
    <col min="10" max="12" width="10.5546875" style="104" customWidth="1"/>
    <col min="13" max="13" width="10.44140625" style="112" bestFit="1" customWidth="1"/>
    <col min="14" max="14" width="9.77734375" style="104" customWidth="1"/>
    <col min="15" max="15" width="10.44140625" style="111" bestFit="1" customWidth="1"/>
    <col min="16" max="16" width="13.109375" style="104" customWidth="1"/>
    <col min="17" max="17" width="11.109375" style="104" customWidth="1"/>
    <col min="18" max="18" width="10.44140625" style="104" bestFit="1" customWidth="1"/>
    <col min="19" max="19" width="9.88671875" style="104" customWidth="1"/>
    <col min="20" max="32" width="8.77734375" style="104" customWidth="1"/>
    <col min="33" max="16384" width="14.44140625" style="104"/>
  </cols>
  <sheetData>
    <row r="1" spans="1:19" ht="45.75" customHeight="1" thickBot="1" x14ac:dyDescent="0.35">
      <c r="A1" s="562" t="s">
        <v>31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1"/>
    </row>
    <row r="2" spans="1:19" ht="27" customHeight="1" thickBot="1" x14ac:dyDescent="0.35">
      <c r="A2" s="148" t="s">
        <v>0</v>
      </c>
      <c r="B2" s="149" t="s">
        <v>29</v>
      </c>
      <c r="C2" s="150" t="s">
        <v>28</v>
      </c>
      <c r="D2" s="150" t="s">
        <v>30</v>
      </c>
      <c r="E2" s="151" t="s">
        <v>2</v>
      </c>
      <c r="F2" s="572" t="s">
        <v>8</v>
      </c>
      <c r="G2" s="573"/>
      <c r="H2" s="151" t="s">
        <v>22</v>
      </c>
      <c r="I2" s="152" t="s">
        <v>3</v>
      </c>
      <c r="J2" s="153" t="s">
        <v>4</v>
      </c>
      <c r="K2" s="151" t="s">
        <v>3</v>
      </c>
      <c r="L2" s="153" t="s">
        <v>4</v>
      </c>
      <c r="M2" s="152" t="s">
        <v>5</v>
      </c>
      <c r="N2" s="153" t="s">
        <v>4</v>
      </c>
      <c r="O2" s="154" t="s">
        <v>23</v>
      </c>
      <c r="P2" s="155" t="s">
        <v>6</v>
      </c>
      <c r="Q2" s="156" t="s">
        <v>25</v>
      </c>
      <c r="R2" s="157" t="s">
        <v>24</v>
      </c>
      <c r="S2" s="158" t="s">
        <v>7</v>
      </c>
    </row>
    <row r="3" spans="1:19" ht="14.25" customHeight="1" x14ac:dyDescent="0.3">
      <c r="A3" s="574"/>
      <c r="B3" s="191"/>
      <c r="C3" s="183"/>
      <c r="D3" s="184"/>
      <c r="E3" s="200"/>
      <c r="F3" s="193"/>
      <c r="G3" s="193"/>
      <c r="H3" s="185">
        <f t="shared" ref="H3:H9" si="0">SUM(F3*G3*E3)</f>
        <v>0</v>
      </c>
      <c r="I3" s="186"/>
      <c r="J3" s="187"/>
      <c r="K3" s="186"/>
      <c r="L3" s="187"/>
      <c r="M3" s="186"/>
      <c r="N3" s="187"/>
      <c r="O3" s="188">
        <f t="shared" ref="O3:O9" si="1">SUM(F3*G3*(J3+L3+N3))</f>
        <v>0</v>
      </c>
      <c r="P3" s="189">
        <f t="shared" ref="P3:P9" si="2">E3-J3-L3-N3</f>
        <v>0</v>
      </c>
      <c r="Q3" s="190"/>
      <c r="R3" s="188">
        <f t="shared" ref="R3:R9" si="3">SUM(F3*G3*(Q3))</f>
        <v>0</v>
      </c>
      <c r="S3" s="192">
        <f t="shared" ref="S3:S9" si="4">J3+L3+N3-Q3</f>
        <v>0</v>
      </c>
    </row>
    <row r="4" spans="1:19" ht="14.25" customHeight="1" x14ac:dyDescent="0.3">
      <c r="A4" s="575"/>
      <c r="B4" s="191"/>
      <c r="C4" s="183"/>
      <c r="D4" s="184"/>
      <c r="E4" s="200"/>
      <c r="F4" s="193"/>
      <c r="G4" s="193"/>
      <c r="H4" s="185">
        <f t="shared" si="0"/>
        <v>0</v>
      </c>
      <c r="I4" s="186"/>
      <c r="J4" s="187"/>
      <c r="K4" s="186"/>
      <c r="L4" s="187"/>
      <c r="M4" s="186"/>
      <c r="N4" s="187"/>
      <c r="O4" s="188">
        <f t="shared" si="1"/>
        <v>0</v>
      </c>
      <c r="P4" s="189">
        <f t="shared" si="2"/>
        <v>0</v>
      </c>
      <c r="Q4" s="190"/>
      <c r="R4" s="188">
        <f t="shared" si="3"/>
        <v>0</v>
      </c>
      <c r="S4" s="192">
        <f t="shared" si="4"/>
        <v>0</v>
      </c>
    </row>
    <row r="5" spans="1:19" ht="14.25" customHeight="1" x14ac:dyDescent="0.3">
      <c r="A5" s="575"/>
      <c r="B5" s="191"/>
      <c r="C5" s="182"/>
      <c r="D5" s="184"/>
      <c r="E5" s="200"/>
      <c r="F5" s="193"/>
      <c r="G5" s="193"/>
      <c r="H5" s="185">
        <f t="shared" si="0"/>
        <v>0</v>
      </c>
      <c r="I5" s="186"/>
      <c r="J5" s="187"/>
      <c r="K5" s="186"/>
      <c r="L5" s="187"/>
      <c r="M5" s="186"/>
      <c r="N5" s="187"/>
      <c r="O5" s="188">
        <f t="shared" si="1"/>
        <v>0</v>
      </c>
      <c r="P5" s="189">
        <f t="shared" si="2"/>
        <v>0</v>
      </c>
      <c r="Q5" s="190"/>
      <c r="R5" s="188">
        <f t="shared" si="3"/>
        <v>0</v>
      </c>
      <c r="S5" s="192">
        <f t="shared" si="4"/>
        <v>0</v>
      </c>
    </row>
    <row r="6" spans="1:19" ht="14.25" customHeight="1" x14ac:dyDescent="0.3">
      <c r="A6" s="575"/>
      <c r="B6" s="191"/>
      <c r="C6" s="182"/>
      <c r="D6" s="184"/>
      <c r="E6" s="200"/>
      <c r="F6" s="193"/>
      <c r="G6" s="193"/>
      <c r="H6" s="185">
        <f t="shared" si="0"/>
        <v>0</v>
      </c>
      <c r="I6" s="186"/>
      <c r="J6" s="187"/>
      <c r="K6" s="186"/>
      <c r="L6" s="187"/>
      <c r="M6" s="186"/>
      <c r="N6" s="187"/>
      <c r="O6" s="188">
        <f t="shared" si="1"/>
        <v>0</v>
      </c>
      <c r="P6" s="189">
        <f t="shared" si="2"/>
        <v>0</v>
      </c>
      <c r="Q6" s="190"/>
      <c r="R6" s="188">
        <f t="shared" si="3"/>
        <v>0</v>
      </c>
      <c r="S6" s="192">
        <f t="shared" si="4"/>
        <v>0</v>
      </c>
    </row>
    <row r="7" spans="1:19" ht="14.55" customHeight="1" x14ac:dyDescent="0.3">
      <c r="A7" s="575"/>
      <c r="B7" s="191"/>
      <c r="C7" s="182"/>
      <c r="D7" s="184"/>
      <c r="E7" s="200"/>
      <c r="F7" s="193"/>
      <c r="G7" s="193"/>
      <c r="H7" s="185">
        <f t="shared" si="0"/>
        <v>0</v>
      </c>
      <c r="I7" s="186"/>
      <c r="J7" s="187"/>
      <c r="K7" s="186"/>
      <c r="L7" s="187"/>
      <c r="M7" s="186"/>
      <c r="N7" s="187"/>
      <c r="O7" s="188">
        <f t="shared" si="1"/>
        <v>0</v>
      </c>
      <c r="P7" s="189">
        <f t="shared" si="2"/>
        <v>0</v>
      </c>
      <c r="Q7" s="190"/>
      <c r="R7" s="188">
        <f t="shared" si="3"/>
        <v>0</v>
      </c>
      <c r="S7" s="192">
        <f t="shared" si="4"/>
        <v>0</v>
      </c>
    </row>
    <row r="8" spans="1:19" ht="14.25" customHeight="1" x14ac:dyDescent="0.3">
      <c r="A8" s="575"/>
      <c r="B8" s="191"/>
      <c r="C8" s="183"/>
      <c r="D8" s="184"/>
      <c r="E8" s="200"/>
      <c r="F8" s="193"/>
      <c r="G8" s="193"/>
      <c r="H8" s="185">
        <f t="shared" si="0"/>
        <v>0</v>
      </c>
      <c r="I8" s="186"/>
      <c r="J8" s="187"/>
      <c r="K8" s="186"/>
      <c r="L8" s="187"/>
      <c r="M8" s="186"/>
      <c r="N8" s="187"/>
      <c r="O8" s="188">
        <f t="shared" si="1"/>
        <v>0</v>
      </c>
      <c r="P8" s="189">
        <f t="shared" si="2"/>
        <v>0</v>
      </c>
      <c r="Q8" s="190"/>
      <c r="R8" s="188">
        <f t="shared" si="3"/>
        <v>0</v>
      </c>
      <c r="S8" s="192">
        <f t="shared" si="4"/>
        <v>0</v>
      </c>
    </row>
    <row r="9" spans="1:19" ht="14.25" customHeight="1" x14ac:dyDescent="0.3">
      <c r="A9" s="575"/>
      <c r="B9" s="191"/>
      <c r="C9" s="183"/>
      <c r="D9" s="184"/>
      <c r="E9" s="200"/>
      <c r="F9" s="193"/>
      <c r="G9" s="193"/>
      <c r="H9" s="185">
        <f t="shared" si="0"/>
        <v>0</v>
      </c>
      <c r="I9" s="186"/>
      <c r="J9" s="187"/>
      <c r="K9" s="186"/>
      <c r="L9" s="187"/>
      <c r="M9" s="186"/>
      <c r="N9" s="187"/>
      <c r="O9" s="188">
        <f t="shared" si="1"/>
        <v>0</v>
      </c>
      <c r="P9" s="189">
        <f t="shared" si="2"/>
        <v>0</v>
      </c>
      <c r="Q9" s="190"/>
      <c r="R9" s="188">
        <f t="shared" si="3"/>
        <v>0</v>
      </c>
      <c r="S9" s="192">
        <f t="shared" si="4"/>
        <v>0</v>
      </c>
    </row>
    <row r="10" spans="1:19" ht="14.25" customHeight="1" x14ac:dyDescent="0.3">
      <c r="A10" s="575"/>
      <c r="B10" s="140"/>
      <c r="C10" s="116"/>
      <c r="D10" s="159"/>
      <c r="E10" s="121"/>
      <c r="F10" s="124"/>
      <c r="G10" s="124"/>
      <c r="H10" s="125">
        <f t="shared" ref="H10:H16" si="5">SUM(F10*G10*E10)</f>
        <v>0</v>
      </c>
      <c r="I10" s="126"/>
      <c r="J10" s="127"/>
      <c r="K10" s="126"/>
      <c r="L10" s="127"/>
      <c r="M10" s="126"/>
      <c r="N10" s="127"/>
      <c r="O10" s="117">
        <f t="shared" ref="O10:O15" si="6">SUM(F10*G10*(J10+L10+N10))</f>
        <v>0</v>
      </c>
      <c r="P10" s="118">
        <f t="shared" ref="P10:P15" si="7">E10-J10-L10-N10</f>
        <v>0</v>
      </c>
      <c r="Q10" s="82"/>
      <c r="R10" s="146">
        <f t="shared" ref="R10:R15" si="8">SUM(F10*G10*(Q10))</f>
        <v>0</v>
      </c>
      <c r="S10" s="113">
        <f t="shared" ref="S10:S15" si="9">J10+L10+N10-Q10</f>
        <v>0</v>
      </c>
    </row>
    <row r="11" spans="1:19" ht="14.25" customHeight="1" x14ac:dyDescent="0.3">
      <c r="A11" s="575"/>
      <c r="B11" s="140"/>
      <c r="C11" s="116"/>
      <c r="D11" s="159"/>
      <c r="E11" s="121"/>
      <c r="F11" s="124"/>
      <c r="G11" s="124"/>
      <c r="H11" s="125">
        <f t="shared" si="5"/>
        <v>0</v>
      </c>
      <c r="I11" s="126"/>
      <c r="J11" s="127"/>
      <c r="K11" s="126"/>
      <c r="L11" s="127"/>
      <c r="M11" s="126"/>
      <c r="N11" s="127"/>
      <c r="O11" s="117">
        <f t="shared" si="6"/>
        <v>0</v>
      </c>
      <c r="P11" s="118">
        <f t="shared" si="7"/>
        <v>0</v>
      </c>
      <c r="Q11" s="82"/>
      <c r="R11" s="146">
        <f t="shared" si="8"/>
        <v>0</v>
      </c>
      <c r="S11" s="113">
        <f t="shared" si="9"/>
        <v>0</v>
      </c>
    </row>
    <row r="12" spans="1:19" ht="14.25" customHeight="1" x14ac:dyDescent="0.3">
      <c r="A12" s="575"/>
      <c r="B12" s="140"/>
      <c r="C12" s="116"/>
      <c r="D12" s="159"/>
      <c r="E12" s="121"/>
      <c r="F12" s="124"/>
      <c r="G12" s="124"/>
      <c r="H12" s="125">
        <f t="shared" si="5"/>
        <v>0</v>
      </c>
      <c r="I12" s="126"/>
      <c r="J12" s="127"/>
      <c r="K12" s="126"/>
      <c r="L12" s="127"/>
      <c r="M12" s="126"/>
      <c r="N12" s="127"/>
      <c r="O12" s="117">
        <f t="shared" si="6"/>
        <v>0</v>
      </c>
      <c r="P12" s="118">
        <f t="shared" si="7"/>
        <v>0</v>
      </c>
      <c r="Q12" s="82"/>
      <c r="R12" s="146">
        <f t="shared" si="8"/>
        <v>0</v>
      </c>
      <c r="S12" s="113">
        <f t="shared" si="9"/>
        <v>0</v>
      </c>
    </row>
    <row r="13" spans="1:19" ht="14.25" customHeight="1" x14ac:dyDescent="0.3">
      <c r="A13" s="575"/>
      <c r="B13" s="140"/>
      <c r="C13" s="132"/>
      <c r="D13" s="160"/>
      <c r="E13" s="121"/>
      <c r="F13" s="124"/>
      <c r="G13" s="124"/>
      <c r="H13" s="125">
        <f t="shared" si="5"/>
        <v>0</v>
      </c>
      <c r="I13" s="126"/>
      <c r="J13" s="127"/>
      <c r="K13" s="126"/>
      <c r="L13" s="127"/>
      <c r="M13" s="126"/>
      <c r="N13" s="127"/>
      <c r="O13" s="117">
        <f t="shared" si="6"/>
        <v>0</v>
      </c>
      <c r="P13" s="118">
        <f t="shared" si="7"/>
        <v>0</v>
      </c>
      <c r="Q13" s="82"/>
      <c r="R13" s="146">
        <f t="shared" si="8"/>
        <v>0</v>
      </c>
      <c r="S13" s="113">
        <f t="shared" si="9"/>
        <v>0</v>
      </c>
    </row>
    <row r="14" spans="1:19" ht="14.4" x14ac:dyDescent="0.3">
      <c r="A14" s="575"/>
      <c r="B14" s="140"/>
      <c r="C14" s="116"/>
      <c r="D14" s="159"/>
      <c r="E14" s="121"/>
      <c r="F14" s="124"/>
      <c r="G14" s="124"/>
      <c r="H14" s="125">
        <f t="shared" si="5"/>
        <v>0</v>
      </c>
      <c r="I14" s="126"/>
      <c r="J14" s="127"/>
      <c r="K14" s="126"/>
      <c r="L14" s="127"/>
      <c r="M14" s="126"/>
      <c r="N14" s="127"/>
      <c r="O14" s="117">
        <f t="shared" si="6"/>
        <v>0</v>
      </c>
      <c r="P14" s="118">
        <f t="shared" si="7"/>
        <v>0</v>
      </c>
      <c r="Q14" s="82"/>
      <c r="R14" s="146">
        <f t="shared" si="8"/>
        <v>0</v>
      </c>
      <c r="S14" s="113">
        <f t="shared" si="9"/>
        <v>0</v>
      </c>
    </row>
    <row r="15" spans="1:19" ht="14.25" customHeight="1" x14ac:dyDescent="0.3">
      <c r="A15" s="575"/>
      <c r="B15" s="140"/>
      <c r="C15" s="132"/>
      <c r="D15" s="160"/>
      <c r="E15" s="121"/>
      <c r="F15" s="124"/>
      <c r="G15" s="124"/>
      <c r="H15" s="125">
        <f t="shared" si="5"/>
        <v>0</v>
      </c>
      <c r="I15" s="126"/>
      <c r="J15" s="127"/>
      <c r="K15" s="126"/>
      <c r="L15" s="127"/>
      <c r="M15" s="126"/>
      <c r="N15" s="127"/>
      <c r="O15" s="117">
        <f t="shared" si="6"/>
        <v>0</v>
      </c>
      <c r="P15" s="118">
        <f t="shared" si="7"/>
        <v>0</v>
      </c>
      <c r="Q15" s="82"/>
      <c r="R15" s="146">
        <f t="shared" si="8"/>
        <v>0</v>
      </c>
      <c r="S15" s="113">
        <f t="shared" si="9"/>
        <v>0</v>
      </c>
    </row>
    <row r="16" spans="1:19" ht="14.25" customHeight="1" thickBot="1" x14ac:dyDescent="0.35">
      <c r="A16" s="576"/>
      <c r="B16" s="139"/>
      <c r="C16" s="141"/>
      <c r="D16" s="161"/>
      <c r="E16" s="128"/>
      <c r="F16" s="129"/>
      <c r="G16" s="129"/>
      <c r="H16" s="142">
        <f t="shared" si="5"/>
        <v>0</v>
      </c>
      <c r="I16" s="130"/>
      <c r="J16" s="131"/>
      <c r="K16" s="130"/>
      <c r="L16" s="131"/>
      <c r="M16" s="130"/>
      <c r="N16" s="131"/>
      <c r="O16" s="119"/>
      <c r="P16" s="120"/>
      <c r="Q16" s="114"/>
      <c r="R16" s="114"/>
      <c r="S16" s="115"/>
    </row>
    <row r="17" spans="6:15" ht="14.25" customHeight="1" x14ac:dyDescent="0.3">
      <c r="F17" s="108"/>
      <c r="G17" s="108"/>
      <c r="H17" s="108"/>
      <c r="I17" s="109"/>
      <c r="J17" s="110"/>
      <c r="K17" s="109"/>
      <c r="L17" s="110"/>
      <c r="M17" s="109"/>
      <c r="N17" s="110"/>
      <c r="O17" s="107"/>
    </row>
    <row r="18" spans="6:15" ht="14.25" customHeight="1" x14ac:dyDescent="0.3">
      <c r="F18" s="108"/>
      <c r="G18" s="108"/>
      <c r="H18" s="108"/>
      <c r="I18" s="109"/>
      <c r="J18" s="110"/>
      <c r="K18" s="109"/>
      <c r="L18" s="110"/>
      <c r="M18" s="109"/>
      <c r="N18" s="110"/>
      <c r="O18" s="107"/>
    </row>
    <row r="19" spans="6:15" ht="14.25" customHeight="1" x14ac:dyDescent="0.3">
      <c r="F19" s="108"/>
      <c r="G19" s="108"/>
      <c r="H19" s="108"/>
      <c r="I19" s="109"/>
      <c r="J19" s="110"/>
      <c r="K19" s="109"/>
      <c r="L19" s="110"/>
      <c r="M19" s="109"/>
      <c r="N19" s="110"/>
      <c r="O19" s="107"/>
    </row>
    <row r="20" spans="6:15" ht="14.25" customHeight="1" x14ac:dyDescent="0.3">
      <c r="F20" s="108"/>
      <c r="G20" s="108"/>
      <c r="H20" s="108"/>
      <c r="I20" s="109"/>
      <c r="J20" s="110"/>
      <c r="K20" s="109"/>
      <c r="L20" s="110"/>
      <c r="M20" s="109"/>
      <c r="N20" s="110"/>
      <c r="O20" s="107"/>
    </row>
    <row r="21" spans="6:15" ht="14.25" customHeight="1" x14ac:dyDescent="0.3">
      <c r="F21" s="108"/>
      <c r="G21" s="108"/>
      <c r="H21" s="108"/>
      <c r="I21" s="109"/>
      <c r="J21" s="110"/>
      <c r="K21" s="109"/>
      <c r="L21" s="110"/>
      <c r="M21" s="109"/>
      <c r="N21" s="110"/>
      <c r="O21" s="107"/>
    </row>
    <row r="22" spans="6:15" ht="14.25" customHeight="1" x14ac:dyDescent="0.3">
      <c r="F22" s="108"/>
      <c r="G22" s="108"/>
      <c r="H22" s="108"/>
      <c r="I22" s="109"/>
      <c r="J22" s="110"/>
      <c r="K22" s="109"/>
      <c r="L22" s="110"/>
      <c r="M22" s="109"/>
      <c r="N22" s="110"/>
      <c r="O22" s="107"/>
    </row>
    <row r="23" spans="6:15" ht="14.25" customHeight="1" x14ac:dyDescent="0.3">
      <c r="F23" s="108"/>
      <c r="G23" s="108"/>
      <c r="H23" s="108"/>
      <c r="I23" s="109"/>
      <c r="J23" s="110"/>
      <c r="K23" s="109"/>
      <c r="L23" s="110"/>
      <c r="M23" s="109"/>
      <c r="N23" s="110"/>
      <c r="O23" s="107"/>
    </row>
    <row r="24" spans="6:15" ht="14.25" customHeight="1" x14ac:dyDescent="0.3">
      <c r="F24" s="108"/>
      <c r="G24" s="108"/>
      <c r="H24" s="108"/>
      <c r="I24" s="109"/>
      <c r="J24" s="110"/>
      <c r="K24" s="109"/>
      <c r="L24" s="110"/>
      <c r="M24" s="109"/>
      <c r="N24" s="110"/>
      <c r="O24" s="107"/>
    </row>
    <row r="25" spans="6:15" ht="14.25" customHeight="1" x14ac:dyDescent="0.3">
      <c r="F25" s="108"/>
      <c r="G25" s="108"/>
      <c r="H25" s="108"/>
      <c r="I25" s="109"/>
      <c r="J25" s="110"/>
      <c r="K25" s="109"/>
      <c r="L25" s="110"/>
      <c r="M25" s="109"/>
      <c r="N25" s="110"/>
      <c r="O25" s="107"/>
    </row>
    <row r="26" spans="6:15" ht="14.25" customHeight="1" x14ac:dyDescent="0.3">
      <c r="F26" s="108"/>
      <c r="G26" s="108"/>
      <c r="H26" s="108"/>
      <c r="I26" s="109"/>
      <c r="J26" s="110"/>
      <c r="K26" s="109"/>
      <c r="L26" s="110"/>
      <c r="M26" s="109"/>
      <c r="N26" s="110"/>
      <c r="O26" s="107"/>
    </row>
    <row r="27" spans="6:15" ht="14.25" customHeight="1" x14ac:dyDescent="0.3">
      <c r="F27" s="108"/>
      <c r="G27" s="108"/>
      <c r="H27" s="108"/>
      <c r="I27" s="109"/>
      <c r="J27" s="110"/>
      <c r="K27" s="109"/>
      <c r="L27" s="110"/>
      <c r="M27" s="109"/>
      <c r="N27" s="110"/>
      <c r="O27" s="107"/>
    </row>
    <row r="28" spans="6:15" ht="14.25" customHeight="1" x14ac:dyDescent="0.3">
      <c r="F28" s="108"/>
      <c r="G28" s="108"/>
      <c r="H28" s="108"/>
      <c r="I28" s="109"/>
      <c r="J28" s="110"/>
      <c r="K28" s="109"/>
      <c r="L28" s="110"/>
      <c r="M28" s="109"/>
      <c r="N28" s="110"/>
      <c r="O28" s="107"/>
    </row>
    <row r="29" spans="6:15" ht="14.25" customHeight="1" x14ac:dyDescent="0.3">
      <c r="F29" s="108"/>
      <c r="G29" s="108"/>
      <c r="H29" s="108"/>
      <c r="I29" s="109"/>
      <c r="J29" s="110"/>
      <c r="K29" s="109"/>
      <c r="L29" s="110"/>
      <c r="M29" s="109"/>
      <c r="N29" s="110"/>
      <c r="O29" s="107"/>
    </row>
    <row r="30" spans="6:15" ht="14.25" customHeight="1" x14ac:dyDescent="0.3">
      <c r="F30" s="108"/>
      <c r="G30" s="108"/>
      <c r="H30" s="108"/>
      <c r="I30" s="109"/>
      <c r="J30" s="110"/>
      <c r="K30" s="109"/>
      <c r="L30" s="110"/>
      <c r="M30" s="109"/>
      <c r="N30" s="110"/>
      <c r="O30" s="107"/>
    </row>
    <row r="31" spans="6:15" ht="14.25" customHeight="1" x14ac:dyDescent="0.3">
      <c r="F31" s="108"/>
      <c r="G31" s="108"/>
      <c r="H31" s="108"/>
      <c r="I31" s="109"/>
      <c r="J31" s="110"/>
      <c r="K31" s="109"/>
      <c r="L31" s="110"/>
      <c r="M31" s="109"/>
      <c r="N31" s="110"/>
      <c r="O31" s="107"/>
    </row>
    <row r="32" spans="6:15" ht="14.25" customHeight="1" x14ac:dyDescent="0.3">
      <c r="F32" s="108"/>
      <c r="G32" s="108"/>
      <c r="H32" s="108"/>
      <c r="I32" s="109"/>
      <c r="J32" s="110"/>
      <c r="K32" s="109"/>
      <c r="L32" s="110"/>
      <c r="M32" s="109"/>
      <c r="N32" s="110"/>
      <c r="O32" s="107"/>
    </row>
    <row r="33" spans="6:15" ht="14.25" customHeight="1" x14ac:dyDescent="0.3">
      <c r="F33" s="108"/>
      <c r="G33" s="108"/>
      <c r="H33" s="108"/>
      <c r="I33" s="109"/>
      <c r="J33" s="110"/>
      <c r="K33" s="109"/>
      <c r="L33" s="110"/>
      <c r="M33" s="109"/>
      <c r="N33" s="110"/>
      <c r="O33" s="107"/>
    </row>
    <row r="34" spans="6:15" ht="14.25" customHeight="1" x14ac:dyDescent="0.3">
      <c r="F34" s="108"/>
      <c r="G34" s="108"/>
      <c r="H34" s="108"/>
      <c r="I34" s="109"/>
      <c r="J34" s="110"/>
      <c r="K34" s="109"/>
      <c r="L34" s="110"/>
      <c r="M34" s="109"/>
      <c r="N34" s="110"/>
      <c r="O34" s="107"/>
    </row>
    <row r="35" spans="6:15" ht="14.25" customHeight="1" x14ac:dyDescent="0.3">
      <c r="F35" s="108"/>
      <c r="G35" s="108"/>
      <c r="H35" s="108"/>
      <c r="I35" s="109"/>
      <c r="J35" s="110"/>
      <c r="K35" s="109"/>
      <c r="L35" s="110"/>
      <c r="M35" s="109"/>
      <c r="N35" s="110"/>
      <c r="O35" s="107"/>
    </row>
    <row r="36" spans="6:15" ht="14.25" customHeight="1" x14ac:dyDescent="0.3">
      <c r="F36" s="108"/>
      <c r="G36" s="108"/>
      <c r="H36" s="108"/>
      <c r="I36" s="109"/>
      <c r="J36" s="110"/>
      <c r="K36" s="109"/>
      <c r="L36" s="110"/>
      <c r="M36" s="109"/>
      <c r="N36" s="110"/>
      <c r="O36" s="107"/>
    </row>
    <row r="37" spans="6:15" ht="14.25" customHeight="1" x14ac:dyDescent="0.3">
      <c r="F37" s="108"/>
      <c r="G37" s="108"/>
      <c r="H37" s="108"/>
      <c r="I37" s="109"/>
      <c r="J37" s="110"/>
      <c r="K37" s="109"/>
      <c r="L37" s="110"/>
      <c r="M37" s="109"/>
      <c r="N37" s="110"/>
      <c r="O37" s="107"/>
    </row>
    <row r="38" spans="6:15" ht="14.25" customHeight="1" x14ac:dyDescent="0.3">
      <c r="F38" s="108"/>
      <c r="G38" s="108"/>
      <c r="H38" s="108"/>
      <c r="I38" s="109"/>
      <c r="J38" s="110"/>
      <c r="K38" s="109"/>
      <c r="L38" s="110"/>
      <c r="M38" s="109"/>
      <c r="N38" s="110"/>
      <c r="O38" s="107"/>
    </row>
    <row r="39" spans="6:15" ht="14.25" customHeight="1" x14ac:dyDescent="0.3">
      <c r="F39" s="108"/>
      <c r="G39" s="108"/>
      <c r="H39" s="108"/>
      <c r="I39" s="109"/>
      <c r="J39" s="110"/>
      <c r="K39" s="109"/>
      <c r="L39" s="110"/>
      <c r="M39" s="109"/>
      <c r="N39" s="110"/>
      <c r="O39" s="107"/>
    </row>
    <row r="40" spans="6:15" ht="14.25" customHeight="1" x14ac:dyDescent="0.3">
      <c r="F40" s="108"/>
      <c r="G40" s="108"/>
      <c r="H40" s="108"/>
      <c r="I40" s="109"/>
      <c r="J40" s="110"/>
      <c r="K40" s="109"/>
      <c r="L40" s="110"/>
      <c r="M40" s="109"/>
      <c r="N40" s="110"/>
      <c r="O40" s="107"/>
    </row>
    <row r="41" spans="6:15" ht="14.25" customHeight="1" x14ac:dyDescent="0.3">
      <c r="F41" s="108"/>
      <c r="G41" s="108"/>
      <c r="H41" s="108"/>
      <c r="I41" s="109"/>
      <c r="J41" s="110"/>
      <c r="K41" s="109"/>
      <c r="L41" s="110"/>
      <c r="M41" s="109"/>
      <c r="N41" s="110"/>
      <c r="O41" s="107"/>
    </row>
    <row r="42" spans="6:15" ht="14.25" customHeight="1" x14ac:dyDescent="0.3">
      <c r="F42" s="108"/>
      <c r="G42" s="108"/>
      <c r="H42" s="108"/>
      <c r="I42" s="109"/>
      <c r="J42" s="110"/>
      <c r="K42" s="109"/>
      <c r="L42" s="110"/>
      <c r="M42" s="109"/>
      <c r="N42" s="110"/>
      <c r="O42" s="107"/>
    </row>
    <row r="43" spans="6:15" ht="14.25" customHeight="1" x14ac:dyDescent="0.3">
      <c r="F43" s="108"/>
      <c r="G43" s="108"/>
      <c r="H43" s="108"/>
      <c r="I43" s="109"/>
      <c r="J43" s="110"/>
      <c r="K43" s="109"/>
      <c r="L43" s="110"/>
      <c r="M43" s="109"/>
      <c r="N43" s="110"/>
      <c r="O43" s="107"/>
    </row>
    <row r="44" spans="6:15" ht="14.25" customHeight="1" x14ac:dyDescent="0.3">
      <c r="F44" s="108"/>
      <c r="G44" s="108"/>
      <c r="H44" s="108"/>
      <c r="I44" s="109"/>
      <c r="J44" s="110"/>
      <c r="K44" s="109"/>
      <c r="L44" s="110"/>
      <c r="M44" s="109"/>
      <c r="N44" s="110"/>
      <c r="O44" s="107"/>
    </row>
    <row r="45" spans="6:15" ht="14.25" customHeight="1" x14ac:dyDescent="0.3">
      <c r="F45" s="108"/>
      <c r="G45" s="108"/>
      <c r="H45" s="108"/>
      <c r="I45" s="109"/>
      <c r="J45" s="110"/>
      <c r="K45" s="109"/>
      <c r="L45" s="110"/>
      <c r="M45" s="109"/>
      <c r="N45" s="110"/>
      <c r="O45" s="107"/>
    </row>
    <row r="46" spans="6:15" ht="14.25" customHeight="1" x14ac:dyDescent="0.3">
      <c r="F46" s="108"/>
      <c r="G46" s="108"/>
      <c r="H46" s="108"/>
      <c r="I46" s="109"/>
      <c r="J46" s="110"/>
      <c r="K46" s="109"/>
      <c r="L46" s="110"/>
      <c r="M46" s="109"/>
      <c r="N46" s="110"/>
      <c r="O46" s="107"/>
    </row>
    <row r="47" spans="6:15" ht="14.25" customHeight="1" x14ac:dyDescent="0.3">
      <c r="F47" s="108"/>
      <c r="G47" s="108"/>
      <c r="H47" s="108"/>
      <c r="I47" s="109"/>
      <c r="J47" s="110"/>
      <c r="K47" s="109"/>
      <c r="L47" s="110"/>
      <c r="M47" s="109"/>
      <c r="N47" s="110"/>
      <c r="O47" s="107"/>
    </row>
    <row r="48" spans="6:15" ht="14.25" customHeight="1" x14ac:dyDescent="0.3">
      <c r="F48" s="108"/>
      <c r="G48" s="108"/>
      <c r="H48" s="108"/>
      <c r="I48" s="109"/>
      <c r="J48" s="110"/>
      <c r="K48" s="109"/>
      <c r="L48" s="110"/>
      <c r="M48" s="109"/>
      <c r="N48" s="110"/>
      <c r="O48" s="107"/>
    </row>
    <row r="49" spans="6:15" ht="14.25" customHeight="1" x14ac:dyDescent="0.3">
      <c r="F49" s="108"/>
      <c r="G49" s="108"/>
      <c r="H49" s="108"/>
      <c r="I49" s="109"/>
      <c r="J49" s="110"/>
      <c r="K49" s="109"/>
      <c r="L49" s="110"/>
      <c r="M49" s="109"/>
      <c r="N49" s="110"/>
      <c r="O49" s="107"/>
    </row>
    <row r="50" spans="6:15" ht="14.25" customHeight="1" x14ac:dyDescent="0.3">
      <c r="F50" s="108"/>
      <c r="G50" s="108"/>
      <c r="H50" s="108"/>
      <c r="I50" s="109"/>
      <c r="J50" s="110"/>
      <c r="K50" s="109"/>
      <c r="L50" s="110"/>
      <c r="M50" s="109"/>
      <c r="N50" s="110"/>
      <c r="O50" s="107"/>
    </row>
    <row r="51" spans="6:15" ht="14.25" customHeight="1" x14ac:dyDescent="0.3">
      <c r="F51" s="108"/>
      <c r="G51" s="108"/>
      <c r="H51" s="108"/>
      <c r="I51" s="109"/>
      <c r="J51" s="110"/>
      <c r="K51" s="109"/>
      <c r="L51" s="110"/>
      <c r="M51" s="109"/>
      <c r="N51" s="110"/>
      <c r="O51" s="107"/>
    </row>
    <row r="52" spans="6:15" ht="14.25" customHeight="1" x14ac:dyDescent="0.3">
      <c r="F52" s="108"/>
      <c r="G52" s="108"/>
      <c r="H52" s="108"/>
      <c r="I52" s="109"/>
      <c r="J52" s="110"/>
      <c r="K52" s="109"/>
      <c r="L52" s="110"/>
      <c r="M52" s="109"/>
      <c r="N52" s="110"/>
      <c r="O52" s="107"/>
    </row>
    <row r="53" spans="6:15" ht="14.25" customHeight="1" x14ac:dyDescent="0.3">
      <c r="F53" s="108"/>
      <c r="G53" s="108"/>
      <c r="H53" s="108"/>
      <c r="I53" s="109"/>
      <c r="J53" s="110"/>
      <c r="K53" s="109"/>
      <c r="L53" s="110"/>
      <c r="M53" s="109"/>
      <c r="N53" s="110"/>
      <c r="O53" s="107"/>
    </row>
    <row r="54" spans="6:15" ht="14.25" customHeight="1" x14ac:dyDescent="0.3">
      <c r="F54" s="108"/>
      <c r="G54" s="108"/>
      <c r="H54" s="108"/>
      <c r="I54" s="109"/>
      <c r="J54" s="110"/>
      <c r="K54" s="109"/>
      <c r="L54" s="110"/>
      <c r="M54" s="109"/>
      <c r="N54" s="110"/>
      <c r="O54" s="107"/>
    </row>
    <row r="55" spans="6:15" ht="14.25" customHeight="1" x14ac:dyDescent="0.3">
      <c r="F55" s="108"/>
      <c r="G55" s="108"/>
      <c r="H55" s="108"/>
      <c r="I55" s="109"/>
      <c r="J55" s="110"/>
      <c r="K55" s="109"/>
      <c r="L55" s="110"/>
      <c r="M55" s="109"/>
      <c r="N55" s="110"/>
      <c r="O55" s="107"/>
    </row>
    <row r="56" spans="6:15" ht="14.25" customHeight="1" x14ac:dyDescent="0.3">
      <c r="F56" s="108"/>
      <c r="G56" s="108"/>
      <c r="H56" s="108"/>
      <c r="I56" s="109"/>
      <c r="J56" s="110"/>
      <c r="K56" s="109"/>
      <c r="L56" s="110"/>
      <c r="M56" s="109"/>
      <c r="N56" s="110"/>
      <c r="O56" s="107"/>
    </row>
    <row r="57" spans="6:15" ht="14.25" customHeight="1" x14ac:dyDescent="0.3">
      <c r="F57" s="108"/>
      <c r="G57" s="108"/>
      <c r="H57" s="108"/>
      <c r="I57" s="109"/>
      <c r="J57" s="110"/>
      <c r="K57" s="109"/>
      <c r="L57" s="110"/>
      <c r="M57" s="109"/>
      <c r="N57" s="110"/>
      <c r="O57" s="107"/>
    </row>
    <row r="58" spans="6:15" ht="14.25" customHeight="1" x14ac:dyDescent="0.3">
      <c r="F58" s="108"/>
      <c r="G58" s="108"/>
      <c r="H58" s="108"/>
      <c r="I58" s="109"/>
      <c r="J58" s="110"/>
      <c r="K58" s="109"/>
      <c r="L58" s="110"/>
      <c r="M58" s="109"/>
      <c r="N58" s="110"/>
      <c r="O58" s="107"/>
    </row>
    <row r="59" spans="6:15" ht="14.25" customHeight="1" x14ac:dyDescent="0.3">
      <c r="F59" s="108"/>
      <c r="G59" s="108"/>
      <c r="H59" s="108"/>
      <c r="I59" s="109"/>
      <c r="J59" s="110"/>
      <c r="K59" s="109"/>
      <c r="L59" s="110"/>
      <c r="M59" s="109"/>
      <c r="N59" s="110"/>
      <c r="O59" s="107"/>
    </row>
    <row r="60" spans="6:15" ht="14.25" customHeight="1" x14ac:dyDescent="0.3">
      <c r="F60" s="108"/>
      <c r="G60" s="108"/>
      <c r="H60" s="108"/>
      <c r="I60" s="109"/>
      <c r="J60" s="110"/>
      <c r="K60" s="109"/>
      <c r="L60" s="110"/>
      <c r="M60" s="109"/>
      <c r="N60" s="110"/>
      <c r="O60" s="107"/>
    </row>
    <row r="61" spans="6:15" ht="14.25" customHeight="1" x14ac:dyDescent="0.3">
      <c r="F61" s="108"/>
      <c r="G61" s="108"/>
      <c r="H61" s="108"/>
      <c r="I61" s="109"/>
      <c r="J61" s="110"/>
      <c r="K61" s="109"/>
      <c r="L61" s="110"/>
      <c r="M61" s="109"/>
      <c r="N61" s="110"/>
      <c r="O61" s="107"/>
    </row>
    <row r="62" spans="6:15" ht="14.25" customHeight="1" x14ac:dyDescent="0.3">
      <c r="F62" s="108"/>
      <c r="G62" s="108"/>
      <c r="H62" s="108"/>
      <c r="I62" s="109"/>
      <c r="J62" s="110"/>
      <c r="K62" s="109"/>
      <c r="L62" s="110"/>
      <c r="M62" s="109"/>
      <c r="N62" s="110"/>
      <c r="O62" s="107"/>
    </row>
    <row r="63" spans="6:15" ht="14.25" customHeight="1" x14ac:dyDescent="0.3">
      <c r="F63" s="108"/>
      <c r="G63" s="108"/>
      <c r="H63" s="108"/>
      <c r="I63" s="109"/>
      <c r="J63" s="110"/>
      <c r="K63" s="109"/>
      <c r="L63" s="110"/>
      <c r="M63" s="109"/>
      <c r="N63" s="110"/>
      <c r="O63" s="107"/>
    </row>
    <row r="64" spans="6:15" ht="14.25" customHeight="1" x14ac:dyDescent="0.3">
      <c r="F64" s="108"/>
      <c r="G64" s="108"/>
      <c r="H64" s="108"/>
      <c r="I64" s="109"/>
      <c r="J64" s="110"/>
      <c r="K64" s="109"/>
      <c r="L64" s="110"/>
      <c r="M64" s="109"/>
      <c r="N64" s="110"/>
      <c r="O64" s="107"/>
    </row>
    <row r="65" spans="6:15" ht="14.25" customHeight="1" x14ac:dyDescent="0.3">
      <c r="F65" s="108"/>
      <c r="G65" s="108"/>
      <c r="H65" s="108"/>
      <c r="I65" s="109"/>
      <c r="J65" s="110"/>
      <c r="K65" s="109"/>
      <c r="L65" s="110"/>
      <c r="M65" s="109"/>
      <c r="N65" s="110"/>
      <c r="O65" s="107"/>
    </row>
    <row r="66" spans="6:15" ht="14.25" customHeight="1" x14ac:dyDescent="0.3">
      <c r="F66" s="108"/>
      <c r="G66" s="108"/>
      <c r="H66" s="108"/>
      <c r="I66" s="109"/>
      <c r="J66" s="110"/>
      <c r="K66" s="109"/>
      <c r="L66" s="110"/>
      <c r="M66" s="109"/>
      <c r="N66" s="110"/>
      <c r="O66" s="107"/>
    </row>
    <row r="67" spans="6:15" ht="14.25" customHeight="1" x14ac:dyDescent="0.3">
      <c r="F67" s="108"/>
      <c r="G67" s="108"/>
      <c r="H67" s="108"/>
      <c r="I67" s="109"/>
      <c r="J67" s="110"/>
      <c r="K67" s="109"/>
      <c r="L67" s="110"/>
      <c r="M67" s="109"/>
      <c r="N67" s="110"/>
      <c r="O67" s="107"/>
    </row>
    <row r="68" spans="6:15" ht="14.25" customHeight="1" x14ac:dyDescent="0.3">
      <c r="F68" s="108"/>
      <c r="G68" s="108"/>
      <c r="H68" s="108"/>
      <c r="I68" s="109"/>
      <c r="J68" s="110"/>
      <c r="K68" s="109"/>
      <c r="L68" s="110"/>
      <c r="M68" s="109"/>
      <c r="N68" s="110"/>
      <c r="O68" s="107"/>
    </row>
    <row r="69" spans="6:15" ht="14.25" customHeight="1" x14ac:dyDescent="0.3">
      <c r="F69" s="108"/>
      <c r="G69" s="108"/>
      <c r="H69" s="108"/>
      <c r="I69" s="109"/>
      <c r="J69" s="110"/>
      <c r="K69" s="109"/>
      <c r="L69" s="110"/>
      <c r="M69" s="109"/>
      <c r="N69" s="110"/>
      <c r="O69" s="107"/>
    </row>
    <row r="70" spans="6:15" ht="14.25" customHeight="1" x14ac:dyDescent="0.3">
      <c r="F70" s="108"/>
      <c r="G70" s="108"/>
      <c r="H70" s="108"/>
      <c r="I70" s="109"/>
      <c r="J70" s="110"/>
      <c r="K70" s="109"/>
      <c r="L70" s="110"/>
      <c r="M70" s="109"/>
      <c r="N70" s="110"/>
      <c r="O70" s="107"/>
    </row>
    <row r="71" spans="6:15" ht="14.25" customHeight="1" x14ac:dyDescent="0.3">
      <c r="F71" s="108"/>
      <c r="G71" s="108"/>
      <c r="H71" s="108"/>
      <c r="I71" s="109"/>
      <c r="J71" s="110"/>
      <c r="K71" s="109"/>
      <c r="L71" s="110"/>
      <c r="M71" s="109"/>
      <c r="N71" s="110"/>
      <c r="O71" s="107"/>
    </row>
    <row r="72" spans="6:15" ht="14.25" customHeight="1" x14ac:dyDescent="0.3">
      <c r="F72" s="108"/>
      <c r="G72" s="108"/>
      <c r="H72" s="108"/>
      <c r="I72" s="109"/>
      <c r="J72" s="110"/>
      <c r="K72" s="109"/>
      <c r="L72" s="110"/>
      <c r="M72" s="109"/>
      <c r="N72" s="110"/>
      <c r="O72" s="107"/>
    </row>
    <row r="73" spans="6:15" ht="14.25" customHeight="1" x14ac:dyDescent="0.3">
      <c r="F73" s="108"/>
      <c r="G73" s="108"/>
      <c r="H73" s="108"/>
      <c r="I73" s="109"/>
      <c r="J73" s="110"/>
      <c r="K73" s="109"/>
      <c r="L73" s="110"/>
      <c r="M73" s="109"/>
      <c r="N73" s="110"/>
      <c r="O73" s="107"/>
    </row>
    <row r="74" spans="6:15" ht="14.25" customHeight="1" x14ac:dyDescent="0.3">
      <c r="F74" s="108"/>
      <c r="G74" s="108"/>
      <c r="H74" s="108"/>
      <c r="I74" s="109"/>
      <c r="J74" s="110"/>
      <c r="K74" s="109"/>
      <c r="L74" s="110"/>
      <c r="M74" s="109"/>
      <c r="N74" s="110"/>
      <c r="O74" s="107"/>
    </row>
    <row r="75" spans="6:15" ht="14.25" customHeight="1" x14ac:dyDescent="0.3">
      <c r="F75" s="108"/>
      <c r="G75" s="108"/>
      <c r="H75" s="108"/>
      <c r="I75" s="109"/>
      <c r="J75" s="110"/>
      <c r="K75" s="109"/>
      <c r="L75" s="110"/>
      <c r="M75" s="109"/>
      <c r="N75" s="110"/>
      <c r="O75" s="107"/>
    </row>
    <row r="76" spans="6:15" ht="14.25" customHeight="1" x14ac:dyDescent="0.3">
      <c r="F76" s="108"/>
      <c r="G76" s="108"/>
      <c r="H76" s="108"/>
      <c r="I76" s="109"/>
      <c r="J76" s="110"/>
      <c r="K76" s="109"/>
      <c r="L76" s="110"/>
      <c r="M76" s="109"/>
      <c r="N76" s="110"/>
      <c r="O76" s="107"/>
    </row>
    <row r="77" spans="6:15" ht="14.25" customHeight="1" x14ac:dyDescent="0.3">
      <c r="F77" s="108"/>
      <c r="G77" s="108"/>
      <c r="H77" s="108"/>
      <c r="I77" s="109"/>
      <c r="J77" s="110"/>
      <c r="K77" s="109"/>
      <c r="L77" s="110"/>
      <c r="M77" s="109"/>
      <c r="N77" s="110"/>
      <c r="O77" s="107"/>
    </row>
    <row r="78" spans="6:15" ht="14.25" customHeight="1" x14ac:dyDescent="0.3">
      <c r="F78" s="108"/>
      <c r="G78" s="108"/>
      <c r="H78" s="108"/>
      <c r="I78" s="109"/>
      <c r="J78" s="110"/>
      <c r="K78" s="109"/>
      <c r="L78" s="110"/>
      <c r="M78" s="109"/>
      <c r="N78" s="110"/>
      <c r="O78" s="107"/>
    </row>
    <row r="79" spans="6:15" ht="14.25" customHeight="1" x14ac:dyDescent="0.3">
      <c r="F79" s="108"/>
      <c r="G79" s="108"/>
      <c r="H79" s="108"/>
      <c r="I79" s="109"/>
      <c r="J79" s="110"/>
      <c r="K79" s="109"/>
      <c r="L79" s="110"/>
      <c r="M79" s="109"/>
      <c r="N79" s="110"/>
      <c r="O79" s="107"/>
    </row>
    <row r="80" spans="6:15" ht="14.25" customHeight="1" x14ac:dyDescent="0.3">
      <c r="F80" s="108"/>
      <c r="G80" s="108"/>
      <c r="H80" s="108"/>
      <c r="I80" s="109"/>
      <c r="J80" s="110"/>
      <c r="K80" s="109"/>
      <c r="L80" s="110"/>
      <c r="M80" s="109"/>
      <c r="N80" s="110"/>
      <c r="O80" s="107"/>
    </row>
    <row r="81" spans="6:15" ht="14.25" customHeight="1" x14ac:dyDescent="0.3">
      <c r="F81" s="108"/>
      <c r="G81" s="108"/>
      <c r="H81" s="108"/>
      <c r="I81" s="109"/>
      <c r="J81" s="110"/>
      <c r="K81" s="109"/>
      <c r="L81" s="110"/>
      <c r="M81" s="109"/>
      <c r="N81" s="110"/>
      <c r="O81" s="107"/>
    </row>
    <row r="82" spans="6:15" ht="14.25" customHeight="1" x14ac:dyDescent="0.3">
      <c r="F82" s="108"/>
      <c r="G82" s="108"/>
      <c r="H82" s="108"/>
      <c r="I82" s="109"/>
      <c r="J82" s="110"/>
      <c r="K82" s="109"/>
      <c r="L82" s="110"/>
      <c r="M82" s="109"/>
      <c r="N82" s="110"/>
      <c r="O82" s="107"/>
    </row>
    <row r="83" spans="6:15" ht="14.25" customHeight="1" x14ac:dyDescent="0.3">
      <c r="F83" s="108"/>
      <c r="G83" s="108"/>
      <c r="H83" s="108"/>
      <c r="I83" s="109"/>
      <c r="J83" s="110"/>
      <c r="K83" s="109"/>
      <c r="L83" s="110"/>
      <c r="M83" s="109"/>
      <c r="N83" s="110"/>
      <c r="O83" s="107"/>
    </row>
    <row r="84" spans="6:15" ht="14.25" customHeight="1" x14ac:dyDescent="0.3">
      <c r="F84" s="108"/>
      <c r="G84" s="108"/>
      <c r="H84" s="108"/>
      <c r="I84" s="109"/>
      <c r="J84" s="110"/>
      <c r="K84" s="109"/>
      <c r="L84" s="110"/>
      <c r="M84" s="109"/>
      <c r="N84" s="110"/>
      <c r="O84" s="107"/>
    </row>
    <row r="85" spans="6:15" ht="14.25" customHeight="1" x14ac:dyDescent="0.3">
      <c r="F85" s="108"/>
      <c r="G85" s="108"/>
      <c r="H85" s="108"/>
      <c r="I85" s="109"/>
      <c r="J85" s="110"/>
      <c r="K85" s="109"/>
      <c r="L85" s="110"/>
      <c r="M85" s="109"/>
      <c r="N85" s="110"/>
      <c r="O85" s="107"/>
    </row>
    <row r="86" spans="6:15" ht="14.25" customHeight="1" x14ac:dyDescent="0.3">
      <c r="F86" s="108"/>
      <c r="G86" s="108"/>
      <c r="H86" s="108"/>
      <c r="I86" s="109"/>
      <c r="J86" s="110"/>
      <c r="K86" s="109"/>
      <c r="L86" s="110"/>
      <c r="M86" s="109"/>
      <c r="N86" s="110"/>
      <c r="O86" s="107"/>
    </row>
    <row r="87" spans="6:15" ht="14.25" customHeight="1" x14ac:dyDescent="0.3">
      <c r="F87" s="108"/>
      <c r="G87" s="108"/>
      <c r="H87" s="108"/>
      <c r="I87" s="109"/>
      <c r="J87" s="110"/>
      <c r="K87" s="109"/>
      <c r="L87" s="110"/>
      <c r="M87" s="109"/>
      <c r="N87" s="110"/>
      <c r="O87" s="107"/>
    </row>
    <row r="88" spans="6:15" ht="14.25" customHeight="1" x14ac:dyDescent="0.3">
      <c r="F88" s="108"/>
      <c r="G88" s="108"/>
      <c r="H88" s="108"/>
      <c r="I88" s="109"/>
      <c r="J88" s="110"/>
      <c r="K88" s="109"/>
      <c r="L88" s="110"/>
      <c r="M88" s="109"/>
      <c r="N88" s="110"/>
      <c r="O88" s="107"/>
    </row>
    <row r="89" spans="6:15" ht="14.25" customHeight="1" x14ac:dyDescent="0.3">
      <c r="F89" s="108"/>
      <c r="G89" s="108"/>
      <c r="H89" s="108"/>
      <c r="I89" s="109"/>
      <c r="J89" s="110"/>
      <c r="K89" s="109"/>
      <c r="L89" s="110"/>
      <c r="M89" s="109"/>
      <c r="N89" s="110"/>
      <c r="O89" s="107"/>
    </row>
    <row r="90" spans="6:15" ht="14.25" customHeight="1" x14ac:dyDescent="0.3">
      <c r="F90" s="108"/>
      <c r="G90" s="108"/>
      <c r="H90" s="108"/>
      <c r="I90" s="109"/>
      <c r="J90" s="110"/>
      <c r="K90" s="109"/>
      <c r="L90" s="110"/>
      <c r="M90" s="109"/>
      <c r="N90" s="110"/>
      <c r="O90" s="107"/>
    </row>
    <row r="91" spans="6:15" ht="14.25" customHeight="1" x14ac:dyDescent="0.3">
      <c r="F91" s="108"/>
      <c r="G91" s="108"/>
      <c r="H91" s="108"/>
      <c r="I91" s="109"/>
      <c r="J91" s="110"/>
      <c r="K91" s="109"/>
      <c r="L91" s="110"/>
      <c r="M91" s="109"/>
      <c r="N91" s="110"/>
      <c r="O91" s="107"/>
    </row>
    <row r="92" spans="6:15" ht="14.25" customHeight="1" x14ac:dyDescent="0.3">
      <c r="F92" s="108"/>
      <c r="G92" s="108"/>
      <c r="H92" s="108"/>
      <c r="I92" s="109"/>
      <c r="J92" s="110"/>
      <c r="K92" s="109"/>
      <c r="L92" s="110"/>
      <c r="M92" s="109"/>
      <c r="N92" s="110"/>
      <c r="O92" s="107"/>
    </row>
    <row r="93" spans="6:15" ht="14.25" customHeight="1" x14ac:dyDescent="0.3">
      <c r="F93" s="108"/>
      <c r="G93" s="108"/>
      <c r="H93" s="108"/>
      <c r="I93" s="109"/>
      <c r="J93" s="110"/>
      <c r="K93" s="109"/>
      <c r="L93" s="110"/>
      <c r="M93" s="109"/>
      <c r="N93" s="110"/>
      <c r="O93" s="107"/>
    </row>
    <row r="94" spans="6:15" ht="14.25" customHeight="1" x14ac:dyDescent="0.3">
      <c r="F94" s="108"/>
      <c r="G94" s="108"/>
      <c r="H94" s="108"/>
      <c r="I94" s="109"/>
      <c r="J94" s="110"/>
      <c r="K94" s="109"/>
      <c r="L94" s="110"/>
      <c r="M94" s="109"/>
      <c r="N94" s="110"/>
      <c r="O94" s="107"/>
    </row>
    <row r="95" spans="6:15" ht="14.25" customHeight="1" x14ac:dyDescent="0.3">
      <c r="F95" s="108"/>
      <c r="G95" s="108"/>
      <c r="H95" s="108"/>
      <c r="I95" s="109"/>
      <c r="J95" s="110"/>
      <c r="K95" s="109"/>
      <c r="L95" s="110"/>
      <c r="M95" s="109"/>
      <c r="N95" s="110"/>
      <c r="O95" s="107"/>
    </row>
    <row r="96" spans="6:15" ht="14.25" customHeight="1" x14ac:dyDescent="0.3">
      <c r="F96" s="108"/>
      <c r="G96" s="108"/>
      <c r="H96" s="108"/>
      <c r="I96" s="109"/>
      <c r="J96" s="110"/>
      <c r="K96" s="109"/>
      <c r="L96" s="110"/>
      <c r="M96" s="109"/>
      <c r="N96" s="110"/>
      <c r="O96" s="107"/>
    </row>
    <row r="97" spans="6:15" ht="14.25" customHeight="1" x14ac:dyDescent="0.3">
      <c r="F97" s="108"/>
      <c r="G97" s="108"/>
      <c r="H97" s="108"/>
      <c r="I97" s="109"/>
      <c r="J97" s="110"/>
      <c r="K97" s="109"/>
      <c r="L97" s="110"/>
      <c r="M97" s="109"/>
      <c r="N97" s="110"/>
      <c r="O97" s="107"/>
    </row>
    <row r="98" spans="6:15" ht="14.25" customHeight="1" x14ac:dyDescent="0.3">
      <c r="F98" s="108"/>
      <c r="G98" s="108"/>
      <c r="H98" s="108"/>
      <c r="I98" s="109"/>
      <c r="J98" s="110"/>
      <c r="K98" s="109"/>
      <c r="L98" s="110"/>
      <c r="M98" s="109"/>
      <c r="N98" s="110"/>
      <c r="O98" s="107"/>
    </row>
    <row r="99" spans="6:15" ht="14.25" customHeight="1" x14ac:dyDescent="0.3">
      <c r="F99" s="108"/>
      <c r="G99" s="108"/>
      <c r="H99" s="108"/>
      <c r="I99" s="109"/>
      <c r="J99" s="110"/>
      <c r="K99" s="109"/>
      <c r="L99" s="110"/>
      <c r="M99" s="109"/>
      <c r="N99" s="110"/>
      <c r="O99" s="107"/>
    </row>
    <row r="100" spans="6:15" ht="14.25" customHeight="1" x14ac:dyDescent="0.3">
      <c r="F100" s="108"/>
      <c r="G100" s="108"/>
      <c r="H100" s="108"/>
      <c r="I100" s="109"/>
      <c r="J100" s="110"/>
      <c r="K100" s="109"/>
      <c r="L100" s="110"/>
      <c r="M100" s="109"/>
      <c r="N100" s="110"/>
      <c r="O100" s="107"/>
    </row>
    <row r="101" spans="6:15" ht="14.25" customHeight="1" x14ac:dyDescent="0.3">
      <c r="F101" s="108"/>
      <c r="G101" s="108"/>
      <c r="H101" s="108"/>
      <c r="I101" s="109"/>
      <c r="J101" s="110"/>
      <c r="K101" s="109"/>
      <c r="L101" s="110"/>
      <c r="M101" s="109"/>
      <c r="N101" s="110"/>
      <c r="O101" s="107"/>
    </row>
    <row r="102" spans="6:15" ht="14.25" customHeight="1" x14ac:dyDescent="0.3">
      <c r="F102" s="108"/>
      <c r="G102" s="108"/>
      <c r="H102" s="108"/>
      <c r="I102" s="109"/>
      <c r="J102" s="110"/>
      <c r="K102" s="109"/>
      <c r="L102" s="110"/>
      <c r="M102" s="109"/>
      <c r="N102" s="110"/>
      <c r="O102" s="107"/>
    </row>
    <row r="103" spans="6:15" ht="14.25" customHeight="1" x14ac:dyDescent="0.3">
      <c r="F103" s="108"/>
      <c r="G103" s="108"/>
      <c r="H103" s="108"/>
      <c r="I103" s="109"/>
      <c r="J103" s="110"/>
      <c r="K103" s="109"/>
      <c r="L103" s="110"/>
      <c r="M103" s="109"/>
      <c r="N103" s="110"/>
      <c r="O103" s="107"/>
    </row>
    <row r="104" spans="6:15" ht="14.25" customHeight="1" x14ac:dyDescent="0.3">
      <c r="F104" s="108"/>
      <c r="G104" s="108"/>
      <c r="H104" s="108"/>
      <c r="I104" s="109"/>
      <c r="J104" s="110"/>
      <c r="K104" s="109"/>
      <c r="L104" s="110"/>
      <c r="M104" s="109"/>
      <c r="N104" s="110"/>
      <c r="O104" s="107"/>
    </row>
    <row r="105" spans="6:15" ht="14.25" customHeight="1" x14ac:dyDescent="0.3">
      <c r="F105" s="108"/>
      <c r="G105" s="108"/>
      <c r="H105" s="108"/>
      <c r="I105" s="109"/>
      <c r="J105" s="110"/>
      <c r="K105" s="109"/>
      <c r="L105" s="110"/>
      <c r="M105" s="109"/>
      <c r="N105" s="110"/>
      <c r="O105" s="107"/>
    </row>
    <row r="106" spans="6:15" ht="14.25" customHeight="1" x14ac:dyDescent="0.3">
      <c r="F106" s="108"/>
      <c r="G106" s="108"/>
      <c r="H106" s="108"/>
      <c r="I106" s="109"/>
      <c r="J106" s="110"/>
      <c r="K106" s="109"/>
      <c r="L106" s="110"/>
      <c r="M106" s="109"/>
      <c r="N106" s="110"/>
      <c r="O106" s="107"/>
    </row>
    <row r="107" spans="6:15" ht="14.25" customHeight="1" x14ac:dyDescent="0.3">
      <c r="F107" s="108"/>
      <c r="G107" s="108"/>
      <c r="H107" s="108"/>
      <c r="I107" s="109"/>
      <c r="J107" s="110"/>
      <c r="K107" s="109"/>
      <c r="L107" s="110"/>
      <c r="M107" s="109"/>
      <c r="N107" s="110"/>
      <c r="O107" s="107"/>
    </row>
    <row r="108" spans="6:15" ht="14.25" customHeight="1" x14ac:dyDescent="0.3">
      <c r="F108" s="108"/>
      <c r="G108" s="108"/>
      <c r="H108" s="108"/>
      <c r="I108" s="109"/>
      <c r="J108" s="110"/>
      <c r="K108" s="109"/>
      <c r="L108" s="110"/>
      <c r="M108" s="109"/>
      <c r="N108" s="110"/>
      <c r="O108" s="107"/>
    </row>
    <row r="109" spans="6:15" ht="14.25" customHeight="1" x14ac:dyDescent="0.3">
      <c r="F109" s="108"/>
      <c r="G109" s="108"/>
      <c r="H109" s="108"/>
      <c r="I109" s="109"/>
      <c r="J109" s="110"/>
      <c r="K109" s="109"/>
      <c r="L109" s="110"/>
      <c r="M109" s="109"/>
      <c r="N109" s="110"/>
      <c r="O109" s="107"/>
    </row>
    <row r="110" spans="6:15" ht="14.25" customHeight="1" x14ac:dyDescent="0.3">
      <c r="F110" s="108"/>
      <c r="G110" s="108"/>
      <c r="H110" s="108"/>
      <c r="I110" s="109"/>
      <c r="J110" s="110"/>
      <c r="K110" s="109"/>
      <c r="L110" s="110"/>
      <c r="M110" s="109"/>
      <c r="N110" s="110"/>
      <c r="O110" s="107"/>
    </row>
    <row r="111" spans="6:15" ht="14.25" customHeight="1" x14ac:dyDescent="0.3">
      <c r="F111" s="108"/>
      <c r="G111" s="108"/>
      <c r="H111" s="108"/>
      <c r="I111" s="109"/>
      <c r="J111" s="110"/>
      <c r="K111" s="109"/>
      <c r="L111" s="110"/>
      <c r="M111" s="109"/>
      <c r="N111" s="110"/>
      <c r="O111" s="107"/>
    </row>
    <row r="112" spans="6:15" ht="14.25" customHeight="1" x14ac:dyDescent="0.3">
      <c r="F112" s="108"/>
      <c r="G112" s="108"/>
      <c r="H112" s="108"/>
      <c r="I112" s="109"/>
      <c r="J112" s="110"/>
      <c r="K112" s="109"/>
      <c r="L112" s="110"/>
      <c r="M112" s="109"/>
      <c r="N112" s="110"/>
      <c r="O112" s="107"/>
    </row>
    <row r="113" spans="6:15" ht="14.25" customHeight="1" x14ac:dyDescent="0.3">
      <c r="F113" s="108"/>
      <c r="G113" s="108"/>
      <c r="H113" s="108"/>
      <c r="I113" s="109"/>
      <c r="J113" s="110"/>
      <c r="K113" s="109"/>
      <c r="L113" s="110"/>
      <c r="M113" s="109"/>
      <c r="N113" s="110"/>
      <c r="O113" s="107"/>
    </row>
    <row r="114" spans="6:15" ht="14.25" customHeight="1" x14ac:dyDescent="0.3">
      <c r="F114" s="108"/>
      <c r="G114" s="108"/>
      <c r="H114" s="108"/>
      <c r="I114" s="109"/>
      <c r="J114" s="110"/>
      <c r="K114" s="109"/>
      <c r="L114" s="110"/>
      <c r="M114" s="109"/>
      <c r="N114" s="110"/>
      <c r="O114" s="107"/>
    </row>
    <row r="115" spans="6:15" ht="14.25" customHeight="1" x14ac:dyDescent="0.3">
      <c r="F115" s="108"/>
      <c r="G115" s="108"/>
      <c r="H115" s="108"/>
      <c r="I115" s="109"/>
      <c r="J115" s="110"/>
      <c r="K115" s="109"/>
      <c r="L115" s="110"/>
      <c r="M115" s="109"/>
      <c r="N115" s="110"/>
      <c r="O115" s="107"/>
    </row>
    <row r="116" spans="6:15" ht="14.25" customHeight="1" x14ac:dyDescent="0.3">
      <c r="F116" s="108"/>
      <c r="G116" s="108"/>
      <c r="H116" s="108"/>
      <c r="I116" s="109"/>
      <c r="J116" s="110"/>
      <c r="K116" s="109"/>
      <c r="L116" s="110"/>
      <c r="M116" s="109"/>
      <c r="N116" s="110"/>
      <c r="O116" s="107"/>
    </row>
    <row r="117" spans="6:15" ht="14.25" customHeight="1" x14ac:dyDescent="0.3">
      <c r="F117" s="108"/>
      <c r="G117" s="108"/>
      <c r="H117" s="108"/>
      <c r="I117" s="109"/>
      <c r="J117" s="110"/>
      <c r="K117" s="109"/>
      <c r="L117" s="110"/>
      <c r="M117" s="109"/>
      <c r="N117" s="110"/>
      <c r="O117" s="107"/>
    </row>
    <row r="118" spans="6:15" ht="14.25" customHeight="1" x14ac:dyDescent="0.3">
      <c r="F118" s="108"/>
      <c r="G118" s="108"/>
      <c r="H118" s="108"/>
      <c r="I118" s="109"/>
      <c r="J118" s="110"/>
      <c r="K118" s="109"/>
      <c r="L118" s="110"/>
      <c r="M118" s="109"/>
      <c r="N118" s="110"/>
      <c r="O118" s="107"/>
    </row>
    <row r="119" spans="6:15" ht="14.25" customHeight="1" x14ac:dyDescent="0.3">
      <c r="F119" s="108"/>
      <c r="G119" s="108"/>
      <c r="H119" s="108"/>
      <c r="I119" s="109"/>
      <c r="J119" s="110"/>
      <c r="K119" s="109"/>
      <c r="L119" s="110"/>
      <c r="M119" s="109"/>
      <c r="N119" s="110"/>
      <c r="O119" s="107"/>
    </row>
    <row r="120" spans="6:15" ht="14.25" customHeight="1" x14ac:dyDescent="0.3">
      <c r="F120" s="108"/>
      <c r="G120" s="108"/>
      <c r="H120" s="108"/>
      <c r="I120" s="109"/>
      <c r="J120" s="110"/>
      <c r="K120" s="109"/>
      <c r="L120" s="110"/>
      <c r="M120" s="109"/>
      <c r="N120" s="110"/>
      <c r="O120" s="107"/>
    </row>
    <row r="121" spans="6:15" ht="14.25" customHeight="1" x14ac:dyDescent="0.3">
      <c r="F121" s="108"/>
      <c r="G121" s="108"/>
      <c r="H121" s="108"/>
      <c r="I121" s="109"/>
      <c r="J121" s="110"/>
      <c r="K121" s="109"/>
      <c r="L121" s="110"/>
      <c r="M121" s="109"/>
      <c r="N121" s="110"/>
      <c r="O121" s="107"/>
    </row>
    <row r="122" spans="6:15" ht="14.25" customHeight="1" x14ac:dyDescent="0.3">
      <c r="F122" s="108"/>
      <c r="G122" s="108"/>
      <c r="H122" s="108"/>
      <c r="I122" s="109"/>
      <c r="J122" s="110"/>
      <c r="K122" s="109"/>
      <c r="L122" s="110"/>
      <c r="M122" s="109"/>
      <c r="N122" s="110"/>
      <c r="O122" s="107"/>
    </row>
    <row r="123" spans="6:15" ht="14.25" customHeight="1" x14ac:dyDescent="0.3">
      <c r="F123" s="108"/>
      <c r="G123" s="108"/>
      <c r="H123" s="108"/>
      <c r="I123" s="109"/>
      <c r="J123" s="110"/>
      <c r="K123" s="109"/>
      <c r="L123" s="110"/>
      <c r="M123" s="109"/>
      <c r="N123" s="110"/>
      <c r="O123" s="107"/>
    </row>
    <row r="124" spans="6:15" ht="14.25" customHeight="1" x14ac:dyDescent="0.3">
      <c r="F124" s="108"/>
      <c r="G124" s="108"/>
      <c r="H124" s="108"/>
      <c r="I124" s="109"/>
      <c r="J124" s="110"/>
      <c r="K124" s="109"/>
      <c r="L124" s="110"/>
      <c r="M124" s="109"/>
      <c r="N124" s="110"/>
      <c r="O124" s="107"/>
    </row>
    <row r="125" spans="6:15" ht="14.25" customHeight="1" x14ac:dyDescent="0.3">
      <c r="F125" s="108"/>
      <c r="G125" s="108"/>
      <c r="H125" s="108"/>
      <c r="I125" s="109"/>
      <c r="J125" s="110"/>
      <c r="K125" s="109"/>
      <c r="L125" s="110"/>
      <c r="M125" s="109"/>
      <c r="N125" s="110"/>
      <c r="O125" s="107"/>
    </row>
    <row r="126" spans="6:15" ht="14.25" customHeight="1" x14ac:dyDescent="0.3">
      <c r="F126" s="108"/>
      <c r="G126" s="108"/>
      <c r="H126" s="108"/>
      <c r="I126" s="109"/>
      <c r="J126" s="110"/>
      <c r="K126" s="109"/>
      <c r="L126" s="110"/>
      <c r="M126" s="109"/>
      <c r="N126" s="110"/>
      <c r="O126" s="107"/>
    </row>
    <row r="127" spans="6:15" ht="14.25" customHeight="1" x14ac:dyDescent="0.3">
      <c r="F127" s="108"/>
      <c r="G127" s="108"/>
      <c r="H127" s="108"/>
      <c r="I127" s="109"/>
      <c r="J127" s="110"/>
      <c r="K127" s="109"/>
      <c r="L127" s="110"/>
      <c r="M127" s="109"/>
      <c r="N127" s="110"/>
      <c r="O127" s="107"/>
    </row>
    <row r="128" spans="6:15" ht="14.25" customHeight="1" x14ac:dyDescent="0.3">
      <c r="F128" s="108"/>
      <c r="G128" s="108"/>
      <c r="H128" s="108"/>
      <c r="I128" s="109"/>
      <c r="J128" s="110"/>
      <c r="K128" s="109"/>
      <c r="L128" s="110"/>
      <c r="M128" s="109"/>
      <c r="N128" s="110"/>
      <c r="O128" s="107"/>
    </row>
    <row r="129" spans="6:15" ht="14.25" customHeight="1" x14ac:dyDescent="0.3">
      <c r="F129" s="108"/>
      <c r="G129" s="108"/>
      <c r="H129" s="108"/>
      <c r="I129" s="109"/>
      <c r="J129" s="110"/>
      <c r="K129" s="109"/>
      <c r="L129" s="110"/>
      <c r="M129" s="109"/>
      <c r="N129" s="110"/>
      <c r="O129" s="107"/>
    </row>
    <row r="130" spans="6:15" ht="14.25" customHeight="1" x14ac:dyDescent="0.3">
      <c r="F130" s="108"/>
      <c r="G130" s="108"/>
      <c r="H130" s="108"/>
      <c r="I130" s="109"/>
      <c r="J130" s="110"/>
      <c r="K130" s="109"/>
      <c r="L130" s="110"/>
      <c r="M130" s="109"/>
      <c r="N130" s="110"/>
      <c r="O130" s="107"/>
    </row>
    <row r="131" spans="6:15" ht="14.25" customHeight="1" x14ac:dyDescent="0.3">
      <c r="F131" s="108"/>
      <c r="G131" s="108"/>
      <c r="H131" s="108"/>
      <c r="I131" s="109"/>
      <c r="J131" s="110"/>
      <c r="K131" s="109"/>
      <c r="L131" s="110"/>
      <c r="M131" s="109"/>
      <c r="N131" s="110"/>
      <c r="O131" s="107"/>
    </row>
    <row r="132" spans="6:15" ht="14.25" customHeight="1" x14ac:dyDescent="0.3">
      <c r="F132" s="108"/>
      <c r="G132" s="108"/>
      <c r="H132" s="108"/>
      <c r="I132" s="109"/>
      <c r="J132" s="110"/>
      <c r="K132" s="109"/>
      <c r="L132" s="110"/>
      <c r="M132" s="109"/>
      <c r="N132" s="110"/>
      <c r="O132" s="107"/>
    </row>
    <row r="133" spans="6:15" ht="14.25" customHeight="1" x14ac:dyDescent="0.3">
      <c r="F133" s="108"/>
      <c r="G133" s="108"/>
      <c r="H133" s="108"/>
      <c r="I133" s="109"/>
      <c r="J133" s="110"/>
      <c r="K133" s="109"/>
      <c r="L133" s="110"/>
      <c r="M133" s="109"/>
      <c r="N133" s="110"/>
      <c r="O133" s="107"/>
    </row>
    <row r="134" spans="6:15" ht="14.25" customHeight="1" x14ac:dyDescent="0.3">
      <c r="F134" s="108"/>
      <c r="G134" s="108"/>
      <c r="H134" s="108"/>
      <c r="I134" s="109"/>
      <c r="J134" s="110"/>
      <c r="K134" s="109"/>
      <c r="L134" s="110"/>
      <c r="M134" s="109"/>
      <c r="N134" s="110"/>
      <c r="O134" s="107"/>
    </row>
    <row r="135" spans="6:15" ht="14.25" customHeight="1" x14ac:dyDescent="0.3">
      <c r="F135" s="108"/>
      <c r="G135" s="108"/>
      <c r="H135" s="108"/>
      <c r="I135" s="109"/>
      <c r="J135" s="110"/>
      <c r="K135" s="109"/>
      <c r="L135" s="110"/>
      <c r="M135" s="109"/>
      <c r="N135" s="110"/>
      <c r="O135" s="107"/>
    </row>
    <row r="136" spans="6:15" ht="14.25" customHeight="1" x14ac:dyDescent="0.3">
      <c r="F136" s="108"/>
      <c r="G136" s="108"/>
      <c r="H136" s="108"/>
      <c r="I136" s="109"/>
      <c r="J136" s="110"/>
      <c r="K136" s="109"/>
      <c r="L136" s="110"/>
      <c r="M136" s="109"/>
      <c r="N136" s="110"/>
      <c r="O136" s="107"/>
    </row>
    <row r="137" spans="6:15" ht="14.25" customHeight="1" x14ac:dyDescent="0.3">
      <c r="F137" s="108"/>
      <c r="G137" s="108"/>
      <c r="H137" s="108"/>
      <c r="I137" s="109"/>
      <c r="J137" s="110"/>
      <c r="K137" s="109"/>
      <c r="L137" s="110"/>
      <c r="M137" s="109"/>
      <c r="N137" s="110"/>
      <c r="O137" s="107"/>
    </row>
    <row r="138" spans="6:15" ht="14.25" customHeight="1" x14ac:dyDescent="0.3">
      <c r="F138" s="108"/>
      <c r="G138" s="108"/>
      <c r="H138" s="108"/>
      <c r="I138" s="109"/>
      <c r="J138" s="110"/>
      <c r="K138" s="109"/>
      <c r="L138" s="110"/>
      <c r="M138" s="109"/>
      <c r="N138" s="110"/>
      <c r="O138" s="107"/>
    </row>
    <row r="139" spans="6:15" ht="14.25" customHeight="1" x14ac:dyDescent="0.3">
      <c r="F139" s="108"/>
      <c r="G139" s="108"/>
      <c r="H139" s="108"/>
      <c r="I139" s="109"/>
      <c r="J139" s="110"/>
      <c r="K139" s="109"/>
      <c r="L139" s="110"/>
      <c r="M139" s="109"/>
      <c r="N139" s="110"/>
      <c r="O139" s="107"/>
    </row>
    <row r="140" spans="6:15" ht="14.25" customHeight="1" x14ac:dyDescent="0.3">
      <c r="F140" s="108"/>
      <c r="G140" s="108"/>
      <c r="H140" s="108"/>
      <c r="I140" s="109"/>
      <c r="J140" s="110"/>
      <c r="K140" s="109"/>
      <c r="L140" s="110"/>
      <c r="M140" s="109"/>
      <c r="N140" s="110"/>
      <c r="O140" s="107"/>
    </row>
    <row r="141" spans="6:15" ht="14.25" customHeight="1" x14ac:dyDescent="0.3">
      <c r="F141" s="108"/>
      <c r="G141" s="108"/>
      <c r="H141" s="108"/>
      <c r="I141" s="109"/>
      <c r="J141" s="110"/>
      <c r="K141" s="109"/>
      <c r="L141" s="110"/>
      <c r="M141" s="109"/>
      <c r="N141" s="110"/>
      <c r="O141" s="107"/>
    </row>
    <row r="142" spans="6:15" ht="14.25" customHeight="1" x14ac:dyDescent="0.3">
      <c r="F142" s="108"/>
      <c r="G142" s="108"/>
      <c r="H142" s="108"/>
      <c r="I142" s="109"/>
      <c r="J142" s="110"/>
      <c r="K142" s="109"/>
      <c r="L142" s="110"/>
      <c r="M142" s="109"/>
      <c r="N142" s="110"/>
      <c r="O142" s="107"/>
    </row>
    <row r="143" spans="6:15" ht="14.25" customHeight="1" x14ac:dyDescent="0.3">
      <c r="F143" s="108"/>
      <c r="G143" s="108"/>
      <c r="H143" s="108"/>
      <c r="I143" s="109"/>
      <c r="J143" s="110"/>
      <c r="K143" s="109"/>
      <c r="L143" s="110"/>
      <c r="M143" s="109"/>
      <c r="N143" s="110"/>
      <c r="O143" s="107"/>
    </row>
    <row r="144" spans="6:15" ht="14.25" customHeight="1" x14ac:dyDescent="0.3">
      <c r="F144" s="108"/>
      <c r="G144" s="108"/>
      <c r="H144" s="108"/>
      <c r="I144" s="109"/>
      <c r="J144" s="110"/>
      <c r="K144" s="109"/>
      <c r="L144" s="110"/>
      <c r="M144" s="109"/>
      <c r="N144" s="110"/>
      <c r="O144" s="107"/>
    </row>
    <row r="145" spans="6:15" ht="14.25" customHeight="1" x14ac:dyDescent="0.3">
      <c r="F145" s="108"/>
      <c r="G145" s="108"/>
      <c r="H145" s="108"/>
      <c r="I145" s="109"/>
      <c r="J145" s="110"/>
      <c r="K145" s="109"/>
      <c r="L145" s="110"/>
      <c r="M145" s="109"/>
      <c r="N145" s="110"/>
      <c r="O145" s="107"/>
    </row>
    <row r="146" spans="6:15" ht="14.25" customHeight="1" x14ac:dyDescent="0.3">
      <c r="F146" s="108"/>
      <c r="G146" s="108"/>
      <c r="H146" s="108"/>
      <c r="I146" s="109"/>
      <c r="J146" s="110"/>
      <c r="K146" s="109"/>
      <c r="L146" s="110"/>
      <c r="M146" s="109"/>
      <c r="N146" s="110"/>
      <c r="O146" s="107"/>
    </row>
    <row r="147" spans="6:15" ht="14.25" customHeight="1" x14ac:dyDescent="0.3">
      <c r="F147" s="108"/>
      <c r="G147" s="108"/>
      <c r="H147" s="108"/>
      <c r="I147" s="109"/>
      <c r="J147" s="110"/>
      <c r="K147" s="109"/>
      <c r="L147" s="110"/>
      <c r="M147" s="109"/>
      <c r="N147" s="110"/>
      <c r="O147" s="107"/>
    </row>
    <row r="148" spans="6:15" ht="14.25" customHeight="1" x14ac:dyDescent="0.3">
      <c r="F148" s="108"/>
      <c r="G148" s="108"/>
      <c r="H148" s="108"/>
      <c r="I148" s="109"/>
      <c r="J148" s="110"/>
      <c r="K148" s="109"/>
      <c r="L148" s="110"/>
      <c r="M148" s="109"/>
      <c r="N148" s="110"/>
      <c r="O148" s="107"/>
    </row>
    <row r="149" spans="6:15" ht="14.25" customHeight="1" x14ac:dyDescent="0.3">
      <c r="F149" s="108"/>
      <c r="G149" s="108"/>
      <c r="H149" s="108"/>
      <c r="I149" s="109"/>
      <c r="J149" s="110"/>
      <c r="K149" s="109"/>
      <c r="L149" s="110"/>
      <c r="M149" s="109"/>
      <c r="N149" s="110"/>
      <c r="O149" s="107"/>
    </row>
    <row r="150" spans="6:15" ht="14.25" customHeight="1" x14ac:dyDescent="0.3">
      <c r="F150" s="108"/>
      <c r="G150" s="108"/>
      <c r="H150" s="108"/>
      <c r="I150" s="109"/>
      <c r="J150" s="110"/>
      <c r="K150" s="109"/>
      <c r="L150" s="110"/>
      <c r="M150" s="109"/>
      <c r="N150" s="110"/>
      <c r="O150" s="107"/>
    </row>
    <row r="151" spans="6:15" ht="14.25" customHeight="1" x14ac:dyDescent="0.3">
      <c r="F151" s="108"/>
      <c r="G151" s="108"/>
      <c r="H151" s="108"/>
      <c r="I151" s="109"/>
      <c r="J151" s="110"/>
      <c r="K151" s="109"/>
      <c r="L151" s="110"/>
      <c r="M151" s="109"/>
      <c r="N151" s="110"/>
      <c r="O151" s="107"/>
    </row>
    <row r="152" spans="6:15" ht="14.25" customHeight="1" x14ac:dyDescent="0.3">
      <c r="F152" s="108"/>
      <c r="G152" s="108"/>
      <c r="H152" s="108"/>
      <c r="I152" s="109"/>
      <c r="J152" s="110"/>
      <c r="K152" s="109"/>
      <c r="L152" s="110"/>
      <c r="M152" s="109"/>
      <c r="N152" s="110"/>
      <c r="O152" s="107"/>
    </row>
    <row r="153" spans="6:15" ht="14.25" customHeight="1" x14ac:dyDescent="0.3">
      <c r="F153" s="108"/>
      <c r="G153" s="108"/>
      <c r="H153" s="108"/>
      <c r="I153" s="109"/>
      <c r="J153" s="110"/>
      <c r="K153" s="109"/>
      <c r="L153" s="110"/>
      <c r="M153" s="109"/>
      <c r="N153" s="110"/>
      <c r="O153" s="107"/>
    </row>
    <row r="154" spans="6:15" ht="14.25" customHeight="1" x14ac:dyDescent="0.3">
      <c r="F154" s="108"/>
      <c r="G154" s="108"/>
      <c r="H154" s="108"/>
      <c r="I154" s="109"/>
      <c r="J154" s="110"/>
      <c r="K154" s="109"/>
      <c r="L154" s="110"/>
      <c r="M154" s="109"/>
      <c r="N154" s="110"/>
      <c r="O154" s="107"/>
    </row>
    <row r="155" spans="6:15" ht="14.25" customHeight="1" x14ac:dyDescent="0.3">
      <c r="F155" s="108"/>
      <c r="G155" s="108"/>
      <c r="H155" s="108"/>
      <c r="I155" s="109"/>
      <c r="J155" s="110"/>
      <c r="K155" s="109"/>
      <c r="L155" s="110"/>
      <c r="M155" s="109"/>
      <c r="N155" s="110"/>
      <c r="O155" s="107"/>
    </row>
    <row r="156" spans="6:15" ht="14.25" customHeight="1" x14ac:dyDescent="0.3">
      <c r="F156" s="108"/>
      <c r="G156" s="108"/>
      <c r="H156" s="108"/>
      <c r="I156" s="109"/>
      <c r="J156" s="110"/>
      <c r="K156" s="109"/>
      <c r="L156" s="110"/>
      <c r="M156" s="109"/>
      <c r="N156" s="110"/>
      <c r="O156" s="107"/>
    </row>
    <row r="157" spans="6:15" ht="14.25" customHeight="1" x14ac:dyDescent="0.3">
      <c r="F157" s="108"/>
      <c r="G157" s="108"/>
      <c r="H157" s="108"/>
      <c r="I157" s="109"/>
      <c r="J157" s="110"/>
      <c r="K157" s="109"/>
      <c r="L157" s="110"/>
      <c r="M157" s="109"/>
      <c r="N157" s="110"/>
      <c r="O157" s="107"/>
    </row>
    <row r="158" spans="6:15" ht="14.25" customHeight="1" x14ac:dyDescent="0.3">
      <c r="F158" s="108"/>
      <c r="G158" s="108"/>
      <c r="H158" s="108"/>
      <c r="I158" s="109"/>
      <c r="J158" s="110"/>
      <c r="K158" s="109"/>
      <c r="L158" s="110"/>
      <c r="M158" s="109"/>
      <c r="N158" s="110"/>
      <c r="O158" s="107"/>
    </row>
    <row r="159" spans="6:15" ht="14.25" customHeight="1" x14ac:dyDescent="0.3">
      <c r="F159" s="108"/>
      <c r="G159" s="108"/>
      <c r="H159" s="108"/>
      <c r="I159" s="109"/>
      <c r="J159" s="110"/>
      <c r="K159" s="109"/>
      <c r="L159" s="110"/>
      <c r="M159" s="109"/>
      <c r="N159" s="110"/>
      <c r="O159" s="107"/>
    </row>
    <row r="160" spans="6:15" ht="14.25" customHeight="1" x14ac:dyDescent="0.3">
      <c r="F160" s="108"/>
      <c r="G160" s="108"/>
      <c r="H160" s="108"/>
      <c r="I160" s="109"/>
      <c r="J160" s="110"/>
      <c r="K160" s="109"/>
      <c r="L160" s="110"/>
      <c r="M160" s="109"/>
      <c r="N160" s="110"/>
      <c r="O160" s="107"/>
    </row>
    <row r="161" spans="6:15" ht="14.25" customHeight="1" x14ac:dyDescent="0.3">
      <c r="F161" s="108"/>
      <c r="G161" s="108"/>
      <c r="H161" s="108"/>
      <c r="I161" s="109"/>
      <c r="J161" s="110"/>
      <c r="K161" s="109"/>
      <c r="L161" s="110"/>
      <c r="M161" s="109"/>
      <c r="N161" s="110"/>
      <c r="O161" s="107"/>
    </row>
    <row r="162" spans="6:15" ht="14.25" customHeight="1" x14ac:dyDescent="0.3">
      <c r="F162" s="108"/>
      <c r="G162" s="108"/>
      <c r="H162" s="108"/>
      <c r="I162" s="109"/>
      <c r="J162" s="110"/>
      <c r="K162" s="109"/>
      <c r="L162" s="110"/>
      <c r="M162" s="109"/>
      <c r="N162" s="110"/>
      <c r="O162" s="107"/>
    </row>
    <row r="163" spans="6:15" ht="14.25" customHeight="1" x14ac:dyDescent="0.3">
      <c r="F163" s="108"/>
      <c r="G163" s="108"/>
      <c r="H163" s="108"/>
      <c r="I163" s="109"/>
      <c r="J163" s="110"/>
      <c r="K163" s="109"/>
      <c r="L163" s="110"/>
      <c r="M163" s="109"/>
      <c r="N163" s="110"/>
      <c r="O163" s="107"/>
    </row>
    <row r="164" spans="6:15" ht="14.25" customHeight="1" x14ac:dyDescent="0.3">
      <c r="F164" s="108"/>
      <c r="G164" s="108"/>
      <c r="H164" s="108"/>
      <c r="I164" s="109"/>
      <c r="J164" s="110"/>
      <c r="K164" s="109"/>
      <c r="L164" s="110"/>
      <c r="M164" s="109"/>
      <c r="N164" s="110"/>
      <c r="O164" s="107"/>
    </row>
    <row r="165" spans="6:15" ht="14.25" customHeight="1" x14ac:dyDescent="0.3">
      <c r="F165" s="108"/>
      <c r="G165" s="108"/>
      <c r="H165" s="108"/>
      <c r="I165" s="109"/>
      <c r="J165" s="110"/>
      <c r="K165" s="109"/>
      <c r="L165" s="110"/>
      <c r="M165" s="109"/>
      <c r="N165" s="110"/>
      <c r="O165" s="107"/>
    </row>
    <row r="166" spans="6:15" ht="14.25" customHeight="1" x14ac:dyDescent="0.3">
      <c r="F166" s="108"/>
      <c r="G166" s="108"/>
      <c r="H166" s="108"/>
      <c r="I166" s="109"/>
      <c r="J166" s="110"/>
      <c r="K166" s="109"/>
      <c r="L166" s="110"/>
      <c r="M166" s="109"/>
      <c r="N166" s="110"/>
      <c r="O166" s="107"/>
    </row>
    <row r="167" spans="6:15" ht="14.25" customHeight="1" x14ac:dyDescent="0.3">
      <c r="F167" s="108"/>
      <c r="G167" s="108"/>
      <c r="H167" s="108"/>
      <c r="I167" s="109"/>
      <c r="J167" s="110"/>
      <c r="K167" s="109"/>
      <c r="L167" s="110"/>
      <c r="M167" s="109"/>
      <c r="N167" s="110"/>
      <c r="O167" s="107"/>
    </row>
    <row r="168" spans="6:15" ht="14.25" customHeight="1" x14ac:dyDescent="0.3">
      <c r="F168" s="108"/>
      <c r="G168" s="108"/>
      <c r="H168" s="108"/>
      <c r="I168" s="109"/>
      <c r="J168" s="110"/>
      <c r="K168" s="109"/>
      <c r="L168" s="110"/>
      <c r="M168" s="109"/>
      <c r="N168" s="110"/>
      <c r="O168" s="107"/>
    </row>
    <row r="169" spans="6:15" ht="14.25" customHeight="1" x14ac:dyDescent="0.3">
      <c r="F169" s="108"/>
      <c r="G169" s="108"/>
      <c r="H169" s="108"/>
      <c r="I169" s="109"/>
      <c r="J169" s="110"/>
      <c r="K169" s="109"/>
      <c r="L169" s="110"/>
      <c r="M169" s="109"/>
      <c r="N169" s="110"/>
      <c r="O169" s="107"/>
    </row>
    <row r="170" spans="6:15" ht="14.25" customHeight="1" x14ac:dyDescent="0.3">
      <c r="F170" s="108"/>
      <c r="G170" s="108"/>
      <c r="H170" s="108"/>
      <c r="I170" s="109"/>
      <c r="J170" s="110"/>
      <c r="K170" s="109"/>
      <c r="L170" s="110"/>
      <c r="M170" s="109"/>
      <c r="N170" s="110"/>
      <c r="O170" s="107"/>
    </row>
    <row r="171" spans="6:15" ht="14.25" customHeight="1" x14ac:dyDescent="0.3">
      <c r="F171" s="108"/>
      <c r="G171" s="108"/>
      <c r="H171" s="108"/>
      <c r="I171" s="109"/>
      <c r="J171" s="110"/>
      <c r="K171" s="109"/>
      <c r="L171" s="110"/>
      <c r="M171" s="109"/>
      <c r="N171" s="110"/>
      <c r="O171" s="107"/>
    </row>
    <row r="172" spans="6:15" ht="14.25" customHeight="1" x14ac:dyDescent="0.3">
      <c r="F172" s="108"/>
      <c r="G172" s="108"/>
      <c r="H172" s="108"/>
      <c r="I172" s="109"/>
      <c r="J172" s="110"/>
      <c r="K172" s="109"/>
      <c r="L172" s="110"/>
      <c r="M172" s="109"/>
      <c r="N172" s="110"/>
      <c r="O172" s="107"/>
    </row>
    <row r="173" spans="6:15" ht="14.25" customHeight="1" x14ac:dyDescent="0.3">
      <c r="F173" s="108"/>
      <c r="G173" s="108"/>
      <c r="H173" s="108"/>
      <c r="I173" s="109"/>
      <c r="J173" s="110"/>
      <c r="K173" s="109"/>
      <c r="L173" s="110"/>
      <c r="M173" s="109"/>
      <c r="N173" s="110"/>
      <c r="O173" s="107"/>
    </row>
    <row r="174" spans="6:15" ht="14.25" customHeight="1" x14ac:dyDescent="0.3">
      <c r="F174" s="108"/>
      <c r="G174" s="108"/>
      <c r="H174" s="108"/>
      <c r="I174" s="109"/>
      <c r="J174" s="110"/>
      <c r="K174" s="109"/>
      <c r="L174" s="110"/>
      <c r="M174" s="109"/>
      <c r="N174" s="110"/>
      <c r="O174" s="107"/>
    </row>
    <row r="175" spans="6:15" ht="14.25" customHeight="1" x14ac:dyDescent="0.3">
      <c r="F175" s="108"/>
      <c r="G175" s="108"/>
      <c r="H175" s="108"/>
      <c r="I175" s="109"/>
      <c r="J175" s="110"/>
      <c r="K175" s="109"/>
      <c r="L175" s="110"/>
      <c r="M175" s="109"/>
      <c r="N175" s="110"/>
      <c r="O175" s="107"/>
    </row>
    <row r="176" spans="6:15" ht="14.25" customHeight="1" x14ac:dyDescent="0.3">
      <c r="F176" s="108"/>
      <c r="G176" s="108"/>
      <c r="H176" s="108"/>
      <c r="I176" s="109"/>
      <c r="J176" s="110"/>
      <c r="K176" s="109"/>
      <c r="L176" s="110"/>
      <c r="M176" s="109"/>
      <c r="N176" s="110"/>
      <c r="O176" s="107"/>
    </row>
    <row r="177" spans="6:15" ht="14.25" customHeight="1" x14ac:dyDescent="0.3">
      <c r="F177" s="108"/>
      <c r="G177" s="108"/>
      <c r="H177" s="108"/>
      <c r="I177" s="109"/>
      <c r="J177" s="110"/>
      <c r="K177" s="109"/>
      <c r="L177" s="110"/>
      <c r="M177" s="109"/>
      <c r="N177" s="110"/>
      <c r="O177" s="107"/>
    </row>
    <row r="178" spans="6:15" ht="14.25" customHeight="1" x14ac:dyDescent="0.3">
      <c r="F178" s="108"/>
      <c r="G178" s="108"/>
      <c r="H178" s="108"/>
      <c r="I178" s="109"/>
      <c r="J178" s="110"/>
      <c r="K178" s="109"/>
      <c r="L178" s="110"/>
      <c r="M178" s="109"/>
      <c r="N178" s="110"/>
      <c r="O178" s="107"/>
    </row>
    <row r="179" spans="6:15" ht="14.25" customHeight="1" x14ac:dyDescent="0.3">
      <c r="F179" s="108"/>
      <c r="G179" s="108"/>
      <c r="H179" s="108"/>
      <c r="I179" s="109"/>
      <c r="J179" s="110"/>
      <c r="K179" s="109"/>
      <c r="L179" s="110"/>
      <c r="M179" s="109"/>
      <c r="N179" s="110"/>
      <c r="O179" s="107"/>
    </row>
    <row r="180" spans="6:15" ht="14.25" customHeight="1" x14ac:dyDescent="0.3">
      <c r="F180" s="108"/>
      <c r="G180" s="108"/>
      <c r="H180" s="108"/>
      <c r="I180" s="109"/>
      <c r="J180" s="110"/>
      <c r="K180" s="109"/>
      <c r="L180" s="110"/>
      <c r="M180" s="109"/>
      <c r="N180" s="110"/>
      <c r="O180" s="107"/>
    </row>
    <row r="181" spans="6:15" ht="14.25" customHeight="1" x14ac:dyDescent="0.3">
      <c r="F181" s="108"/>
      <c r="G181" s="108"/>
      <c r="H181" s="108"/>
      <c r="I181" s="109"/>
      <c r="J181" s="110"/>
      <c r="K181" s="109"/>
      <c r="L181" s="110"/>
      <c r="M181" s="109"/>
      <c r="N181" s="110"/>
      <c r="O181" s="107"/>
    </row>
    <row r="182" spans="6:15" ht="14.25" customHeight="1" x14ac:dyDescent="0.3">
      <c r="F182" s="108"/>
      <c r="G182" s="108"/>
      <c r="H182" s="108"/>
      <c r="I182" s="109"/>
      <c r="J182" s="110"/>
      <c r="K182" s="109"/>
      <c r="L182" s="110"/>
      <c r="M182" s="109"/>
      <c r="N182" s="110"/>
      <c r="O182" s="107"/>
    </row>
    <row r="183" spans="6:15" ht="14.25" customHeight="1" x14ac:dyDescent="0.3">
      <c r="F183" s="108"/>
      <c r="G183" s="108"/>
      <c r="H183" s="108"/>
      <c r="I183" s="109"/>
      <c r="J183" s="110"/>
      <c r="K183" s="109"/>
      <c r="L183" s="110"/>
      <c r="M183" s="109"/>
      <c r="N183" s="110"/>
      <c r="O183" s="107"/>
    </row>
    <row r="184" spans="6:15" ht="14.25" customHeight="1" x14ac:dyDescent="0.3">
      <c r="F184" s="108"/>
      <c r="G184" s="108"/>
      <c r="H184" s="108"/>
      <c r="I184" s="109"/>
      <c r="J184" s="110"/>
      <c r="K184" s="109"/>
      <c r="L184" s="110"/>
      <c r="M184" s="109"/>
      <c r="N184" s="110"/>
      <c r="O184" s="107"/>
    </row>
    <row r="185" spans="6:15" ht="14.25" customHeight="1" x14ac:dyDescent="0.3">
      <c r="F185" s="108"/>
      <c r="G185" s="108"/>
      <c r="H185" s="108"/>
      <c r="I185" s="109"/>
      <c r="J185" s="110"/>
      <c r="K185" s="109"/>
      <c r="L185" s="110"/>
      <c r="M185" s="109"/>
      <c r="N185" s="110"/>
      <c r="O185" s="107"/>
    </row>
    <row r="186" spans="6:15" ht="14.25" customHeight="1" x14ac:dyDescent="0.3">
      <c r="F186" s="108"/>
      <c r="G186" s="108"/>
      <c r="H186" s="108"/>
      <c r="I186" s="109"/>
      <c r="J186" s="110"/>
      <c r="K186" s="109"/>
      <c r="L186" s="110"/>
      <c r="M186" s="109"/>
      <c r="N186" s="110"/>
      <c r="O186" s="107"/>
    </row>
    <row r="187" spans="6:15" ht="14.25" customHeight="1" x14ac:dyDescent="0.3">
      <c r="F187" s="108"/>
      <c r="G187" s="108"/>
      <c r="H187" s="108"/>
      <c r="I187" s="109"/>
      <c r="J187" s="110"/>
      <c r="K187" s="109"/>
      <c r="L187" s="110"/>
      <c r="M187" s="109"/>
      <c r="N187" s="110"/>
      <c r="O187" s="107"/>
    </row>
    <row r="188" spans="6:15" ht="14.25" customHeight="1" x14ac:dyDescent="0.3">
      <c r="F188" s="108"/>
      <c r="G188" s="108"/>
      <c r="H188" s="108"/>
      <c r="I188" s="109"/>
      <c r="J188" s="110"/>
      <c r="K188" s="109"/>
      <c r="L188" s="110"/>
      <c r="M188" s="109"/>
      <c r="N188" s="110"/>
      <c r="O188" s="107"/>
    </row>
    <row r="189" spans="6:15" ht="14.25" customHeight="1" x14ac:dyDescent="0.3">
      <c r="F189" s="108"/>
      <c r="G189" s="108"/>
      <c r="H189" s="108"/>
      <c r="I189" s="109"/>
      <c r="J189" s="110"/>
      <c r="K189" s="109"/>
      <c r="L189" s="110"/>
      <c r="M189" s="109"/>
      <c r="N189" s="110"/>
      <c r="O189" s="107"/>
    </row>
    <row r="190" spans="6:15" ht="14.25" customHeight="1" x14ac:dyDescent="0.3">
      <c r="F190" s="108"/>
      <c r="G190" s="108"/>
      <c r="H190" s="108"/>
      <c r="I190" s="109"/>
      <c r="J190" s="110"/>
      <c r="K190" s="109"/>
      <c r="L190" s="110"/>
      <c r="M190" s="109"/>
      <c r="N190" s="110"/>
      <c r="O190" s="107"/>
    </row>
    <row r="191" spans="6:15" ht="14.25" customHeight="1" x14ac:dyDescent="0.3">
      <c r="F191" s="108"/>
      <c r="G191" s="108"/>
      <c r="H191" s="108"/>
      <c r="I191" s="109"/>
      <c r="J191" s="110"/>
      <c r="K191" s="109"/>
      <c r="L191" s="110"/>
      <c r="M191" s="109"/>
      <c r="N191" s="110"/>
      <c r="O191" s="107"/>
    </row>
    <row r="192" spans="6:15" ht="14.25" customHeight="1" x14ac:dyDescent="0.3">
      <c r="F192" s="108"/>
      <c r="G192" s="108"/>
      <c r="H192" s="108"/>
      <c r="I192" s="109"/>
      <c r="J192" s="110"/>
      <c r="K192" s="109"/>
      <c r="L192" s="110"/>
      <c r="M192" s="109"/>
      <c r="N192" s="110"/>
      <c r="O192" s="107"/>
    </row>
    <row r="193" spans="6:15" ht="14.25" customHeight="1" x14ac:dyDescent="0.3">
      <c r="F193" s="108"/>
      <c r="G193" s="108"/>
      <c r="H193" s="108"/>
      <c r="I193" s="109"/>
      <c r="J193" s="110"/>
      <c r="K193" s="109"/>
      <c r="L193" s="110"/>
      <c r="M193" s="109"/>
      <c r="N193" s="110"/>
      <c r="O193" s="107"/>
    </row>
    <row r="194" spans="6:15" ht="14.25" customHeight="1" x14ac:dyDescent="0.3">
      <c r="F194" s="108"/>
      <c r="G194" s="108"/>
      <c r="H194" s="108"/>
      <c r="I194" s="109"/>
      <c r="J194" s="110"/>
      <c r="K194" s="109"/>
      <c r="L194" s="110"/>
      <c r="M194" s="109"/>
      <c r="N194" s="110"/>
      <c r="O194" s="107"/>
    </row>
    <row r="195" spans="6:15" ht="14.25" customHeight="1" x14ac:dyDescent="0.3">
      <c r="F195" s="108"/>
      <c r="G195" s="108"/>
      <c r="H195" s="108"/>
      <c r="I195" s="109"/>
      <c r="J195" s="110"/>
      <c r="K195" s="109"/>
      <c r="L195" s="110"/>
      <c r="M195" s="109"/>
      <c r="N195" s="110"/>
      <c r="O195" s="107"/>
    </row>
    <row r="196" spans="6:15" ht="14.25" customHeight="1" x14ac:dyDescent="0.3">
      <c r="F196" s="108"/>
      <c r="G196" s="108"/>
      <c r="H196" s="108"/>
      <c r="I196" s="109"/>
      <c r="J196" s="110"/>
      <c r="K196" s="109"/>
      <c r="L196" s="110"/>
      <c r="M196" s="109"/>
      <c r="N196" s="110"/>
      <c r="O196" s="107"/>
    </row>
    <row r="197" spans="6:15" ht="14.25" customHeight="1" x14ac:dyDescent="0.3">
      <c r="F197" s="108"/>
      <c r="G197" s="108"/>
      <c r="H197" s="108"/>
      <c r="I197" s="109"/>
      <c r="J197" s="110"/>
      <c r="K197" s="109"/>
      <c r="L197" s="110"/>
      <c r="M197" s="109"/>
      <c r="N197" s="110"/>
      <c r="O197" s="107"/>
    </row>
    <row r="198" spans="6:15" ht="14.25" customHeight="1" x14ac:dyDescent="0.3">
      <c r="F198" s="108"/>
      <c r="G198" s="108"/>
      <c r="H198" s="108"/>
      <c r="I198" s="109"/>
      <c r="J198" s="110"/>
      <c r="K198" s="109"/>
      <c r="L198" s="110"/>
      <c r="M198" s="109"/>
      <c r="N198" s="110"/>
      <c r="O198" s="107"/>
    </row>
    <row r="199" spans="6:15" ht="14.25" customHeight="1" x14ac:dyDescent="0.3">
      <c r="F199" s="108"/>
      <c r="G199" s="108"/>
      <c r="H199" s="108"/>
      <c r="I199" s="109"/>
      <c r="J199" s="110"/>
      <c r="K199" s="109"/>
      <c r="L199" s="110"/>
      <c r="M199" s="109"/>
      <c r="N199" s="110"/>
      <c r="O199" s="107"/>
    </row>
    <row r="200" spans="6:15" ht="14.25" customHeight="1" x14ac:dyDescent="0.3">
      <c r="F200" s="108"/>
      <c r="G200" s="108"/>
      <c r="H200" s="108"/>
      <c r="I200" s="109"/>
      <c r="J200" s="110"/>
      <c r="K200" s="109"/>
      <c r="L200" s="110"/>
      <c r="M200" s="109"/>
      <c r="N200" s="110"/>
      <c r="O200" s="107"/>
    </row>
    <row r="201" spans="6:15" ht="14.25" customHeight="1" x14ac:dyDescent="0.3">
      <c r="F201" s="108"/>
      <c r="G201" s="108"/>
      <c r="H201" s="108"/>
      <c r="I201" s="109"/>
      <c r="J201" s="110"/>
      <c r="K201" s="109"/>
      <c r="L201" s="110"/>
      <c r="M201" s="109"/>
      <c r="N201" s="110"/>
      <c r="O201" s="107"/>
    </row>
    <row r="202" spans="6:15" ht="14.25" customHeight="1" x14ac:dyDescent="0.3">
      <c r="F202" s="108"/>
      <c r="G202" s="108"/>
      <c r="H202" s="108"/>
      <c r="I202" s="109"/>
      <c r="J202" s="110"/>
      <c r="K202" s="109"/>
      <c r="L202" s="110"/>
      <c r="M202" s="109"/>
      <c r="N202" s="110"/>
      <c r="O202" s="107"/>
    </row>
    <row r="203" spans="6:15" ht="14.25" customHeight="1" x14ac:dyDescent="0.3">
      <c r="F203" s="108"/>
      <c r="G203" s="108"/>
      <c r="H203" s="108"/>
      <c r="I203" s="109"/>
      <c r="J203" s="110"/>
      <c r="K203" s="109"/>
      <c r="L203" s="110"/>
      <c r="M203" s="109"/>
      <c r="N203" s="110"/>
      <c r="O203" s="107"/>
    </row>
    <row r="204" spans="6:15" ht="14.25" customHeight="1" x14ac:dyDescent="0.3">
      <c r="F204" s="108"/>
      <c r="G204" s="108"/>
      <c r="H204" s="108"/>
      <c r="I204" s="109"/>
      <c r="J204" s="110"/>
      <c r="K204" s="109"/>
      <c r="L204" s="110"/>
      <c r="M204" s="109"/>
      <c r="N204" s="110"/>
      <c r="O204" s="107"/>
    </row>
    <row r="205" spans="6:15" ht="14.25" customHeight="1" x14ac:dyDescent="0.3">
      <c r="F205" s="108"/>
      <c r="G205" s="108"/>
      <c r="H205" s="108"/>
      <c r="I205" s="109"/>
      <c r="J205" s="110"/>
      <c r="K205" s="109"/>
      <c r="L205" s="110"/>
      <c r="M205" s="109"/>
      <c r="N205" s="110"/>
      <c r="O205" s="107"/>
    </row>
    <row r="206" spans="6:15" ht="14.25" customHeight="1" x14ac:dyDescent="0.3">
      <c r="F206" s="108"/>
      <c r="G206" s="108"/>
      <c r="H206" s="108"/>
      <c r="I206" s="109"/>
      <c r="J206" s="110"/>
      <c r="K206" s="109"/>
      <c r="L206" s="110"/>
      <c r="M206" s="109"/>
      <c r="N206" s="110"/>
      <c r="O206" s="107"/>
    </row>
    <row r="207" spans="6:15" ht="14.25" customHeight="1" x14ac:dyDescent="0.3">
      <c r="F207" s="108"/>
      <c r="G207" s="108"/>
      <c r="H207" s="108"/>
      <c r="I207" s="109"/>
      <c r="J207" s="110"/>
      <c r="K207" s="109"/>
      <c r="L207" s="110"/>
      <c r="M207" s="109"/>
      <c r="N207" s="110"/>
      <c r="O207" s="107"/>
    </row>
    <row r="208" spans="6:15" ht="14.25" customHeight="1" x14ac:dyDescent="0.3">
      <c r="F208" s="108"/>
      <c r="G208" s="108"/>
      <c r="H208" s="108"/>
      <c r="I208" s="109"/>
      <c r="J208" s="110"/>
      <c r="K208" s="109"/>
      <c r="L208" s="110"/>
      <c r="M208" s="109"/>
      <c r="N208" s="110"/>
      <c r="O208" s="107"/>
    </row>
    <row r="209" spans="6:15" ht="14.25" customHeight="1" x14ac:dyDescent="0.3">
      <c r="F209" s="108"/>
      <c r="G209" s="108"/>
      <c r="H209" s="108"/>
      <c r="I209" s="109"/>
      <c r="J209" s="110"/>
      <c r="K209" s="109"/>
      <c r="L209" s="110"/>
      <c r="M209" s="109"/>
      <c r="N209" s="110"/>
      <c r="O209" s="107"/>
    </row>
    <row r="210" spans="6:15" ht="14.25" customHeight="1" x14ac:dyDescent="0.3">
      <c r="F210" s="108"/>
      <c r="G210" s="108"/>
      <c r="H210" s="108"/>
      <c r="I210" s="109"/>
      <c r="J210" s="110"/>
      <c r="K210" s="109"/>
      <c r="L210" s="110"/>
      <c r="M210" s="109"/>
      <c r="N210" s="110"/>
      <c r="O210" s="107"/>
    </row>
    <row r="211" spans="6:15" ht="14.25" customHeight="1" x14ac:dyDescent="0.3">
      <c r="F211" s="108"/>
      <c r="G211" s="108"/>
      <c r="H211" s="108"/>
      <c r="I211" s="109"/>
      <c r="J211" s="110"/>
      <c r="K211" s="109"/>
      <c r="L211" s="110"/>
      <c r="M211" s="109"/>
      <c r="N211" s="110"/>
      <c r="O211" s="107"/>
    </row>
    <row r="212" spans="6:15" ht="14.25" customHeight="1" x14ac:dyDescent="0.3">
      <c r="F212" s="108"/>
      <c r="G212" s="108"/>
      <c r="H212" s="108"/>
      <c r="I212" s="109"/>
      <c r="J212" s="110"/>
      <c r="K212" s="109"/>
      <c r="L212" s="110"/>
      <c r="M212" s="109"/>
      <c r="N212" s="110"/>
      <c r="O212" s="107"/>
    </row>
    <row r="213" spans="6:15" ht="14.25" customHeight="1" x14ac:dyDescent="0.3">
      <c r="F213" s="108"/>
      <c r="G213" s="108"/>
      <c r="H213" s="108"/>
      <c r="I213" s="109"/>
      <c r="J213" s="110"/>
      <c r="K213" s="109"/>
      <c r="L213" s="110"/>
      <c r="M213" s="109"/>
      <c r="N213" s="110"/>
      <c r="O213" s="107"/>
    </row>
    <row r="214" spans="6:15" ht="14.25" customHeight="1" x14ac:dyDescent="0.3">
      <c r="F214" s="108"/>
      <c r="G214" s="108"/>
      <c r="H214" s="108"/>
      <c r="I214" s="109"/>
      <c r="J214" s="110"/>
      <c r="K214" s="109"/>
      <c r="L214" s="110"/>
      <c r="M214" s="109"/>
      <c r="N214" s="110"/>
      <c r="O214" s="107"/>
    </row>
    <row r="215" spans="6:15" ht="14.25" customHeight="1" x14ac:dyDescent="0.3">
      <c r="F215" s="108"/>
      <c r="G215" s="108"/>
      <c r="H215" s="108"/>
      <c r="I215" s="109"/>
      <c r="J215" s="110"/>
      <c r="K215" s="109"/>
      <c r="L215" s="110"/>
      <c r="M215" s="109"/>
      <c r="N215" s="110"/>
      <c r="O215" s="107"/>
    </row>
    <row r="216" spans="6:15" ht="14.25" customHeight="1" x14ac:dyDescent="0.3">
      <c r="F216" s="108"/>
      <c r="G216" s="108"/>
      <c r="H216" s="108"/>
      <c r="I216" s="109"/>
      <c r="J216" s="110"/>
      <c r="K216" s="109"/>
      <c r="L216" s="110"/>
      <c r="M216" s="109"/>
      <c r="N216" s="110"/>
      <c r="O216" s="107"/>
    </row>
    <row r="217" spans="6:15" ht="14.25" customHeight="1" x14ac:dyDescent="0.3">
      <c r="F217" s="108"/>
      <c r="G217" s="108"/>
      <c r="H217" s="108"/>
      <c r="I217" s="109"/>
      <c r="J217" s="110"/>
      <c r="K217" s="109"/>
      <c r="L217" s="110"/>
      <c r="M217" s="109"/>
      <c r="N217" s="110"/>
      <c r="O217" s="107"/>
    </row>
    <row r="218" spans="6:15" ht="14.25" customHeight="1" x14ac:dyDescent="0.3">
      <c r="F218" s="108"/>
      <c r="G218" s="108"/>
      <c r="H218" s="108"/>
      <c r="I218" s="109"/>
      <c r="J218" s="110"/>
      <c r="K218" s="109"/>
      <c r="L218" s="110"/>
      <c r="M218" s="109"/>
      <c r="N218" s="110"/>
      <c r="O218" s="107"/>
    </row>
    <row r="219" spans="6:15" ht="14.25" customHeight="1" x14ac:dyDescent="0.3">
      <c r="F219" s="108"/>
      <c r="G219" s="108"/>
      <c r="H219" s="108"/>
      <c r="I219" s="109"/>
      <c r="J219" s="110"/>
      <c r="K219" s="109"/>
      <c r="L219" s="110"/>
      <c r="M219" s="109"/>
      <c r="N219" s="110"/>
      <c r="O219" s="107"/>
    </row>
    <row r="220" spans="6:15" ht="14.25" customHeight="1" x14ac:dyDescent="0.3">
      <c r="F220" s="108"/>
      <c r="G220" s="108"/>
      <c r="H220" s="108"/>
      <c r="I220" s="109"/>
      <c r="J220" s="110"/>
      <c r="K220" s="109"/>
      <c r="L220" s="110"/>
      <c r="M220" s="109"/>
      <c r="N220" s="110"/>
      <c r="O220" s="107"/>
    </row>
    <row r="221" spans="6:15" ht="14.25" customHeight="1" x14ac:dyDescent="0.3">
      <c r="F221" s="108"/>
      <c r="G221" s="108"/>
      <c r="H221" s="108"/>
      <c r="I221" s="109"/>
      <c r="J221" s="110"/>
      <c r="K221" s="109"/>
      <c r="L221" s="110"/>
      <c r="M221" s="109"/>
      <c r="N221" s="110"/>
      <c r="O221" s="107"/>
    </row>
    <row r="222" spans="6:15" ht="14.25" customHeight="1" x14ac:dyDescent="0.3">
      <c r="F222" s="108"/>
      <c r="G222" s="108"/>
      <c r="H222" s="108"/>
      <c r="I222" s="109"/>
      <c r="J222" s="110"/>
      <c r="K222" s="109"/>
      <c r="L222" s="110"/>
      <c r="M222" s="109"/>
      <c r="N222" s="110"/>
      <c r="O222" s="107"/>
    </row>
    <row r="223" spans="6:15" ht="14.25" customHeight="1" x14ac:dyDescent="0.3">
      <c r="F223" s="108"/>
      <c r="G223" s="108"/>
      <c r="H223" s="108"/>
      <c r="I223" s="109"/>
      <c r="J223" s="110"/>
      <c r="K223" s="109"/>
      <c r="L223" s="110"/>
      <c r="M223" s="109"/>
      <c r="N223" s="110"/>
      <c r="O223" s="107"/>
    </row>
    <row r="224" spans="6:15" ht="14.25" customHeight="1" x14ac:dyDescent="0.3">
      <c r="F224" s="108"/>
      <c r="G224" s="108"/>
      <c r="H224" s="108"/>
      <c r="I224" s="109"/>
      <c r="J224" s="110"/>
      <c r="K224" s="109"/>
      <c r="L224" s="110"/>
      <c r="M224" s="109"/>
      <c r="N224" s="110"/>
      <c r="O224" s="107"/>
    </row>
    <row r="225" spans="6:15" ht="14.25" customHeight="1" x14ac:dyDescent="0.3">
      <c r="F225" s="108"/>
      <c r="G225" s="108"/>
      <c r="H225" s="108"/>
      <c r="I225" s="109"/>
      <c r="J225" s="110"/>
      <c r="K225" s="109"/>
      <c r="L225" s="110"/>
      <c r="M225" s="109"/>
      <c r="N225" s="110"/>
      <c r="O225" s="107"/>
    </row>
    <row r="226" spans="6:15" ht="14.25" customHeight="1" x14ac:dyDescent="0.3">
      <c r="F226" s="108"/>
      <c r="G226" s="108"/>
      <c r="H226" s="108"/>
      <c r="I226" s="109"/>
      <c r="J226" s="110"/>
      <c r="K226" s="109"/>
      <c r="L226" s="110"/>
      <c r="M226" s="109"/>
      <c r="N226" s="110"/>
      <c r="O226" s="107"/>
    </row>
    <row r="227" spans="6:15" ht="14.25" customHeight="1" x14ac:dyDescent="0.3">
      <c r="F227" s="108"/>
      <c r="G227" s="108"/>
      <c r="H227" s="108"/>
      <c r="I227" s="109"/>
      <c r="J227" s="110"/>
      <c r="K227" s="109"/>
      <c r="L227" s="110"/>
      <c r="M227" s="109"/>
      <c r="N227" s="110"/>
      <c r="O227" s="107"/>
    </row>
    <row r="228" spans="6:15" ht="14.25" customHeight="1" x14ac:dyDescent="0.3">
      <c r="F228" s="108"/>
      <c r="G228" s="108"/>
      <c r="H228" s="108"/>
      <c r="I228" s="109"/>
      <c r="J228" s="110"/>
      <c r="K228" s="109"/>
      <c r="L228" s="110"/>
      <c r="M228" s="109"/>
      <c r="N228" s="110"/>
      <c r="O228" s="107"/>
    </row>
    <row r="229" spans="6:15" ht="14.25" customHeight="1" x14ac:dyDescent="0.3">
      <c r="F229" s="108"/>
      <c r="G229" s="108"/>
      <c r="H229" s="108"/>
      <c r="I229" s="109"/>
      <c r="J229" s="110"/>
      <c r="K229" s="109"/>
      <c r="L229" s="110"/>
      <c r="M229" s="109"/>
      <c r="N229" s="110"/>
      <c r="O229" s="107"/>
    </row>
    <row r="230" spans="6:15" ht="14.25" customHeight="1" x14ac:dyDescent="0.3">
      <c r="F230" s="108"/>
      <c r="G230" s="108"/>
      <c r="H230" s="108"/>
      <c r="I230" s="109"/>
      <c r="J230" s="110"/>
      <c r="K230" s="109"/>
      <c r="L230" s="110"/>
      <c r="M230" s="109"/>
      <c r="N230" s="110"/>
      <c r="O230" s="107"/>
    </row>
    <row r="231" spans="6:15" ht="14.25" customHeight="1" x14ac:dyDescent="0.3">
      <c r="F231" s="108"/>
      <c r="G231" s="108"/>
      <c r="H231" s="108"/>
      <c r="I231" s="109"/>
      <c r="J231" s="110"/>
      <c r="K231" s="109"/>
      <c r="L231" s="110"/>
      <c r="M231" s="109"/>
      <c r="N231" s="110"/>
      <c r="O231" s="107"/>
    </row>
    <row r="232" spans="6:15" ht="14.25" customHeight="1" x14ac:dyDescent="0.3">
      <c r="F232" s="108"/>
      <c r="G232" s="108"/>
      <c r="H232" s="108"/>
      <c r="I232" s="109"/>
      <c r="J232" s="110"/>
      <c r="K232" s="109"/>
      <c r="L232" s="110"/>
      <c r="M232" s="109"/>
      <c r="N232" s="110"/>
      <c r="O232" s="107"/>
    </row>
    <row r="233" spans="6:15" ht="14.25" customHeight="1" x14ac:dyDescent="0.3">
      <c r="F233" s="108"/>
      <c r="G233" s="108"/>
      <c r="H233" s="108"/>
      <c r="I233" s="109"/>
      <c r="J233" s="110"/>
      <c r="K233" s="109"/>
      <c r="L233" s="110"/>
      <c r="M233" s="109"/>
      <c r="N233" s="110"/>
      <c r="O233" s="107"/>
    </row>
    <row r="234" spans="6:15" ht="14.25" customHeight="1" x14ac:dyDescent="0.3">
      <c r="F234" s="108"/>
      <c r="G234" s="108"/>
      <c r="H234" s="108"/>
      <c r="I234" s="109"/>
      <c r="J234" s="110"/>
      <c r="K234" s="109"/>
      <c r="L234" s="110"/>
      <c r="M234" s="109"/>
      <c r="N234" s="110"/>
      <c r="O234" s="107"/>
    </row>
    <row r="235" spans="6:15" ht="14.25" customHeight="1" x14ac:dyDescent="0.3">
      <c r="F235" s="108"/>
      <c r="G235" s="108"/>
      <c r="H235" s="108"/>
      <c r="I235" s="109"/>
      <c r="J235" s="110"/>
      <c r="K235" s="109"/>
      <c r="L235" s="110"/>
      <c r="M235" s="109"/>
      <c r="N235" s="110"/>
      <c r="O235" s="107"/>
    </row>
    <row r="236" spans="6:15" ht="14.25" customHeight="1" x14ac:dyDescent="0.3">
      <c r="F236" s="108"/>
      <c r="G236" s="108"/>
      <c r="H236" s="108"/>
      <c r="I236" s="109"/>
      <c r="J236" s="110"/>
      <c r="K236" s="109"/>
      <c r="L236" s="110"/>
      <c r="M236" s="109"/>
      <c r="N236" s="110"/>
      <c r="O236" s="107"/>
    </row>
    <row r="237" spans="6:15" ht="14.25" customHeight="1" x14ac:dyDescent="0.3">
      <c r="F237" s="108"/>
      <c r="G237" s="108"/>
      <c r="H237" s="108"/>
      <c r="I237" s="109"/>
      <c r="J237" s="110"/>
      <c r="K237" s="109"/>
      <c r="L237" s="110"/>
      <c r="M237" s="109"/>
      <c r="N237" s="110"/>
      <c r="O237" s="107"/>
    </row>
    <row r="238" spans="6:15" ht="14.25" customHeight="1" x14ac:dyDescent="0.3">
      <c r="F238" s="108"/>
      <c r="G238" s="108"/>
      <c r="H238" s="108"/>
      <c r="I238" s="109"/>
      <c r="J238" s="110"/>
      <c r="K238" s="109"/>
      <c r="L238" s="110"/>
      <c r="M238" s="109"/>
      <c r="N238" s="110"/>
      <c r="O238" s="107"/>
    </row>
    <row r="239" spans="6:15" ht="14.25" customHeight="1" x14ac:dyDescent="0.3">
      <c r="F239" s="108"/>
      <c r="G239" s="108"/>
      <c r="H239" s="108"/>
      <c r="I239" s="109"/>
      <c r="J239" s="110"/>
      <c r="K239" s="109"/>
      <c r="L239" s="110"/>
      <c r="M239" s="109"/>
      <c r="N239" s="110"/>
      <c r="O239" s="107"/>
    </row>
    <row r="240" spans="6:15" ht="14.25" customHeight="1" x14ac:dyDescent="0.3">
      <c r="F240" s="108"/>
      <c r="G240" s="108"/>
      <c r="H240" s="108"/>
      <c r="I240" s="109"/>
      <c r="J240" s="110"/>
      <c r="K240" s="109"/>
      <c r="L240" s="110"/>
      <c r="M240" s="109"/>
      <c r="N240" s="110"/>
      <c r="O240" s="107"/>
    </row>
    <row r="241" spans="6:15" ht="14.25" customHeight="1" x14ac:dyDescent="0.3">
      <c r="F241" s="108"/>
      <c r="G241" s="108"/>
      <c r="H241" s="108"/>
      <c r="I241" s="109"/>
      <c r="J241" s="110"/>
      <c r="K241" s="109"/>
      <c r="L241" s="110"/>
      <c r="M241" s="109"/>
      <c r="N241" s="110"/>
      <c r="O241" s="107"/>
    </row>
    <row r="242" spans="6:15" ht="14.25" customHeight="1" x14ac:dyDescent="0.3">
      <c r="F242" s="108"/>
      <c r="G242" s="108"/>
      <c r="H242" s="108"/>
      <c r="I242" s="109"/>
      <c r="J242" s="110"/>
      <c r="K242" s="109"/>
      <c r="L242" s="110"/>
      <c r="M242" s="109"/>
      <c r="N242" s="110"/>
      <c r="O242" s="107"/>
    </row>
    <row r="243" spans="6:15" ht="14.25" customHeight="1" x14ac:dyDescent="0.3">
      <c r="F243" s="108"/>
      <c r="G243" s="108"/>
      <c r="H243" s="108"/>
      <c r="I243" s="109"/>
      <c r="J243" s="110"/>
      <c r="K243" s="109"/>
      <c r="L243" s="110"/>
      <c r="M243" s="109"/>
      <c r="N243" s="110"/>
      <c r="O243" s="107"/>
    </row>
    <row r="244" spans="6:15" ht="14.25" customHeight="1" x14ac:dyDescent="0.3">
      <c r="F244" s="108"/>
      <c r="G244" s="108"/>
      <c r="H244" s="108"/>
      <c r="I244" s="109"/>
      <c r="J244" s="110"/>
      <c r="K244" s="109"/>
      <c r="L244" s="110"/>
      <c r="M244" s="109"/>
      <c r="N244" s="110"/>
      <c r="O244" s="107"/>
    </row>
    <row r="245" spans="6:15" ht="14.25" customHeight="1" x14ac:dyDescent="0.3">
      <c r="F245" s="108"/>
      <c r="G245" s="108"/>
      <c r="H245" s="108"/>
      <c r="I245" s="109"/>
      <c r="J245" s="110"/>
      <c r="K245" s="109"/>
      <c r="L245" s="110"/>
      <c r="M245" s="109"/>
      <c r="N245" s="110"/>
      <c r="O245" s="107"/>
    </row>
    <row r="246" spans="6:15" ht="14.25" customHeight="1" x14ac:dyDescent="0.3">
      <c r="F246" s="108"/>
      <c r="G246" s="108"/>
      <c r="H246" s="108"/>
      <c r="I246" s="109"/>
      <c r="J246" s="110"/>
      <c r="K246" s="109"/>
      <c r="L246" s="110"/>
      <c r="M246" s="109"/>
      <c r="N246" s="110"/>
      <c r="O246" s="107"/>
    </row>
    <row r="247" spans="6:15" ht="14.25" customHeight="1" x14ac:dyDescent="0.3">
      <c r="F247" s="108"/>
      <c r="G247" s="108"/>
      <c r="H247" s="108"/>
      <c r="I247" s="109"/>
      <c r="J247" s="110"/>
      <c r="K247" s="109"/>
      <c r="L247" s="110"/>
      <c r="M247" s="109"/>
      <c r="N247" s="110"/>
      <c r="O247" s="107"/>
    </row>
    <row r="248" spans="6:15" ht="14.25" customHeight="1" x14ac:dyDescent="0.3">
      <c r="F248" s="108"/>
      <c r="G248" s="108"/>
      <c r="H248" s="108"/>
      <c r="I248" s="109"/>
      <c r="J248" s="110"/>
      <c r="K248" s="109"/>
      <c r="L248" s="110"/>
      <c r="M248" s="109"/>
      <c r="N248" s="110"/>
      <c r="O248" s="107"/>
    </row>
    <row r="249" spans="6:15" ht="14.25" customHeight="1" x14ac:dyDescent="0.3">
      <c r="F249" s="108"/>
      <c r="G249" s="108"/>
      <c r="H249" s="108"/>
      <c r="I249" s="109"/>
      <c r="J249" s="110"/>
      <c r="K249" s="109"/>
      <c r="L249" s="110"/>
      <c r="M249" s="109"/>
      <c r="N249" s="110"/>
      <c r="O249" s="107"/>
    </row>
    <row r="250" spans="6:15" ht="14.25" customHeight="1" x14ac:dyDescent="0.3">
      <c r="F250" s="108"/>
      <c r="G250" s="108"/>
      <c r="H250" s="108"/>
      <c r="I250" s="109"/>
      <c r="J250" s="110"/>
      <c r="K250" s="109"/>
      <c r="L250" s="110"/>
      <c r="M250" s="109"/>
      <c r="N250" s="110"/>
      <c r="O250" s="107"/>
    </row>
    <row r="251" spans="6:15" ht="14.25" customHeight="1" x14ac:dyDescent="0.3">
      <c r="F251" s="108"/>
      <c r="G251" s="108"/>
      <c r="H251" s="108"/>
      <c r="I251" s="109"/>
      <c r="J251" s="110"/>
      <c r="K251" s="109"/>
      <c r="L251" s="110"/>
      <c r="M251" s="109"/>
      <c r="N251" s="110"/>
      <c r="O251" s="107"/>
    </row>
    <row r="252" spans="6:15" ht="14.25" customHeight="1" x14ac:dyDescent="0.3">
      <c r="F252" s="108"/>
      <c r="G252" s="108"/>
      <c r="H252" s="108"/>
      <c r="I252" s="109"/>
      <c r="J252" s="110"/>
      <c r="K252" s="109"/>
      <c r="L252" s="110"/>
      <c r="M252" s="109"/>
      <c r="N252" s="110"/>
      <c r="O252" s="107"/>
    </row>
    <row r="253" spans="6:15" ht="14.25" customHeight="1" x14ac:dyDescent="0.3">
      <c r="F253" s="108"/>
      <c r="G253" s="108"/>
      <c r="H253" s="108"/>
      <c r="I253" s="109"/>
      <c r="J253" s="110"/>
      <c r="K253" s="109"/>
      <c r="L253" s="110"/>
      <c r="M253" s="109"/>
      <c r="N253" s="110"/>
      <c r="O253" s="107"/>
    </row>
    <row r="254" spans="6:15" ht="14.25" customHeight="1" x14ac:dyDescent="0.3">
      <c r="F254" s="108"/>
      <c r="G254" s="108"/>
      <c r="H254" s="108"/>
      <c r="I254" s="109"/>
      <c r="J254" s="110"/>
      <c r="K254" s="109"/>
      <c r="L254" s="110"/>
      <c r="M254" s="109"/>
      <c r="N254" s="110"/>
      <c r="O254" s="107"/>
    </row>
    <row r="255" spans="6:15" ht="14.25" customHeight="1" x14ac:dyDescent="0.3">
      <c r="F255" s="108"/>
      <c r="G255" s="108"/>
      <c r="H255" s="108"/>
      <c r="I255" s="109"/>
      <c r="J255" s="110"/>
      <c r="K255" s="109"/>
      <c r="L255" s="110"/>
      <c r="M255" s="109"/>
      <c r="N255" s="110"/>
      <c r="O255" s="107"/>
    </row>
    <row r="256" spans="6:15" ht="14.25" customHeight="1" x14ac:dyDescent="0.3">
      <c r="F256" s="108"/>
      <c r="G256" s="108"/>
      <c r="H256" s="108"/>
      <c r="I256" s="109"/>
      <c r="J256" s="110"/>
      <c r="K256" s="109"/>
      <c r="L256" s="110"/>
      <c r="M256" s="109"/>
      <c r="N256" s="110"/>
      <c r="O256" s="107"/>
    </row>
    <row r="257" spans="6:15" ht="14.25" customHeight="1" x14ac:dyDescent="0.3">
      <c r="F257" s="108"/>
      <c r="G257" s="108"/>
      <c r="H257" s="108"/>
      <c r="I257" s="109"/>
      <c r="J257" s="110"/>
      <c r="K257" s="109"/>
      <c r="L257" s="110"/>
      <c r="M257" s="109"/>
      <c r="N257" s="110"/>
      <c r="O257" s="107"/>
    </row>
    <row r="258" spans="6:15" ht="14.25" customHeight="1" x14ac:dyDescent="0.3">
      <c r="F258" s="108"/>
      <c r="G258" s="108"/>
      <c r="H258" s="108"/>
      <c r="I258" s="109"/>
      <c r="J258" s="110"/>
      <c r="K258" s="109"/>
      <c r="L258" s="110"/>
      <c r="M258" s="109"/>
      <c r="N258" s="110"/>
      <c r="O258" s="107"/>
    </row>
    <row r="259" spans="6:15" ht="14.25" customHeight="1" x14ac:dyDescent="0.3">
      <c r="F259" s="108"/>
      <c r="G259" s="108"/>
      <c r="H259" s="108"/>
      <c r="I259" s="109"/>
      <c r="J259" s="110"/>
      <c r="K259" s="109"/>
      <c r="L259" s="110"/>
      <c r="M259" s="109"/>
      <c r="N259" s="110"/>
      <c r="O259" s="107"/>
    </row>
    <row r="260" spans="6:15" ht="14.25" customHeight="1" x14ac:dyDescent="0.3">
      <c r="F260" s="108"/>
      <c r="G260" s="108"/>
      <c r="H260" s="108"/>
      <c r="I260" s="109"/>
      <c r="J260" s="110"/>
      <c r="K260" s="109"/>
      <c r="L260" s="110"/>
      <c r="M260" s="109"/>
      <c r="N260" s="110"/>
      <c r="O260" s="107"/>
    </row>
    <row r="261" spans="6:15" ht="14.25" customHeight="1" x14ac:dyDescent="0.3">
      <c r="F261" s="108"/>
      <c r="G261" s="108"/>
      <c r="H261" s="108"/>
      <c r="I261" s="109"/>
      <c r="J261" s="110"/>
      <c r="K261" s="109"/>
      <c r="L261" s="110"/>
      <c r="M261" s="109"/>
      <c r="N261" s="110"/>
      <c r="O261" s="107"/>
    </row>
    <row r="262" spans="6:15" ht="14.25" customHeight="1" x14ac:dyDescent="0.3">
      <c r="F262" s="108"/>
      <c r="G262" s="108"/>
      <c r="H262" s="108"/>
      <c r="I262" s="109"/>
      <c r="J262" s="110"/>
      <c r="K262" s="109"/>
      <c r="L262" s="110"/>
      <c r="M262" s="109"/>
      <c r="N262" s="110"/>
      <c r="O262" s="107"/>
    </row>
    <row r="263" spans="6:15" ht="14.25" customHeight="1" x14ac:dyDescent="0.3">
      <c r="F263" s="108"/>
      <c r="G263" s="108"/>
      <c r="H263" s="108"/>
      <c r="I263" s="109"/>
      <c r="J263" s="110"/>
      <c r="K263" s="109"/>
      <c r="L263" s="110"/>
      <c r="M263" s="109"/>
      <c r="N263" s="110"/>
      <c r="O263" s="107"/>
    </row>
    <row r="264" spans="6:15" ht="14.25" customHeight="1" x14ac:dyDescent="0.3">
      <c r="F264" s="108"/>
      <c r="G264" s="108"/>
      <c r="H264" s="108"/>
      <c r="I264" s="109"/>
      <c r="J264" s="110"/>
      <c r="K264" s="109"/>
      <c r="L264" s="110"/>
      <c r="M264" s="109"/>
      <c r="N264" s="110"/>
      <c r="O264" s="107"/>
    </row>
    <row r="265" spans="6:15" ht="14.25" customHeight="1" x14ac:dyDescent="0.3">
      <c r="F265" s="108"/>
      <c r="G265" s="108"/>
      <c r="H265" s="108"/>
      <c r="I265" s="109"/>
      <c r="J265" s="110"/>
      <c r="K265" s="109"/>
      <c r="L265" s="110"/>
      <c r="M265" s="109"/>
      <c r="N265" s="110"/>
      <c r="O265" s="107"/>
    </row>
    <row r="266" spans="6:15" ht="14.25" customHeight="1" x14ac:dyDescent="0.3">
      <c r="F266" s="108"/>
      <c r="G266" s="108"/>
      <c r="H266" s="108"/>
      <c r="I266" s="109"/>
      <c r="J266" s="110"/>
      <c r="K266" s="109"/>
      <c r="L266" s="110"/>
      <c r="M266" s="109"/>
      <c r="N266" s="110"/>
      <c r="O266" s="107"/>
    </row>
    <row r="267" spans="6:15" ht="14.25" customHeight="1" x14ac:dyDescent="0.3">
      <c r="F267" s="108"/>
      <c r="G267" s="108"/>
      <c r="H267" s="108"/>
      <c r="I267" s="109"/>
      <c r="J267" s="110"/>
      <c r="K267" s="109"/>
      <c r="L267" s="110"/>
      <c r="M267" s="109"/>
      <c r="N267" s="110"/>
      <c r="O267" s="107"/>
    </row>
    <row r="268" spans="6:15" ht="14.25" customHeight="1" x14ac:dyDescent="0.3">
      <c r="F268" s="108"/>
      <c r="G268" s="108"/>
      <c r="H268" s="108"/>
      <c r="I268" s="109"/>
      <c r="J268" s="110"/>
      <c r="K268" s="109"/>
      <c r="L268" s="110"/>
      <c r="M268" s="109"/>
      <c r="N268" s="110"/>
      <c r="O268" s="107"/>
    </row>
    <row r="269" spans="6:15" ht="14.25" customHeight="1" x14ac:dyDescent="0.3">
      <c r="F269" s="108"/>
      <c r="G269" s="108"/>
      <c r="H269" s="108"/>
      <c r="I269" s="109"/>
      <c r="J269" s="110"/>
      <c r="K269" s="109"/>
      <c r="L269" s="110"/>
      <c r="M269" s="109"/>
      <c r="N269" s="110"/>
      <c r="O269" s="107"/>
    </row>
    <row r="270" spans="6:15" ht="14.25" customHeight="1" x14ac:dyDescent="0.3">
      <c r="F270" s="108"/>
      <c r="G270" s="108"/>
      <c r="H270" s="108"/>
      <c r="I270" s="109"/>
      <c r="J270" s="110"/>
      <c r="K270" s="109"/>
      <c r="L270" s="110"/>
      <c r="M270" s="109"/>
      <c r="N270" s="110"/>
      <c r="O270" s="107"/>
    </row>
    <row r="271" spans="6:15" ht="14.25" customHeight="1" x14ac:dyDescent="0.3">
      <c r="F271" s="108"/>
      <c r="G271" s="108"/>
      <c r="H271" s="108"/>
      <c r="I271" s="109"/>
      <c r="J271" s="110"/>
      <c r="K271" s="109"/>
      <c r="L271" s="110"/>
      <c r="M271" s="109"/>
      <c r="N271" s="110"/>
      <c r="O271" s="107"/>
    </row>
    <row r="272" spans="6:15" ht="14.25" customHeight="1" x14ac:dyDescent="0.3">
      <c r="F272" s="108"/>
      <c r="G272" s="108"/>
      <c r="H272" s="108"/>
      <c r="I272" s="109"/>
      <c r="J272" s="110"/>
      <c r="K272" s="109"/>
      <c r="L272" s="110"/>
      <c r="M272" s="109"/>
      <c r="N272" s="110"/>
      <c r="O272" s="107"/>
    </row>
    <row r="273" spans="6:15" ht="14.25" customHeight="1" x14ac:dyDescent="0.3">
      <c r="F273" s="108"/>
      <c r="G273" s="108"/>
      <c r="H273" s="108"/>
      <c r="I273" s="109"/>
      <c r="J273" s="110"/>
      <c r="K273" s="109"/>
      <c r="L273" s="110"/>
      <c r="M273" s="109"/>
      <c r="N273" s="110"/>
      <c r="O273" s="107"/>
    </row>
    <row r="274" spans="6:15" ht="14.25" customHeight="1" x14ac:dyDescent="0.3">
      <c r="F274" s="108"/>
      <c r="G274" s="108"/>
      <c r="H274" s="108"/>
      <c r="I274" s="109"/>
      <c r="J274" s="110"/>
      <c r="K274" s="109"/>
      <c r="L274" s="110"/>
      <c r="M274" s="109"/>
      <c r="N274" s="110"/>
      <c r="O274" s="107"/>
    </row>
    <row r="275" spans="6:15" ht="14.25" customHeight="1" x14ac:dyDescent="0.3">
      <c r="F275" s="108"/>
      <c r="G275" s="108"/>
      <c r="H275" s="108"/>
      <c r="I275" s="109"/>
      <c r="J275" s="110"/>
      <c r="K275" s="109"/>
      <c r="L275" s="110"/>
      <c r="M275" s="109"/>
      <c r="N275" s="110"/>
      <c r="O275" s="107"/>
    </row>
    <row r="276" spans="6:15" ht="14.25" customHeight="1" x14ac:dyDescent="0.3">
      <c r="F276" s="108"/>
      <c r="G276" s="108"/>
      <c r="H276" s="108"/>
      <c r="I276" s="109"/>
      <c r="J276" s="110"/>
      <c r="K276" s="109"/>
      <c r="L276" s="110"/>
      <c r="M276" s="109"/>
      <c r="N276" s="110"/>
      <c r="O276" s="107"/>
    </row>
    <row r="277" spans="6:15" ht="14.25" customHeight="1" x14ac:dyDescent="0.3">
      <c r="F277" s="108"/>
      <c r="G277" s="108"/>
      <c r="H277" s="108"/>
      <c r="I277" s="109"/>
      <c r="J277" s="110"/>
      <c r="K277" s="109"/>
      <c r="L277" s="110"/>
      <c r="M277" s="109"/>
      <c r="N277" s="110"/>
      <c r="O277" s="107"/>
    </row>
    <row r="278" spans="6:15" ht="14.25" customHeight="1" x14ac:dyDescent="0.3">
      <c r="F278" s="108"/>
      <c r="G278" s="108"/>
      <c r="H278" s="108"/>
      <c r="I278" s="109"/>
      <c r="J278" s="110"/>
      <c r="K278" s="109"/>
      <c r="L278" s="110"/>
      <c r="M278" s="109"/>
      <c r="N278" s="110"/>
      <c r="O278" s="107"/>
    </row>
    <row r="279" spans="6:15" ht="14.25" customHeight="1" x14ac:dyDescent="0.3">
      <c r="F279" s="108"/>
      <c r="G279" s="108"/>
      <c r="H279" s="108"/>
      <c r="I279" s="109"/>
      <c r="J279" s="110"/>
      <c r="K279" s="109"/>
      <c r="L279" s="110"/>
      <c r="M279" s="109"/>
      <c r="N279" s="110"/>
      <c r="O279" s="107"/>
    </row>
    <row r="280" spans="6:15" ht="14.25" customHeight="1" x14ac:dyDescent="0.3">
      <c r="F280" s="108"/>
      <c r="G280" s="108"/>
      <c r="H280" s="108"/>
      <c r="I280" s="109"/>
      <c r="J280" s="110"/>
      <c r="K280" s="109"/>
      <c r="L280" s="110"/>
      <c r="M280" s="109"/>
      <c r="N280" s="110"/>
      <c r="O280" s="107"/>
    </row>
    <row r="281" spans="6:15" ht="14.25" customHeight="1" x14ac:dyDescent="0.3">
      <c r="F281" s="108"/>
      <c r="G281" s="108"/>
      <c r="H281" s="108"/>
      <c r="I281" s="109"/>
      <c r="J281" s="110"/>
      <c r="K281" s="109"/>
      <c r="L281" s="110"/>
      <c r="M281" s="109"/>
      <c r="N281" s="110"/>
      <c r="O281" s="107"/>
    </row>
    <row r="282" spans="6:15" ht="14.25" customHeight="1" x14ac:dyDescent="0.3">
      <c r="F282" s="108"/>
      <c r="G282" s="108"/>
      <c r="H282" s="108"/>
      <c r="I282" s="109"/>
      <c r="J282" s="110"/>
      <c r="K282" s="109"/>
      <c r="L282" s="110"/>
      <c r="M282" s="109"/>
      <c r="N282" s="110"/>
      <c r="O282" s="107"/>
    </row>
    <row r="283" spans="6:15" ht="14.25" customHeight="1" x14ac:dyDescent="0.3">
      <c r="F283" s="108"/>
      <c r="G283" s="108"/>
      <c r="H283" s="108"/>
      <c r="I283" s="109"/>
      <c r="J283" s="110"/>
      <c r="K283" s="109"/>
      <c r="L283" s="110"/>
      <c r="M283" s="109"/>
      <c r="N283" s="110"/>
      <c r="O283" s="107"/>
    </row>
    <row r="284" spans="6:15" ht="14.25" customHeight="1" x14ac:dyDescent="0.3">
      <c r="F284" s="108"/>
      <c r="G284" s="108"/>
      <c r="H284" s="108"/>
      <c r="I284" s="109"/>
      <c r="J284" s="110"/>
      <c r="K284" s="109"/>
      <c r="L284" s="110"/>
      <c r="M284" s="109"/>
      <c r="N284" s="110"/>
      <c r="O284" s="107"/>
    </row>
    <row r="285" spans="6:15" ht="14.25" customHeight="1" x14ac:dyDescent="0.3">
      <c r="F285" s="108"/>
      <c r="G285" s="108"/>
      <c r="H285" s="108"/>
      <c r="I285" s="109"/>
      <c r="J285" s="110"/>
      <c r="K285" s="109"/>
      <c r="L285" s="110"/>
      <c r="M285" s="109"/>
      <c r="N285" s="110"/>
      <c r="O285" s="107"/>
    </row>
    <row r="286" spans="6:15" ht="14.25" customHeight="1" x14ac:dyDescent="0.3">
      <c r="F286" s="108"/>
      <c r="G286" s="108"/>
      <c r="H286" s="108"/>
      <c r="I286" s="109"/>
      <c r="J286" s="110"/>
      <c r="K286" s="109"/>
      <c r="L286" s="110"/>
      <c r="M286" s="109"/>
      <c r="N286" s="110"/>
      <c r="O286" s="107"/>
    </row>
    <row r="287" spans="6:15" ht="14.25" customHeight="1" x14ac:dyDescent="0.3">
      <c r="F287" s="108"/>
      <c r="G287" s="108"/>
      <c r="H287" s="108"/>
      <c r="I287" s="109"/>
      <c r="J287" s="110"/>
      <c r="K287" s="109"/>
      <c r="L287" s="110"/>
      <c r="M287" s="109"/>
      <c r="N287" s="110"/>
      <c r="O287" s="107"/>
    </row>
    <row r="288" spans="6:15" ht="14.25" customHeight="1" x14ac:dyDescent="0.3">
      <c r="F288" s="108"/>
      <c r="G288" s="108"/>
      <c r="H288" s="108"/>
      <c r="I288" s="109"/>
      <c r="J288" s="110"/>
      <c r="K288" s="109"/>
      <c r="L288" s="110"/>
      <c r="M288" s="109"/>
      <c r="N288" s="110"/>
      <c r="O288" s="107"/>
    </row>
    <row r="289" spans="6:15" ht="14.25" customHeight="1" x14ac:dyDescent="0.3">
      <c r="F289" s="108"/>
      <c r="G289" s="108"/>
      <c r="H289" s="108"/>
      <c r="I289" s="109"/>
      <c r="J289" s="110"/>
      <c r="K289" s="109"/>
      <c r="L289" s="110"/>
      <c r="M289" s="109"/>
      <c r="N289" s="110"/>
      <c r="O289" s="107"/>
    </row>
    <row r="290" spans="6:15" ht="14.25" customHeight="1" x14ac:dyDescent="0.3">
      <c r="F290" s="108"/>
      <c r="G290" s="108"/>
      <c r="H290" s="108"/>
      <c r="I290" s="109"/>
      <c r="J290" s="110"/>
      <c r="K290" s="109"/>
      <c r="L290" s="110"/>
      <c r="M290" s="109"/>
      <c r="N290" s="110"/>
      <c r="O290" s="107"/>
    </row>
    <row r="291" spans="6:15" ht="14.25" customHeight="1" x14ac:dyDescent="0.3">
      <c r="F291" s="108"/>
      <c r="G291" s="108"/>
      <c r="H291" s="108"/>
      <c r="I291" s="109"/>
      <c r="J291" s="110"/>
      <c r="K291" s="109"/>
      <c r="L291" s="110"/>
      <c r="M291" s="109"/>
      <c r="N291" s="110"/>
      <c r="O291" s="107"/>
    </row>
    <row r="292" spans="6:15" ht="14.25" customHeight="1" x14ac:dyDescent="0.3">
      <c r="F292" s="108"/>
      <c r="G292" s="108"/>
      <c r="H292" s="108"/>
      <c r="I292" s="109"/>
      <c r="J292" s="110"/>
      <c r="K292" s="109"/>
      <c r="L292" s="110"/>
      <c r="M292" s="109"/>
      <c r="N292" s="110"/>
      <c r="O292" s="107"/>
    </row>
    <row r="293" spans="6:15" ht="14.25" customHeight="1" x14ac:dyDescent="0.3">
      <c r="F293" s="108"/>
      <c r="G293" s="108"/>
      <c r="H293" s="108"/>
      <c r="I293" s="109"/>
      <c r="J293" s="110"/>
      <c r="K293" s="109"/>
      <c r="L293" s="110"/>
      <c r="M293" s="109"/>
      <c r="N293" s="110"/>
      <c r="O293" s="107"/>
    </row>
    <row r="294" spans="6:15" ht="14.25" customHeight="1" x14ac:dyDescent="0.3">
      <c r="F294" s="108"/>
      <c r="G294" s="108"/>
      <c r="H294" s="108"/>
      <c r="I294" s="109"/>
      <c r="J294" s="110"/>
      <c r="K294" s="109"/>
      <c r="L294" s="110"/>
      <c r="M294" s="109"/>
      <c r="N294" s="110"/>
      <c r="O294" s="107"/>
    </row>
    <row r="295" spans="6:15" ht="14.25" customHeight="1" x14ac:dyDescent="0.3">
      <c r="F295" s="108"/>
      <c r="G295" s="108"/>
      <c r="H295" s="108"/>
      <c r="I295" s="109"/>
      <c r="J295" s="110"/>
      <c r="K295" s="109"/>
      <c r="L295" s="110"/>
      <c r="M295" s="109"/>
      <c r="N295" s="110"/>
      <c r="O295" s="107"/>
    </row>
    <row r="296" spans="6:15" ht="14.25" customHeight="1" x14ac:dyDescent="0.3">
      <c r="F296" s="108"/>
      <c r="G296" s="108"/>
      <c r="H296" s="108"/>
      <c r="I296" s="109"/>
      <c r="J296" s="110"/>
      <c r="K296" s="109"/>
      <c r="L296" s="110"/>
      <c r="M296" s="109"/>
      <c r="N296" s="110"/>
      <c r="O296" s="107"/>
    </row>
    <row r="297" spans="6:15" ht="14.25" customHeight="1" x14ac:dyDescent="0.3">
      <c r="F297" s="108"/>
      <c r="G297" s="108"/>
      <c r="H297" s="108"/>
      <c r="I297" s="109"/>
      <c r="J297" s="110"/>
      <c r="K297" s="109"/>
      <c r="L297" s="110"/>
      <c r="M297" s="109"/>
      <c r="N297" s="110"/>
      <c r="O297" s="107"/>
    </row>
    <row r="298" spans="6:15" ht="14.25" customHeight="1" x14ac:dyDescent="0.3">
      <c r="F298" s="108"/>
      <c r="G298" s="108"/>
      <c r="H298" s="108"/>
      <c r="I298" s="109"/>
      <c r="J298" s="110"/>
      <c r="K298" s="109"/>
      <c r="L298" s="110"/>
      <c r="M298" s="109"/>
      <c r="N298" s="110"/>
      <c r="O298" s="107"/>
    </row>
    <row r="299" spans="6:15" ht="14.25" customHeight="1" x14ac:dyDescent="0.3">
      <c r="F299" s="108"/>
      <c r="G299" s="108"/>
      <c r="H299" s="108"/>
      <c r="I299" s="109"/>
      <c r="J299" s="110"/>
      <c r="K299" s="109"/>
      <c r="L299" s="110"/>
      <c r="M299" s="109"/>
      <c r="N299" s="110"/>
      <c r="O299" s="107"/>
    </row>
    <row r="300" spans="6:15" ht="14.25" customHeight="1" x14ac:dyDescent="0.3">
      <c r="F300" s="108"/>
      <c r="G300" s="108"/>
      <c r="H300" s="108"/>
      <c r="I300" s="109"/>
      <c r="J300" s="110"/>
      <c r="K300" s="109"/>
      <c r="L300" s="110"/>
      <c r="M300" s="109"/>
      <c r="N300" s="110"/>
      <c r="O300" s="107"/>
    </row>
    <row r="301" spans="6:15" ht="14.25" customHeight="1" x14ac:dyDescent="0.3">
      <c r="F301" s="108"/>
      <c r="G301" s="108"/>
      <c r="H301" s="108"/>
      <c r="I301" s="109"/>
      <c r="J301" s="110"/>
      <c r="K301" s="109"/>
      <c r="L301" s="110"/>
      <c r="M301" s="109"/>
      <c r="N301" s="110"/>
      <c r="O301" s="107"/>
    </row>
    <row r="302" spans="6:15" ht="14.25" customHeight="1" x14ac:dyDescent="0.3">
      <c r="F302" s="108"/>
      <c r="G302" s="108"/>
      <c r="H302" s="108"/>
      <c r="I302" s="109"/>
      <c r="J302" s="110"/>
      <c r="K302" s="109"/>
      <c r="L302" s="110"/>
      <c r="M302" s="109"/>
      <c r="N302" s="110"/>
      <c r="O302" s="107"/>
    </row>
    <row r="303" spans="6:15" ht="14.25" customHeight="1" x14ac:dyDescent="0.3">
      <c r="F303" s="108"/>
      <c r="G303" s="108"/>
      <c r="H303" s="108"/>
      <c r="I303" s="109"/>
      <c r="J303" s="110"/>
      <c r="K303" s="109"/>
      <c r="L303" s="110"/>
      <c r="M303" s="109"/>
      <c r="N303" s="110"/>
      <c r="O303" s="107"/>
    </row>
    <row r="304" spans="6:15" ht="14.25" customHeight="1" x14ac:dyDescent="0.3">
      <c r="F304" s="108"/>
      <c r="G304" s="108"/>
      <c r="H304" s="108"/>
      <c r="I304" s="109"/>
      <c r="J304" s="110"/>
      <c r="K304" s="109"/>
      <c r="L304" s="110"/>
      <c r="M304" s="109"/>
      <c r="N304" s="110"/>
      <c r="O304" s="107"/>
    </row>
    <row r="305" spans="6:15" ht="14.25" customHeight="1" x14ac:dyDescent="0.3">
      <c r="F305" s="108"/>
      <c r="G305" s="108"/>
      <c r="H305" s="108"/>
      <c r="I305" s="109"/>
      <c r="J305" s="110"/>
      <c r="K305" s="109"/>
      <c r="L305" s="110"/>
      <c r="M305" s="109"/>
      <c r="N305" s="110"/>
      <c r="O305" s="107"/>
    </row>
    <row r="306" spans="6:15" ht="14.25" customHeight="1" x14ac:dyDescent="0.3">
      <c r="F306" s="108"/>
      <c r="G306" s="108"/>
      <c r="H306" s="108"/>
      <c r="I306" s="109"/>
      <c r="J306" s="110"/>
      <c r="K306" s="109"/>
      <c r="L306" s="110"/>
      <c r="M306" s="109"/>
      <c r="N306" s="110"/>
      <c r="O306" s="107"/>
    </row>
    <row r="307" spans="6:15" ht="14.25" customHeight="1" x14ac:dyDescent="0.3">
      <c r="F307" s="108"/>
      <c r="G307" s="108"/>
      <c r="H307" s="108"/>
      <c r="I307" s="109"/>
      <c r="J307" s="110"/>
      <c r="K307" s="109"/>
      <c r="L307" s="110"/>
      <c r="M307" s="109"/>
      <c r="N307" s="110"/>
      <c r="O307" s="107"/>
    </row>
    <row r="308" spans="6:15" ht="14.25" customHeight="1" x14ac:dyDescent="0.3">
      <c r="F308" s="108"/>
      <c r="G308" s="108"/>
      <c r="H308" s="108"/>
      <c r="I308" s="109"/>
      <c r="J308" s="110"/>
      <c r="K308" s="109"/>
      <c r="L308" s="110"/>
      <c r="M308" s="109"/>
      <c r="N308" s="110"/>
      <c r="O308" s="107"/>
    </row>
    <row r="309" spans="6:15" ht="14.25" customHeight="1" x14ac:dyDescent="0.3">
      <c r="F309" s="108"/>
      <c r="G309" s="108"/>
      <c r="H309" s="108"/>
      <c r="I309" s="109"/>
      <c r="J309" s="110"/>
      <c r="K309" s="109"/>
      <c r="L309" s="110"/>
      <c r="M309" s="109"/>
      <c r="N309" s="110"/>
      <c r="O309" s="107"/>
    </row>
    <row r="310" spans="6:15" ht="14.25" customHeight="1" x14ac:dyDescent="0.3">
      <c r="F310" s="108"/>
      <c r="G310" s="108"/>
      <c r="H310" s="108"/>
      <c r="I310" s="109"/>
      <c r="J310" s="110"/>
      <c r="K310" s="109"/>
      <c r="L310" s="110"/>
      <c r="M310" s="109"/>
      <c r="N310" s="110"/>
      <c r="O310" s="107"/>
    </row>
    <row r="311" spans="6:15" ht="14.25" customHeight="1" x14ac:dyDescent="0.3">
      <c r="F311" s="108"/>
      <c r="G311" s="108"/>
      <c r="H311" s="108"/>
      <c r="I311" s="109"/>
      <c r="J311" s="110"/>
      <c r="K311" s="109"/>
      <c r="L311" s="110"/>
      <c r="M311" s="109"/>
      <c r="N311" s="110"/>
      <c r="O311" s="107"/>
    </row>
    <row r="312" spans="6:15" ht="14.25" customHeight="1" x14ac:dyDescent="0.3">
      <c r="F312" s="108"/>
      <c r="G312" s="108"/>
      <c r="H312" s="108"/>
      <c r="I312" s="109"/>
      <c r="J312" s="110"/>
      <c r="K312" s="109"/>
      <c r="L312" s="110"/>
      <c r="M312" s="109"/>
      <c r="N312" s="110"/>
      <c r="O312" s="107"/>
    </row>
    <row r="313" spans="6:15" ht="14.25" customHeight="1" x14ac:dyDescent="0.3">
      <c r="F313" s="108"/>
      <c r="G313" s="108"/>
      <c r="H313" s="108"/>
      <c r="I313" s="109"/>
      <c r="J313" s="110"/>
      <c r="K313" s="109"/>
      <c r="L313" s="110"/>
      <c r="M313" s="109"/>
      <c r="N313" s="110"/>
      <c r="O313" s="107"/>
    </row>
    <row r="314" spans="6:15" ht="14.25" customHeight="1" x14ac:dyDescent="0.3">
      <c r="F314" s="108"/>
      <c r="G314" s="108"/>
      <c r="H314" s="108"/>
      <c r="I314" s="109"/>
      <c r="J314" s="110"/>
      <c r="K314" s="109"/>
      <c r="L314" s="110"/>
      <c r="M314" s="109"/>
      <c r="N314" s="110"/>
      <c r="O314" s="107"/>
    </row>
    <row r="315" spans="6:15" ht="14.25" customHeight="1" x14ac:dyDescent="0.3">
      <c r="F315" s="108"/>
      <c r="G315" s="108"/>
      <c r="H315" s="108"/>
      <c r="I315" s="109"/>
      <c r="J315" s="110"/>
      <c r="K315" s="109"/>
      <c r="L315" s="110"/>
      <c r="M315" s="109"/>
      <c r="N315" s="110"/>
      <c r="O315" s="107"/>
    </row>
    <row r="316" spans="6:15" ht="14.25" customHeight="1" x14ac:dyDescent="0.3">
      <c r="F316" s="108"/>
      <c r="G316" s="108"/>
      <c r="H316" s="108"/>
      <c r="I316" s="109"/>
      <c r="J316" s="110"/>
      <c r="K316" s="109"/>
      <c r="L316" s="110"/>
      <c r="M316" s="109"/>
      <c r="N316" s="110"/>
      <c r="O316" s="107"/>
    </row>
    <row r="317" spans="6:15" ht="14.25" customHeight="1" x14ac:dyDescent="0.3">
      <c r="F317" s="108"/>
      <c r="G317" s="108"/>
      <c r="H317" s="108"/>
      <c r="I317" s="109"/>
      <c r="J317" s="110"/>
      <c r="K317" s="109"/>
      <c r="L317" s="110"/>
      <c r="M317" s="109"/>
      <c r="N317" s="110"/>
      <c r="O317" s="107"/>
    </row>
    <row r="318" spans="6:15" ht="14.25" customHeight="1" x14ac:dyDescent="0.3">
      <c r="F318" s="108"/>
      <c r="G318" s="108"/>
      <c r="H318" s="108"/>
      <c r="I318" s="109"/>
      <c r="J318" s="110"/>
      <c r="K318" s="109"/>
      <c r="L318" s="110"/>
      <c r="M318" s="109"/>
      <c r="N318" s="110"/>
      <c r="O318" s="107"/>
    </row>
    <row r="319" spans="6:15" ht="14.25" customHeight="1" x14ac:dyDescent="0.3">
      <c r="F319" s="108"/>
      <c r="G319" s="108"/>
      <c r="H319" s="108"/>
      <c r="I319" s="109"/>
      <c r="J319" s="110"/>
      <c r="K319" s="109"/>
      <c r="L319" s="110"/>
      <c r="M319" s="109"/>
      <c r="N319" s="110"/>
      <c r="O319" s="107"/>
    </row>
    <row r="320" spans="6:15" ht="14.25" customHeight="1" x14ac:dyDescent="0.3">
      <c r="F320" s="108"/>
      <c r="G320" s="108"/>
      <c r="H320" s="108"/>
      <c r="I320" s="109"/>
      <c r="J320" s="110"/>
      <c r="K320" s="109"/>
      <c r="L320" s="110"/>
      <c r="M320" s="109"/>
      <c r="N320" s="110"/>
      <c r="O320" s="107"/>
    </row>
    <row r="321" spans="6:15" ht="14.25" customHeight="1" x14ac:dyDescent="0.3">
      <c r="F321" s="108"/>
      <c r="G321" s="108"/>
      <c r="H321" s="108"/>
      <c r="I321" s="109"/>
      <c r="J321" s="110"/>
      <c r="K321" s="109"/>
      <c r="L321" s="110"/>
      <c r="M321" s="109"/>
      <c r="N321" s="110"/>
      <c r="O321" s="107"/>
    </row>
    <row r="322" spans="6:15" ht="14.25" customHeight="1" x14ac:dyDescent="0.3">
      <c r="F322" s="108"/>
      <c r="G322" s="108"/>
      <c r="H322" s="108"/>
      <c r="I322" s="109"/>
      <c r="J322" s="110"/>
      <c r="K322" s="109"/>
      <c r="L322" s="110"/>
      <c r="M322" s="109"/>
      <c r="N322" s="110"/>
      <c r="O322" s="107"/>
    </row>
    <row r="323" spans="6:15" ht="14.25" customHeight="1" x14ac:dyDescent="0.3">
      <c r="F323" s="108"/>
      <c r="G323" s="108"/>
      <c r="H323" s="108"/>
      <c r="I323" s="109"/>
      <c r="J323" s="110"/>
      <c r="K323" s="109"/>
      <c r="L323" s="110"/>
      <c r="M323" s="109"/>
      <c r="N323" s="110"/>
      <c r="O323" s="107"/>
    </row>
    <row r="324" spans="6:15" ht="14.25" customHeight="1" x14ac:dyDescent="0.3">
      <c r="F324" s="108"/>
      <c r="G324" s="108"/>
      <c r="H324" s="108"/>
      <c r="I324" s="109"/>
      <c r="J324" s="110"/>
      <c r="K324" s="109"/>
      <c r="L324" s="110"/>
      <c r="M324" s="109"/>
      <c r="N324" s="110"/>
      <c r="O324" s="107"/>
    </row>
    <row r="325" spans="6:15" ht="14.25" customHeight="1" x14ac:dyDescent="0.3">
      <c r="F325" s="108"/>
      <c r="G325" s="108"/>
      <c r="H325" s="108"/>
      <c r="I325" s="109"/>
      <c r="J325" s="110"/>
      <c r="K325" s="109"/>
      <c r="L325" s="110"/>
      <c r="M325" s="109"/>
      <c r="N325" s="110"/>
      <c r="O325" s="107"/>
    </row>
    <row r="326" spans="6:15" ht="14.25" customHeight="1" x14ac:dyDescent="0.3">
      <c r="F326" s="108"/>
      <c r="G326" s="108"/>
      <c r="H326" s="108"/>
      <c r="I326" s="109"/>
      <c r="J326" s="110"/>
      <c r="K326" s="109"/>
      <c r="L326" s="110"/>
      <c r="M326" s="109"/>
      <c r="N326" s="110"/>
      <c r="O326" s="107"/>
    </row>
    <row r="327" spans="6:15" ht="14.25" customHeight="1" x14ac:dyDescent="0.3">
      <c r="F327" s="108"/>
      <c r="G327" s="108"/>
      <c r="H327" s="108"/>
      <c r="I327" s="109"/>
      <c r="J327" s="110"/>
      <c r="K327" s="109"/>
      <c r="L327" s="110"/>
      <c r="M327" s="109"/>
      <c r="N327" s="110"/>
      <c r="O327" s="107"/>
    </row>
    <row r="328" spans="6:15" ht="14.25" customHeight="1" x14ac:dyDescent="0.3">
      <c r="F328" s="108"/>
      <c r="G328" s="108"/>
      <c r="H328" s="108"/>
      <c r="I328" s="109"/>
      <c r="J328" s="110"/>
      <c r="K328" s="109"/>
      <c r="L328" s="110"/>
      <c r="M328" s="109"/>
      <c r="N328" s="110"/>
      <c r="O328" s="107"/>
    </row>
    <row r="329" spans="6:15" ht="14.25" customHeight="1" x14ac:dyDescent="0.3">
      <c r="F329" s="108"/>
      <c r="G329" s="108"/>
      <c r="H329" s="108"/>
      <c r="I329" s="109"/>
      <c r="J329" s="110"/>
      <c r="K329" s="109"/>
      <c r="L329" s="110"/>
      <c r="M329" s="109"/>
      <c r="N329" s="110"/>
      <c r="O329" s="107"/>
    </row>
    <row r="330" spans="6:15" ht="14.25" customHeight="1" x14ac:dyDescent="0.3">
      <c r="F330" s="108"/>
      <c r="G330" s="108"/>
      <c r="H330" s="108"/>
      <c r="I330" s="109"/>
      <c r="J330" s="110"/>
      <c r="K330" s="109"/>
      <c r="L330" s="110"/>
      <c r="M330" s="109"/>
      <c r="N330" s="110"/>
      <c r="O330" s="107"/>
    </row>
    <row r="331" spans="6:15" ht="14.25" customHeight="1" x14ac:dyDescent="0.3">
      <c r="F331" s="108"/>
      <c r="G331" s="108"/>
      <c r="H331" s="108"/>
      <c r="I331" s="109"/>
      <c r="J331" s="110"/>
      <c r="K331" s="109"/>
      <c r="L331" s="110"/>
      <c r="M331" s="109"/>
      <c r="N331" s="110"/>
      <c r="O331" s="107"/>
    </row>
    <row r="332" spans="6:15" ht="14.25" customHeight="1" x14ac:dyDescent="0.3">
      <c r="F332" s="108"/>
      <c r="G332" s="108"/>
      <c r="H332" s="108"/>
      <c r="I332" s="109"/>
      <c r="J332" s="110"/>
      <c r="K332" s="109"/>
      <c r="L332" s="110"/>
      <c r="M332" s="109"/>
      <c r="N332" s="110"/>
      <c r="O332" s="107"/>
    </row>
    <row r="333" spans="6:15" ht="14.25" customHeight="1" x14ac:dyDescent="0.3">
      <c r="F333" s="108"/>
      <c r="G333" s="108"/>
      <c r="H333" s="108"/>
      <c r="I333" s="109"/>
      <c r="J333" s="110"/>
      <c r="K333" s="109"/>
      <c r="L333" s="110"/>
      <c r="M333" s="109"/>
      <c r="N333" s="110"/>
      <c r="O333" s="107"/>
    </row>
    <row r="334" spans="6:15" ht="14.25" customHeight="1" x14ac:dyDescent="0.3">
      <c r="F334" s="108"/>
      <c r="G334" s="108"/>
      <c r="H334" s="108"/>
      <c r="I334" s="109"/>
      <c r="J334" s="110"/>
      <c r="K334" s="109"/>
      <c r="L334" s="110"/>
      <c r="M334" s="109"/>
      <c r="N334" s="110"/>
      <c r="O334" s="107"/>
    </row>
    <row r="335" spans="6:15" ht="14.25" customHeight="1" x14ac:dyDescent="0.3">
      <c r="F335" s="108"/>
      <c r="G335" s="108"/>
      <c r="H335" s="108"/>
      <c r="I335" s="109"/>
      <c r="J335" s="110"/>
      <c r="K335" s="109"/>
      <c r="L335" s="110"/>
      <c r="M335" s="109"/>
      <c r="N335" s="110"/>
      <c r="O335" s="107"/>
    </row>
    <row r="336" spans="6:15" ht="14.25" customHeight="1" x14ac:dyDescent="0.3">
      <c r="F336" s="108"/>
      <c r="G336" s="108"/>
      <c r="H336" s="108"/>
      <c r="I336" s="109"/>
      <c r="J336" s="110"/>
      <c r="K336" s="109"/>
      <c r="L336" s="110"/>
      <c r="M336" s="109"/>
      <c r="N336" s="110"/>
      <c r="O336" s="107"/>
    </row>
    <row r="337" spans="6:15" ht="14.25" customHeight="1" x14ac:dyDescent="0.3">
      <c r="F337" s="108"/>
      <c r="G337" s="108"/>
      <c r="H337" s="108"/>
      <c r="I337" s="109"/>
      <c r="J337" s="110"/>
      <c r="K337" s="109"/>
      <c r="L337" s="110"/>
      <c r="M337" s="109"/>
      <c r="N337" s="110"/>
      <c r="O337" s="107"/>
    </row>
    <row r="338" spans="6:15" ht="14.25" customHeight="1" x14ac:dyDescent="0.3">
      <c r="F338" s="108"/>
      <c r="G338" s="108"/>
      <c r="H338" s="108"/>
      <c r="I338" s="109"/>
      <c r="J338" s="110"/>
      <c r="K338" s="109"/>
      <c r="L338" s="110"/>
      <c r="M338" s="109"/>
      <c r="N338" s="110"/>
      <c r="O338" s="107"/>
    </row>
    <row r="339" spans="6:15" ht="14.25" customHeight="1" x14ac:dyDescent="0.3">
      <c r="F339" s="108"/>
      <c r="G339" s="108"/>
      <c r="H339" s="108"/>
      <c r="I339" s="109"/>
      <c r="J339" s="110"/>
      <c r="K339" s="109"/>
      <c r="L339" s="110"/>
      <c r="M339" s="109"/>
      <c r="N339" s="110"/>
      <c r="O339" s="107"/>
    </row>
    <row r="340" spans="6:15" ht="14.25" customHeight="1" x14ac:dyDescent="0.3">
      <c r="F340" s="108"/>
      <c r="G340" s="108"/>
      <c r="H340" s="108"/>
      <c r="I340" s="109"/>
      <c r="J340" s="110"/>
      <c r="K340" s="109"/>
      <c r="L340" s="110"/>
      <c r="M340" s="109"/>
      <c r="N340" s="110"/>
      <c r="O340" s="107"/>
    </row>
    <row r="341" spans="6:15" ht="14.25" customHeight="1" x14ac:dyDescent="0.3">
      <c r="F341" s="108"/>
      <c r="G341" s="108"/>
      <c r="H341" s="108"/>
      <c r="I341" s="109"/>
      <c r="J341" s="110"/>
      <c r="K341" s="109"/>
      <c r="L341" s="110"/>
      <c r="M341" s="109"/>
      <c r="N341" s="110"/>
      <c r="O341" s="107"/>
    </row>
    <row r="342" spans="6:15" ht="14.25" customHeight="1" x14ac:dyDescent="0.3">
      <c r="F342" s="108"/>
      <c r="G342" s="108"/>
      <c r="H342" s="108"/>
      <c r="I342" s="109"/>
      <c r="J342" s="110"/>
      <c r="K342" s="109"/>
      <c r="L342" s="110"/>
      <c r="M342" s="109"/>
      <c r="N342" s="110"/>
      <c r="O342" s="107"/>
    </row>
    <row r="343" spans="6:15" ht="14.25" customHeight="1" x14ac:dyDescent="0.3">
      <c r="F343" s="108"/>
      <c r="G343" s="108"/>
      <c r="H343" s="108"/>
      <c r="I343" s="109"/>
      <c r="J343" s="110"/>
      <c r="K343" s="109"/>
      <c r="L343" s="110"/>
      <c r="M343" s="109"/>
      <c r="N343" s="110"/>
      <c r="O343" s="107"/>
    </row>
    <row r="344" spans="6:15" ht="14.25" customHeight="1" x14ac:dyDescent="0.3">
      <c r="F344" s="108"/>
      <c r="G344" s="108"/>
      <c r="H344" s="108"/>
      <c r="I344" s="109"/>
      <c r="J344" s="110"/>
      <c r="K344" s="109"/>
      <c r="L344" s="110"/>
      <c r="M344" s="109"/>
      <c r="N344" s="110"/>
      <c r="O344" s="107"/>
    </row>
    <row r="345" spans="6:15" ht="14.25" customHeight="1" x14ac:dyDescent="0.3">
      <c r="F345" s="108"/>
      <c r="G345" s="108"/>
      <c r="H345" s="108"/>
      <c r="I345" s="109"/>
      <c r="J345" s="110"/>
      <c r="K345" s="109"/>
      <c r="L345" s="110"/>
      <c r="M345" s="109"/>
      <c r="N345" s="110"/>
      <c r="O345" s="107"/>
    </row>
    <row r="346" spans="6:15" ht="14.25" customHeight="1" x14ac:dyDescent="0.3">
      <c r="F346" s="108"/>
      <c r="G346" s="108"/>
      <c r="H346" s="108"/>
      <c r="I346" s="109"/>
      <c r="J346" s="110"/>
      <c r="K346" s="109"/>
      <c r="L346" s="110"/>
      <c r="M346" s="109"/>
      <c r="N346" s="110"/>
      <c r="O346" s="107"/>
    </row>
    <row r="347" spans="6:15" ht="14.25" customHeight="1" x14ac:dyDescent="0.3">
      <c r="F347" s="108"/>
      <c r="G347" s="108"/>
      <c r="H347" s="108"/>
      <c r="I347" s="109"/>
      <c r="J347" s="110"/>
      <c r="K347" s="109"/>
      <c r="L347" s="110"/>
      <c r="M347" s="109"/>
      <c r="N347" s="110"/>
      <c r="O347" s="107"/>
    </row>
    <row r="348" spans="6:15" ht="14.25" customHeight="1" x14ac:dyDescent="0.3">
      <c r="F348" s="108"/>
      <c r="G348" s="108"/>
      <c r="H348" s="108"/>
      <c r="I348" s="109"/>
      <c r="J348" s="110"/>
      <c r="K348" s="109"/>
      <c r="L348" s="110"/>
      <c r="M348" s="109"/>
      <c r="N348" s="110"/>
      <c r="O348" s="107"/>
    </row>
    <row r="349" spans="6:15" ht="14.25" customHeight="1" x14ac:dyDescent="0.3">
      <c r="F349" s="108"/>
      <c r="G349" s="108"/>
      <c r="H349" s="108"/>
      <c r="I349" s="109"/>
      <c r="J349" s="110"/>
      <c r="K349" s="109"/>
      <c r="L349" s="110"/>
      <c r="M349" s="109"/>
      <c r="N349" s="110"/>
      <c r="O349" s="107"/>
    </row>
    <row r="350" spans="6:15" ht="14.25" customHeight="1" x14ac:dyDescent="0.3">
      <c r="F350" s="108"/>
      <c r="G350" s="108"/>
      <c r="H350" s="108"/>
      <c r="I350" s="109"/>
      <c r="J350" s="110"/>
      <c r="K350" s="109"/>
      <c r="L350" s="110"/>
      <c r="M350" s="109"/>
      <c r="N350" s="110"/>
      <c r="O350" s="107"/>
    </row>
    <row r="351" spans="6:15" ht="14.25" customHeight="1" x14ac:dyDescent="0.3">
      <c r="F351" s="108"/>
      <c r="G351" s="108"/>
      <c r="H351" s="108"/>
      <c r="I351" s="109"/>
      <c r="J351" s="110"/>
      <c r="K351" s="109"/>
      <c r="L351" s="110"/>
      <c r="M351" s="109"/>
      <c r="N351" s="110"/>
      <c r="O351" s="107"/>
    </row>
    <row r="352" spans="6:15" ht="14.25" customHeight="1" x14ac:dyDescent="0.3">
      <c r="F352" s="108"/>
      <c r="G352" s="108"/>
      <c r="H352" s="108"/>
      <c r="I352" s="109"/>
      <c r="J352" s="110"/>
      <c r="K352" s="109"/>
      <c r="L352" s="110"/>
      <c r="M352" s="109"/>
      <c r="N352" s="110"/>
      <c r="O352" s="107"/>
    </row>
    <row r="353" spans="6:15" ht="14.25" customHeight="1" x14ac:dyDescent="0.3">
      <c r="F353" s="108"/>
      <c r="G353" s="108"/>
      <c r="H353" s="108"/>
      <c r="I353" s="109"/>
      <c r="J353" s="110"/>
      <c r="K353" s="109"/>
      <c r="L353" s="110"/>
      <c r="M353" s="109"/>
      <c r="N353" s="110"/>
      <c r="O353" s="107"/>
    </row>
    <row r="354" spans="6:15" ht="14.25" customHeight="1" x14ac:dyDescent="0.3">
      <c r="F354" s="108"/>
      <c r="G354" s="108"/>
      <c r="H354" s="108"/>
      <c r="I354" s="109"/>
      <c r="J354" s="110"/>
      <c r="K354" s="109"/>
      <c r="L354" s="110"/>
      <c r="M354" s="109"/>
      <c r="N354" s="110"/>
      <c r="O354" s="107"/>
    </row>
    <row r="355" spans="6:15" ht="14.25" customHeight="1" x14ac:dyDescent="0.3">
      <c r="F355" s="108"/>
      <c r="G355" s="108"/>
      <c r="H355" s="108"/>
      <c r="I355" s="109"/>
      <c r="J355" s="110"/>
      <c r="K355" s="109"/>
      <c r="L355" s="110"/>
      <c r="M355" s="109"/>
      <c r="N355" s="110"/>
      <c r="O355" s="107"/>
    </row>
    <row r="356" spans="6:15" ht="14.25" customHeight="1" x14ac:dyDescent="0.3">
      <c r="F356" s="108"/>
      <c r="G356" s="108"/>
      <c r="H356" s="108"/>
      <c r="I356" s="109"/>
      <c r="J356" s="110"/>
      <c r="K356" s="109"/>
      <c r="L356" s="110"/>
      <c r="M356" s="109"/>
      <c r="N356" s="110"/>
      <c r="O356" s="107"/>
    </row>
    <row r="357" spans="6:15" ht="14.25" customHeight="1" x14ac:dyDescent="0.3">
      <c r="F357" s="108"/>
      <c r="G357" s="108"/>
      <c r="H357" s="108"/>
      <c r="I357" s="109"/>
      <c r="J357" s="110"/>
      <c r="K357" s="109"/>
      <c r="L357" s="110"/>
      <c r="M357" s="109"/>
      <c r="N357" s="110"/>
      <c r="O357" s="107"/>
    </row>
    <row r="358" spans="6:15" ht="14.25" customHeight="1" x14ac:dyDescent="0.3">
      <c r="F358" s="108"/>
      <c r="G358" s="108"/>
      <c r="H358" s="108"/>
      <c r="I358" s="109"/>
      <c r="J358" s="110"/>
      <c r="K358" s="109"/>
      <c r="L358" s="110"/>
      <c r="M358" s="109"/>
      <c r="N358" s="110"/>
      <c r="O358" s="107"/>
    </row>
    <row r="359" spans="6:15" ht="14.25" customHeight="1" x14ac:dyDescent="0.3">
      <c r="F359" s="108"/>
      <c r="G359" s="108"/>
      <c r="H359" s="108"/>
      <c r="I359" s="109"/>
      <c r="J359" s="110"/>
      <c r="K359" s="109"/>
      <c r="L359" s="110"/>
      <c r="M359" s="109"/>
      <c r="N359" s="110"/>
      <c r="O359" s="107"/>
    </row>
    <row r="360" spans="6:15" ht="14.25" customHeight="1" x14ac:dyDescent="0.3">
      <c r="F360" s="108"/>
      <c r="G360" s="108"/>
      <c r="H360" s="108"/>
      <c r="I360" s="109"/>
      <c r="J360" s="110"/>
      <c r="K360" s="109"/>
      <c r="L360" s="110"/>
      <c r="M360" s="109"/>
      <c r="N360" s="110"/>
      <c r="O360" s="107"/>
    </row>
    <row r="361" spans="6:15" ht="14.25" customHeight="1" x14ac:dyDescent="0.3">
      <c r="F361" s="108"/>
      <c r="G361" s="108"/>
      <c r="H361" s="108"/>
      <c r="I361" s="109"/>
      <c r="J361" s="110"/>
      <c r="K361" s="109"/>
      <c r="L361" s="110"/>
      <c r="M361" s="109"/>
      <c r="N361" s="110"/>
      <c r="O361" s="107"/>
    </row>
    <row r="362" spans="6:15" ht="14.25" customHeight="1" x14ac:dyDescent="0.3">
      <c r="F362" s="108"/>
      <c r="G362" s="108"/>
      <c r="H362" s="108"/>
      <c r="I362" s="109"/>
      <c r="J362" s="110"/>
      <c r="K362" s="109"/>
      <c r="L362" s="110"/>
      <c r="M362" s="109"/>
      <c r="N362" s="110"/>
      <c r="O362" s="107"/>
    </row>
    <row r="363" spans="6:15" ht="14.25" customHeight="1" x14ac:dyDescent="0.3">
      <c r="F363" s="108"/>
      <c r="G363" s="108"/>
      <c r="H363" s="108"/>
      <c r="I363" s="109"/>
      <c r="J363" s="110"/>
      <c r="K363" s="109"/>
      <c r="L363" s="110"/>
      <c r="M363" s="109"/>
      <c r="N363" s="110"/>
      <c r="O363" s="107"/>
    </row>
    <row r="364" spans="6:15" ht="14.25" customHeight="1" x14ac:dyDescent="0.3">
      <c r="F364" s="108"/>
      <c r="G364" s="108"/>
      <c r="H364" s="108"/>
      <c r="I364" s="109"/>
      <c r="J364" s="110"/>
      <c r="K364" s="109"/>
      <c r="L364" s="110"/>
      <c r="M364" s="109"/>
      <c r="N364" s="110"/>
      <c r="O364" s="107"/>
    </row>
    <row r="365" spans="6:15" ht="14.25" customHeight="1" x14ac:dyDescent="0.3">
      <c r="F365" s="108"/>
      <c r="G365" s="108"/>
      <c r="H365" s="108"/>
      <c r="I365" s="109"/>
      <c r="J365" s="110"/>
      <c r="K365" s="109"/>
      <c r="L365" s="110"/>
      <c r="M365" s="109"/>
      <c r="N365" s="110"/>
      <c r="O365" s="107"/>
    </row>
    <row r="366" spans="6:15" ht="14.25" customHeight="1" x14ac:dyDescent="0.3">
      <c r="F366" s="108"/>
      <c r="G366" s="108"/>
      <c r="H366" s="108"/>
      <c r="I366" s="109"/>
      <c r="J366" s="110"/>
      <c r="K366" s="109"/>
      <c r="L366" s="110"/>
      <c r="M366" s="109"/>
      <c r="N366" s="110"/>
      <c r="O366" s="107"/>
    </row>
    <row r="367" spans="6:15" ht="14.25" customHeight="1" x14ac:dyDescent="0.3">
      <c r="F367" s="108"/>
      <c r="G367" s="108"/>
      <c r="H367" s="108"/>
      <c r="I367" s="109"/>
      <c r="J367" s="110"/>
      <c r="K367" s="109"/>
      <c r="L367" s="110"/>
      <c r="M367" s="109"/>
      <c r="N367" s="110"/>
      <c r="O367" s="107"/>
    </row>
    <row r="368" spans="6:15" ht="14.25" customHeight="1" x14ac:dyDescent="0.3">
      <c r="F368" s="108"/>
      <c r="G368" s="108"/>
      <c r="H368" s="108"/>
      <c r="I368" s="109"/>
      <c r="J368" s="110"/>
      <c r="K368" s="109"/>
      <c r="L368" s="110"/>
      <c r="M368" s="109"/>
      <c r="N368" s="110"/>
      <c r="O368" s="107"/>
    </row>
    <row r="369" spans="6:15" ht="14.25" customHeight="1" x14ac:dyDescent="0.3">
      <c r="F369" s="108"/>
      <c r="G369" s="108"/>
      <c r="H369" s="108"/>
      <c r="I369" s="109"/>
      <c r="J369" s="110"/>
      <c r="K369" s="109"/>
      <c r="L369" s="110"/>
      <c r="M369" s="109"/>
      <c r="N369" s="110"/>
      <c r="O369" s="107"/>
    </row>
    <row r="370" spans="6:15" ht="14.25" customHeight="1" x14ac:dyDescent="0.3">
      <c r="F370" s="108"/>
      <c r="G370" s="108"/>
      <c r="H370" s="108"/>
      <c r="I370" s="109"/>
      <c r="J370" s="110"/>
      <c r="K370" s="109"/>
      <c r="L370" s="110"/>
      <c r="M370" s="109"/>
      <c r="N370" s="110"/>
      <c r="O370" s="107"/>
    </row>
    <row r="371" spans="6:15" ht="14.25" customHeight="1" x14ac:dyDescent="0.3">
      <c r="F371" s="108"/>
      <c r="G371" s="108"/>
      <c r="H371" s="108"/>
      <c r="I371" s="109"/>
      <c r="J371" s="110"/>
      <c r="K371" s="109"/>
      <c r="L371" s="110"/>
      <c r="M371" s="109"/>
      <c r="N371" s="110"/>
      <c r="O371" s="107"/>
    </row>
    <row r="372" spans="6:15" ht="14.25" customHeight="1" x14ac:dyDescent="0.3">
      <c r="F372" s="108"/>
      <c r="G372" s="108"/>
      <c r="H372" s="108"/>
      <c r="I372" s="109"/>
      <c r="J372" s="110"/>
      <c r="K372" s="109"/>
      <c r="L372" s="110"/>
      <c r="M372" s="109"/>
      <c r="N372" s="110"/>
      <c r="O372" s="107"/>
    </row>
    <row r="373" spans="6:15" ht="14.25" customHeight="1" x14ac:dyDescent="0.3">
      <c r="F373" s="108"/>
      <c r="G373" s="108"/>
      <c r="H373" s="108"/>
      <c r="I373" s="109"/>
      <c r="J373" s="110"/>
      <c r="K373" s="109"/>
      <c r="L373" s="110"/>
      <c r="M373" s="109"/>
      <c r="N373" s="110"/>
      <c r="O373" s="107"/>
    </row>
    <row r="374" spans="6:15" ht="14.25" customHeight="1" x14ac:dyDescent="0.3">
      <c r="F374" s="108"/>
      <c r="G374" s="108"/>
      <c r="H374" s="108"/>
      <c r="I374" s="109"/>
      <c r="J374" s="110"/>
      <c r="K374" s="109"/>
      <c r="L374" s="110"/>
      <c r="M374" s="109"/>
      <c r="N374" s="110"/>
      <c r="O374" s="107"/>
    </row>
    <row r="375" spans="6:15" ht="14.25" customHeight="1" x14ac:dyDescent="0.3">
      <c r="F375" s="108"/>
      <c r="G375" s="108"/>
      <c r="H375" s="108"/>
      <c r="I375" s="109"/>
      <c r="J375" s="110"/>
      <c r="K375" s="109"/>
      <c r="L375" s="110"/>
      <c r="M375" s="109"/>
      <c r="N375" s="110"/>
      <c r="O375" s="107"/>
    </row>
    <row r="376" spans="6:15" ht="14.25" customHeight="1" x14ac:dyDescent="0.3">
      <c r="F376" s="108"/>
      <c r="G376" s="108"/>
      <c r="H376" s="108"/>
      <c r="I376" s="109"/>
      <c r="J376" s="110"/>
      <c r="K376" s="109"/>
      <c r="L376" s="110"/>
      <c r="M376" s="109"/>
      <c r="N376" s="110"/>
      <c r="O376" s="107"/>
    </row>
    <row r="377" spans="6:15" ht="14.25" customHeight="1" x14ac:dyDescent="0.3">
      <c r="F377" s="108"/>
      <c r="G377" s="108"/>
      <c r="H377" s="108"/>
      <c r="I377" s="109"/>
      <c r="J377" s="110"/>
      <c r="K377" s="109"/>
      <c r="L377" s="110"/>
      <c r="M377" s="109"/>
      <c r="N377" s="110"/>
      <c r="O377" s="107"/>
    </row>
    <row r="378" spans="6:15" ht="14.25" customHeight="1" x14ac:dyDescent="0.3">
      <c r="F378" s="108"/>
      <c r="G378" s="108"/>
      <c r="H378" s="108"/>
      <c r="I378" s="109"/>
      <c r="J378" s="110"/>
      <c r="K378" s="109"/>
      <c r="L378" s="110"/>
      <c r="M378" s="109"/>
      <c r="N378" s="110"/>
      <c r="O378" s="107"/>
    </row>
    <row r="379" spans="6:15" ht="14.25" customHeight="1" x14ac:dyDescent="0.3">
      <c r="F379" s="108"/>
      <c r="G379" s="108"/>
      <c r="H379" s="108"/>
      <c r="I379" s="109"/>
      <c r="J379" s="110"/>
      <c r="K379" s="109"/>
      <c r="L379" s="110"/>
      <c r="M379" s="109"/>
      <c r="N379" s="110"/>
      <c r="O379" s="107"/>
    </row>
    <row r="380" spans="6:15" ht="14.25" customHeight="1" x14ac:dyDescent="0.3">
      <c r="F380" s="108"/>
      <c r="G380" s="108"/>
      <c r="H380" s="108"/>
      <c r="I380" s="109"/>
      <c r="J380" s="110"/>
      <c r="K380" s="109"/>
      <c r="L380" s="110"/>
      <c r="M380" s="109"/>
      <c r="N380" s="110"/>
      <c r="O380" s="107"/>
    </row>
    <row r="381" spans="6:15" ht="14.25" customHeight="1" x14ac:dyDescent="0.3">
      <c r="F381" s="108"/>
      <c r="G381" s="108"/>
      <c r="H381" s="108"/>
      <c r="I381" s="109"/>
      <c r="J381" s="110"/>
      <c r="K381" s="109"/>
      <c r="L381" s="110"/>
      <c r="M381" s="109"/>
      <c r="N381" s="110"/>
      <c r="O381" s="107"/>
    </row>
    <row r="382" spans="6:15" ht="14.25" customHeight="1" x14ac:dyDescent="0.3">
      <c r="F382" s="108"/>
      <c r="G382" s="108"/>
      <c r="H382" s="108"/>
      <c r="I382" s="109"/>
      <c r="J382" s="110"/>
      <c r="K382" s="109"/>
      <c r="L382" s="110"/>
      <c r="M382" s="109"/>
      <c r="N382" s="110"/>
      <c r="O382" s="107"/>
    </row>
    <row r="383" spans="6:15" ht="14.25" customHeight="1" x14ac:dyDescent="0.3">
      <c r="F383" s="108"/>
      <c r="G383" s="108"/>
      <c r="H383" s="108"/>
      <c r="I383" s="109"/>
      <c r="J383" s="110"/>
      <c r="K383" s="109"/>
      <c r="L383" s="110"/>
      <c r="M383" s="109"/>
      <c r="N383" s="110"/>
      <c r="O383" s="107"/>
    </row>
    <row r="384" spans="6:15" ht="14.25" customHeight="1" x14ac:dyDescent="0.3">
      <c r="F384" s="108"/>
      <c r="G384" s="108"/>
      <c r="H384" s="108"/>
      <c r="I384" s="109"/>
      <c r="J384" s="110"/>
      <c r="K384" s="109"/>
      <c r="L384" s="110"/>
      <c r="M384" s="109"/>
      <c r="N384" s="110"/>
      <c r="O384" s="107"/>
    </row>
    <row r="385" spans="6:15" ht="14.25" customHeight="1" x14ac:dyDescent="0.3">
      <c r="F385" s="108"/>
      <c r="G385" s="108"/>
      <c r="H385" s="108"/>
      <c r="I385" s="109"/>
      <c r="J385" s="110"/>
      <c r="K385" s="109"/>
      <c r="L385" s="110"/>
      <c r="M385" s="109"/>
      <c r="N385" s="110"/>
      <c r="O385" s="107"/>
    </row>
    <row r="386" spans="6:15" ht="14.25" customHeight="1" x14ac:dyDescent="0.3">
      <c r="F386" s="108"/>
      <c r="G386" s="108"/>
      <c r="H386" s="108"/>
      <c r="I386" s="109"/>
      <c r="J386" s="110"/>
      <c r="K386" s="109"/>
      <c r="L386" s="110"/>
      <c r="M386" s="109"/>
      <c r="N386" s="110"/>
      <c r="O386" s="107"/>
    </row>
    <row r="387" spans="6:15" ht="14.25" customHeight="1" x14ac:dyDescent="0.3">
      <c r="F387" s="108"/>
      <c r="G387" s="108"/>
      <c r="H387" s="108"/>
      <c r="I387" s="109"/>
      <c r="J387" s="110"/>
      <c r="K387" s="109"/>
      <c r="L387" s="110"/>
      <c r="M387" s="109"/>
      <c r="N387" s="110"/>
      <c r="O387" s="107"/>
    </row>
    <row r="388" spans="6:15" ht="14.25" customHeight="1" x14ac:dyDescent="0.3">
      <c r="F388" s="108"/>
      <c r="G388" s="108"/>
      <c r="H388" s="108"/>
      <c r="I388" s="109"/>
      <c r="J388" s="110"/>
      <c r="K388" s="109"/>
      <c r="L388" s="110"/>
      <c r="M388" s="109"/>
      <c r="N388" s="110"/>
      <c r="O388" s="107"/>
    </row>
    <row r="389" spans="6:15" ht="14.25" customHeight="1" x14ac:dyDescent="0.3">
      <c r="F389" s="108"/>
      <c r="G389" s="108"/>
      <c r="H389" s="108"/>
      <c r="I389" s="109"/>
      <c r="J389" s="110"/>
      <c r="K389" s="109"/>
      <c r="L389" s="110"/>
      <c r="M389" s="109"/>
      <c r="N389" s="110"/>
      <c r="O389" s="107"/>
    </row>
    <row r="390" spans="6:15" ht="14.25" customHeight="1" x14ac:dyDescent="0.3">
      <c r="F390" s="108"/>
      <c r="G390" s="108"/>
      <c r="H390" s="108"/>
      <c r="I390" s="109"/>
      <c r="J390" s="110"/>
      <c r="K390" s="109"/>
      <c r="L390" s="110"/>
      <c r="M390" s="109"/>
      <c r="N390" s="110"/>
      <c r="O390" s="107"/>
    </row>
    <row r="391" spans="6:15" ht="14.25" customHeight="1" x14ac:dyDescent="0.3">
      <c r="F391" s="108"/>
      <c r="G391" s="108"/>
      <c r="H391" s="108"/>
      <c r="I391" s="109"/>
      <c r="J391" s="110"/>
      <c r="K391" s="109"/>
      <c r="L391" s="110"/>
      <c r="M391" s="109"/>
      <c r="N391" s="110"/>
      <c r="O391" s="107"/>
    </row>
    <row r="392" spans="6:15" ht="14.25" customHeight="1" x14ac:dyDescent="0.3">
      <c r="F392" s="108"/>
      <c r="G392" s="108"/>
      <c r="H392" s="108"/>
      <c r="I392" s="109"/>
      <c r="J392" s="110"/>
      <c r="K392" s="109"/>
      <c r="L392" s="110"/>
      <c r="M392" s="109"/>
      <c r="N392" s="110"/>
      <c r="O392" s="107"/>
    </row>
    <row r="393" spans="6:15" ht="14.25" customHeight="1" x14ac:dyDescent="0.3">
      <c r="F393" s="108"/>
      <c r="G393" s="108"/>
      <c r="H393" s="108"/>
      <c r="I393" s="109"/>
      <c r="J393" s="110"/>
      <c r="K393" s="109"/>
      <c r="L393" s="110"/>
      <c r="M393" s="109"/>
      <c r="N393" s="110"/>
      <c r="O393" s="107"/>
    </row>
    <row r="394" spans="6:15" ht="14.25" customHeight="1" x14ac:dyDescent="0.3">
      <c r="F394" s="108"/>
      <c r="G394" s="108"/>
      <c r="H394" s="108"/>
      <c r="I394" s="109"/>
      <c r="J394" s="110"/>
      <c r="K394" s="109"/>
      <c r="L394" s="110"/>
      <c r="M394" s="109"/>
      <c r="N394" s="110"/>
      <c r="O394" s="107"/>
    </row>
    <row r="395" spans="6:15" ht="14.25" customHeight="1" x14ac:dyDescent="0.3">
      <c r="F395" s="108"/>
      <c r="G395" s="108"/>
      <c r="H395" s="108"/>
      <c r="I395" s="109"/>
      <c r="J395" s="110"/>
      <c r="K395" s="109"/>
      <c r="L395" s="110"/>
      <c r="M395" s="109"/>
      <c r="N395" s="110"/>
      <c r="O395" s="107"/>
    </row>
    <row r="396" spans="6:15" ht="14.25" customHeight="1" x14ac:dyDescent="0.3">
      <c r="F396" s="108"/>
      <c r="G396" s="108"/>
      <c r="H396" s="108"/>
      <c r="I396" s="109"/>
      <c r="J396" s="110"/>
      <c r="K396" s="109"/>
      <c r="L396" s="110"/>
      <c r="M396" s="109"/>
      <c r="N396" s="110"/>
      <c r="O396" s="107"/>
    </row>
    <row r="397" spans="6:15" ht="14.25" customHeight="1" x14ac:dyDescent="0.3">
      <c r="F397" s="108"/>
      <c r="G397" s="108"/>
      <c r="H397" s="108"/>
      <c r="I397" s="109"/>
      <c r="J397" s="110"/>
      <c r="K397" s="109"/>
      <c r="L397" s="110"/>
      <c r="M397" s="109"/>
      <c r="N397" s="110"/>
      <c r="O397" s="107"/>
    </row>
    <row r="398" spans="6:15" ht="14.25" customHeight="1" x14ac:dyDescent="0.3">
      <c r="F398" s="108"/>
      <c r="G398" s="108"/>
      <c r="H398" s="108"/>
      <c r="I398" s="109"/>
      <c r="J398" s="110"/>
      <c r="K398" s="109"/>
      <c r="L398" s="110"/>
      <c r="M398" s="109"/>
      <c r="N398" s="110"/>
      <c r="O398" s="107"/>
    </row>
    <row r="399" spans="6:15" ht="14.25" customHeight="1" x14ac:dyDescent="0.3">
      <c r="F399" s="108"/>
      <c r="G399" s="108"/>
      <c r="H399" s="108"/>
      <c r="I399" s="109"/>
      <c r="J399" s="110"/>
      <c r="K399" s="109"/>
      <c r="L399" s="110"/>
      <c r="M399" s="109"/>
      <c r="N399" s="110"/>
      <c r="O399" s="107"/>
    </row>
    <row r="400" spans="6:15" ht="14.25" customHeight="1" x14ac:dyDescent="0.3">
      <c r="F400" s="108"/>
      <c r="G400" s="108"/>
      <c r="H400" s="108"/>
      <c r="I400" s="109"/>
      <c r="J400" s="110"/>
      <c r="K400" s="109"/>
      <c r="L400" s="110"/>
      <c r="M400" s="109"/>
      <c r="N400" s="110"/>
      <c r="O400" s="107"/>
    </row>
    <row r="401" spans="6:15" ht="14.25" customHeight="1" x14ac:dyDescent="0.3">
      <c r="F401" s="108"/>
      <c r="G401" s="108"/>
      <c r="H401" s="108"/>
      <c r="I401" s="109"/>
      <c r="J401" s="110"/>
      <c r="K401" s="109"/>
      <c r="L401" s="110"/>
      <c r="M401" s="109"/>
      <c r="N401" s="110"/>
      <c r="O401" s="107"/>
    </row>
    <row r="402" spans="6:15" ht="14.25" customHeight="1" x14ac:dyDescent="0.3">
      <c r="F402" s="108"/>
      <c r="G402" s="108"/>
      <c r="H402" s="108"/>
      <c r="I402" s="109"/>
      <c r="J402" s="110"/>
      <c r="K402" s="109"/>
      <c r="L402" s="110"/>
      <c r="M402" s="109"/>
      <c r="N402" s="110"/>
      <c r="O402" s="107"/>
    </row>
    <row r="403" spans="6:15" ht="14.25" customHeight="1" x14ac:dyDescent="0.3">
      <c r="F403" s="108"/>
      <c r="G403" s="108"/>
      <c r="H403" s="108"/>
      <c r="I403" s="109"/>
      <c r="J403" s="110"/>
      <c r="K403" s="109"/>
      <c r="L403" s="110"/>
      <c r="M403" s="109"/>
      <c r="N403" s="110"/>
      <c r="O403" s="107"/>
    </row>
    <row r="404" spans="6:15" ht="14.25" customHeight="1" x14ac:dyDescent="0.3">
      <c r="F404" s="108"/>
      <c r="G404" s="108"/>
      <c r="H404" s="108"/>
      <c r="I404" s="109"/>
      <c r="J404" s="110"/>
      <c r="K404" s="109"/>
      <c r="L404" s="110"/>
      <c r="M404" s="109"/>
      <c r="N404" s="110"/>
      <c r="O404" s="107"/>
    </row>
    <row r="405" spans="6:15" ht="14.25" customHeight="1" x14ac:dyDescent="0.3">
      <c r="F405" s="108"/>
      <c r="G405" s="108"/>
      <c r="H405" s="108"/>
      <c r="I405" s="109"/>
      <c r="J405" s="110"/>
      <c r="K405" s="109"/>
      <c r="L405" s="110"/>
      <c r="M405" s="109"/>
      <c r="N405" s="110"/>
      <c r="O405" s="107"/>
    </row>
    <row r="406" spans="6:15" ht="14.25" customHeight="1" x14ac:dyDescent="0.3">
      <c r="F406" s="108"/>
      <c r="G406" s="108"/>
      <c r="H406" s="108"/>
      <c r="I406" s="109"/>
      <c r="J406" s="110"/>
      <c r="K406" s="109"/>
      <c r="L406" s="110"/>
      <c r="M406" s="109"/>
      <c r="N406" s="110"/>
      <c r="O406" s="107"/>
    </row>
    <row r="407" spans="6:15" ht="14.25" customHeight="1" x14ac:dyDescent="0.3">
      <c r="F407" s="108"/>
      <c r="G407" s="108"/>
      <c r="H407" s="108"/>
      <c r="I407" s="109"/>
      <c r="J407" s="110"/>
      <c r="K407" s="109"/>
      <c r="L407" s="110"/>
      <c r="M407" s="109"/>
      <c r="N407" s="110"/>
      <c r="O407" s="107"/>
    </row>
    <row r="408" spans="6:15" ht="14.25" customHeight="1" x14ac:dyDescent="0.3">
      <c r="F408" s="108"/>
      <c r="G408" s="108"/>
      <c r="H408" s="108"/>
      <c r="I408" s="109"/>
      <c r="J408" s="110"/>
      <c r="K408" s="109"/>
      <c r="L408" s="110"/>
      <c r="M408" s="109"/>
      <c r="N408" s="110"/>
      <c r="O408" s="107"/>
    </row>
    <row r="409" spans="6:15" ht="14.25" customHeight="1" x14ac:dyDescent="0.3">
      <c r="F409" s="108"/>
      <c r="G409" s="108"/>
      <c r="H409" s="108"/>
      <c r="I409" s="109"/>
      <c r="J409" s="110"/>
      <c r="K409" s="109"/>
      <c r="L409" s="110"/>
      <c r="M409" s="109"/>
      <c r="N409" s="110"/>
      <c r="O409" s="107"/>
    </row>
    <row r="410" spans="6:15" ht="14.25" customHeight="1" x14ac:dyDescent="0.3">
      <c r="F410" s="108"/>
      <c r="G410" s="108"/>
      <c r="H410" s="108"/>
      <c r="I410" s="109"/>
      <c r="J410" s="110"/>
      <c r="K410" s="109"/>
      <c r="L410" s="110"/>
      <c r="M410" s="109"/>
      <c r="N410" s="110"/>
      <c r="O410" s="107"/>
    </row>
    <row r="411" spans="6:15" ht="14.25" customHeight="1" x14ac:dyDescent="0.3">
      <c r="F411" s="108"/>
      <c r="G411" s="108"/>
      <c r="H411" s="108"/>
      <c r="I411" s="109"/>
      <c r="J411" s="110"/>
      <c r="K411" s="109"/>
      <c r="L411" s="110"/>
      <c r="M411" s="109"/>
      <c r="N411" s="110"/>
      <c r="O411" s="107"/>
    </row>
    <row r="412" spans="6:15" ht="14.25" customHeight="1" x14ac:dyDescent="0.3">
      <c r="F412" s="108"/>
      <c r="G412" s="108"/>
      <c r="H412" s="108"/>
      <c r="I412" s="109"/>
      <c r="J412" s="110"/>
      <c r="K412" s="109"/>
      <c r="L412" s="110"/>
      <c r="M412" s="109"/>
      <c r="N412" s="110"/>
      <c r="O412" s="107"/>
    </row>
    <row r="413" spans="6:15" ht="14.25" customHeight="1" x14ac:dyDescent="0.3">
      <c r="F413" s="108"/>
      <c r="G413" s="108"/>
      <c r="H413" s="108"/>
      <c r="I413" s="109"/>
      <c r="J413" s="110"/>
      <c r="K413" s="109"/>
      <c r="L413" s="110"/>
      <c r="M413" s="109"/>
      <c r="N413" s="110"/>
      <c r="O413" s="107"/>
    </row>
    <row r="414" spans="6:15" ht="14.25" customHeight="1" x14ac:dyDescent="0.3">
      <c r="F414" s="108"/>
      <c r="G414" s="108"/>
      <c r="H414" s="108"/>
      <c r="I414" s="109"/>
      <c r="J414" s="110"/>
      <c r="K414" s="109"/>
      <c r="L414" s="110"/>
      <c r="M414" s="109"/>
      <c r="N414" s="110"/>
      <c r="O414" s="107"/>
    </row>
    <row r="415" spans="6:15" ht="14.25" customHeight="1" x14ac:dyDescent="0.3">
      <c r="F415" s="108"/>
      <c r="G415" s="108"/>
      <c r="H415" s="108"/>
      <c r="I415" s="109"/>
      <c r="J415" s="110"/>
      <c r="K415" s="109"/>
      <c r="L415" s="110"/>
      <c r="M415" s="109"/>
      <c r="N415" s="110"/>
      <c r="O415" s="107"/>
    </row>
    <row r="416" spans="6:15" ht="14.25" customHeight="1" x14ac:dyDescent="0.3">
      <c r="F416" s="108"/>
      <c r="G416" s="108"/>
      <c r="H416" s="108"/>
      <c r="I416" s="109"/>
      <c r="J416" s="110"/>
      <c r="K416" s="109"/>
      <c r="L416" s="110"/>
      <c r="M416" s="109"/>
      <c r="N416" s="110"/>
      <c r="O416" s="107"/>
    </row>
    <row r="417" spans="6:15" ht="14.25" customHeight="1" x14ac:dyDescent="0.3">
      <c r="F417" s="108"/>
      <c r="G417" s="108"/>
      <c r="H417" s="108"/>
      <c r="I417" s="109"/>
      <c r="J417" s="110"/>
      <c r="K417" s="109"/>
      <c r="L417" s="110"/>
      <c r="M417" s="109"/>
      <c r="N417" s="110"/>
      <c r="O417" s="107"/>
    </row>
    <row r="418" spans="6:15" ht="14.25" customHeight="1" x14ac:dyDescent="0.3">
      <c r="F418" s="108"/>
      <c r="G418" s="108"/>
      <c r="H418" s="108"/>
      <c r="I418" s="109"/>
      <c r="J418" s="110"/>
      <c r="K418" s="109"/>
      <c r="L418" s="110"/>
      <c r="M418" s="109"/>
      <c r="N418" s="110"/>
      <c r="O418" s="107"/>
    </row>
    <row r="419" spans="6:15" ht="14.25" customHeight="1" x14ac:dyDescent="0.3">
      <c r="F419" s="108"/>
      <c r="G419" s="108"/>
      <c r="H419" s="108"/>
      <c r="I419" s="109"/>
      <c r="J419" s="110"/>
      <c r="K419" s="109"/>
      <c r="L419" s="110"/>
      <c r="M419" s="109"/>
      <c r="N419" s="110"/>
      <c r="O419" s="107"/>
    </row>
    <row r="420" spans="6:15" ht="14.25" customHeight="1" x14ac:dyDescent="0.3">
      <c r="F420" s="108"/>
      <c r="G420" s="108"/>
      <c r="H420" s="108"/>
      <c r="I420" s="109"/>
      <c r="J420" s="110"/>
      <c r="K420" s="109"/>
      <c r="L420" s="110"/>
      <c r="M420" s="109"/>
      <c r="N420" s="110"/>
      <c r="O420" s="107"/>
    </row>
    <row r="421" spans="6:15" ht="14.25" customHeight="1" x14ac:dyDescent="0.3">
      <c r="F421" s="108"/>
      <c r="G421" s="108"/>
      <c r="H421" s="108"/>
      <c r="I421" s="109"/>
      <c r="J421" s="110"/>
      <c r="K421" s="109"/>
      <c r="L421" s="110"/>
      <c r="M421" s="109"/>
      <c r="N421" s="110"/>
      <c r="O421" s="107"/>
    </row>
    <row r="422" spans="6:15" ht="14.25" customHeight="1" x14ac:dyDescent="0.3">
      <c r="F422" s="108"/>
      <c r="G422" s="108"/>
      <c r="H422" s="108"/>
      <c r="I422" s="109"/>
      <c r="J422" s="110"/>
      <c r="K422" s="109"/>
      <c r="L422" s="110"/>
      <c r="M422" s="109"/>
      <c r="N422" s="110"/>
      <c r="O422" s="107"/>
    </row>
    <row r="423" spans="6:15" ht="14.25" customHeight="1" x14ac:dyDescent="0.3">
      <c r="F423" s="108"/>
      <c r="G423" s="108"/>
      <c r="H423" s="108"/>
      <c r="I423" s="109"/>
      <c r="J423" s="110"/>
      <c r="K423" s="109"/>
      <c r="L423" s="110"/>
      <c r="M423" s="109"/>
      <c r="N423" s="110"/>
      <c r="O423" s="107"/>
    </row>
    <row r="424" spans="6:15" ht="14.25" customHeight="1" x14ac:dyDescent="0.3">
      <c r="F424" s="108"/>
      <c r="G424" s="108"/>
      <c r="H424" s="108"/>
      <c r="I424" s="109"/>
      <c r="J424" s="110"/>
      <c r="K424" s="109"/>
      <c r="L424" s="110"/>
      <c r="M424" s="109"/>
      <c r="N424" s="110"/>
      <c r="O424" s="107"/>
    </row>
    <row r="425" spans="6:15" ht="14.25" customHeight="1" x14ac:dyDescent="0.3">
      <c r="F425" s="108"/>
      <c r="G425" s="108"/>
      <c r="H425" s="108"/>
      <c r="I425" s="109"/>
      <c r="J425" s="110"/>
      <c r="K425" s="109"/>
      <c r="L425" s="110"/>
      <c r="M425" s="109"/>
      <c r="N425" s="110"/>
      <c r="O425" s="107"/>
    </row>
    <row r="426" spans="6:15" ht="14.25" customHeight="1" x14ac:dyDescent="0.3">
      <c r="F426" s="108"/>
      <c r="G426" s="108"/>
      <c r="H426" s="108"/>
      <c r="I426" s="109"/>
      <c r="J426" s="110"/>
      <c r="K426" s="109"/>
      <c r="L426" s="110"/>
      <c r="M426" s="109"/>
      <c r="N426" s="110"/>
      <c r="O426" s="107"/>
    </row>
    <row r="427" spans="6:15" ht="14.25" customHeight="1" x14ac:dyDescent="0.3">
      <c r="F427" s="108"/>
      <c r="G427" s="108"/>
      <c r="H427" s="108"/>
      <c r="I427" s="109"/>
      <c r="J427" s="110"/>
      <c r="K427" s="109"/>
      <c r="L427" s="110"/>
      <c r="M427" s="109"/>
      <c r="N427" s="110"/>
      <c r="O427" s="107"/>
    </row>
    <row r="428" spans="6:15" ht="14.25" customHeight="1" x14ac:dyDescent="0.3">
      <c r="F428" s="108"/>
      <c r="G428" s="108"/>
      <c r="H428" s="108"/>
      <c r="I428" s="109"/>
      <c r="J428" s="110"/>
      <c r="K428" s="109"/>
      <c r="L428" s="110"/>
      <c r="M428" s="109"/>
      <c r="N428" s="110"/>
      <c r="O428" s="107"/>
    </row>
    <row r="429" spans="6:15" ht="14.25" customHeight="1" x14ac:dyDescent="0.3">
      <c r="F429" s="108"/>
      <c r="G429" s="108"/>
      <c r="H429" s="108"/>
      <c r="I429" s="109"/>
      <c r="J429" s="110"/>
      <c r="K429" s="109"/>
      <c r="L429" s="110"/>
      <c r="M429" s="109"/>
      <c r="N429" s="110"/>
      <c r="O429" s="107"/>
    </row>
    <row r="430" spans="6:15" ht="14.25" customHeight="1" x14ac:dyDescent="0.3">
      <c r="F430" s="108"/>
      <c r="G430" s="108"/>
      <c r="H430" s="108"/>
      <c r="I430" s="109"/>
      <c r="J430" s="110"/>
      <c r="K430" s="109"/>
      <c r="L430" s="110"/>
      <c r="M430" s="109"/>
      <c r="N430" s="110"/>
      <c r="O430" s="107"/>
    </row>
    <row r="431" spans="6:15" ht="14.25" customHeight="1" x14ac:dyDescent="0.3">
      <c r="F431" s="108"/>
      <c r="G431" s="108"/>
      <c r="H431" s="108"/>
      <c r="I431" s="109"/>
      <c r="J431" s="110"/>
      <c r="K431" s="109"/>
      <c r="L431" s="110"/>
      <c r="M431" s="109"/>
      <c r="N431" s="110"/>
      <c r="O431" s="107"/>
    </row>
    <row r="432" spans="6:15" ht="14.25" customHeight="1" x14ac:dyDescent="0.3">
      <c r="F432" s="108"/>
      <c r="G432" s="108"/>
      <c r="H432" s="108"/>
      <c r="I432" s="109"/>
      <c r="J432" s="110"/>
      <c r="K432" s="109"/>
      <c r="L432" s="110"/>
      <c r="M432" s="109"/>
      <c r="N432" s="110"/>
      <c r="O432" s="107"/>
    </row>
    <row r="433" spans="6:15" ht="14.25" customHeight="1" x14ac:dyDescent="0.3">
      <c r="F433" s="108"/>
      <c r="G433" s="108"/>
      <c r="H433" s="108"/>
      <c r="I433" s="109"/>
      <c r="J433" s="110"/>
      <c r="K433" s="109"/>
      <c r="L433" s="110"/>
      <c r="M433" s="109"/>
      <c r="N433" s="110"/>
      <c r="O433" s="107"/>
    </row>
    <row r="434" spans="6:15" ht="14.25" customHeight="1" x14ac:dyDescent="0.3">
      <c r="F434" s="108"/>
      <c r="G434" s="108"/>
      <c r="H434" s="108"/>
      <c r="I434" s="109"/>
      <c r="J434" s="110"/>
      <c r="K434" s="109"/>
      <c r="L434" s="110"/>
      <c r="M434" s="109"/>
      <c r="N434" s="110"/>
      <c r="O434" s="107"/>
    </row>
    <row r="435" spans="6:15" ht="14.25" customHeight="1" x14ac:dyDescent="0.3">
      <c r="F435" s="108"/>
      <c r="G435" s="108"/>
      <c r="H435" s="108"/>
      <c r="I435" s="109"/>
      <c r="J435" s="110"/>
      <c r="K435" s="109"/>
      <c r="L435" s="110"/>
      <c r="M435" s="109"/>
      <c r="N435" s="110"/>
      <c r="O435" s="107"/>
    </row>
    <row r="436" spans="6:15" ht="14.25" customHeight="1" x14ac:dyDescent="0.3">
      <c r="F436" s="108"/>
      <c r="G436" s="108"/>
      <c r="H436" s="108"/>
      <c r="I436" s="109"/>
      <c r="J436" s="110"/>
      <c r="K436" s="109"/>
      <c r="L436" s="110"/>
      <c r="M436" s="109"/>
      <c r="N436" s="110"/>
      <c r="O436" s="107"/>
    </row>
    <row r="437" spans="6:15" ht="14.25" customHeight="1" x14ac:dyDescent="0.3">
      <c r="F437" s="108"/>
      <c r="G437" s="108"/>
      <c r="H437" s="108"/>
      <c r="I437" s="109"/>
      <c r="J437" s="110"/>
      <c r="K437" s="109"/>
      <c r="L437" s="110"/>
      <c r="M437" s="109"/>
      <c r="N437" s="110"/>
      <c r="O437" s="107"/>
    </row>
    <row r="438" spans="6:15" ht="14.25" customHeight="1" x14ac:dyDescent="0.3">
      <c r="F438" s="108"/>
      <c r="G438" s="108"/>
      <c r="H438" s="108"/>
      <c r="I438" s="109"/>
      <c r="J438" s="110"/>
      <c r="K438" s="109"/>
      <c r="L438" s="110"/>
      <c r="M438" s="109"/>
      <c r="N438" s="110"/>
      <c r="O438" s="107"/>
    </row>
    <row r="439" spans="6:15" ht="14.25" customHeight="1" x14ac:dyDescent="0.3">
      <c r="F439" s="108"/>
      <c r="G439" s="108"/>
      <c r="H439" s="108"/>
      <c r="I439" s="109"/>
      <c r="J439" s="110"/>
      <c r="K439" s="109"/>
      <c r="L439" s="110"/>
      <c r="M439" s="109"/>
      <c r="N439" s="110"/>
      <c r="O439" s="107"/>
    </row>
    <row r="440" spans="6:15" ht="14.25" customHeight="1" x14ac:dyDescent="0.3">
      <c r="F440" s="108"/>
      <c r="G440" s="108"/>
      <c r="H440" s="108"/>
      <c r="I440" s="109"/>
      <c r="J440" s="110"/>
      <c r="K440" s="109"/>
      <c r="L440" s="110"/>
      <c r="M440" s="109"/>
      <c r="N440" s="110"/>
      <c r="O440" s="107"/>
    </row>
    <row r="441" spans="6:15" ht="14.25" customHeight="1" x14ac:dyDescent="0.3">
      <c r="F441" s="108"/>
      <c r="G441" s="108"/>
      <c r="H441" s="108"/>
      <c r="I441" s="109"/>
      <c r="J441" s="110"/>
      <c r="K441" s="109"/>
      <c r="L441" s="110"/>
      <c r="M441" s="109"/>
      <c r="N441" s="110"/>
      <c r="O441" s="107"/>
    </row>
    <row r="442" spans="6:15" ht="14.25" customHeight="1" x14ac:dyDescent="0.3">
      <c r="F442" s="108"/>
      <c r="G442" s="108"/>
      <c r="H442" s="108"/>
      <c r="I442" s="109"/>
      <c r="J442" s="110"/>
      <c r="K442" s="109"/>
      <c r="L442" s="110"/>
      <c r="M442" s="109"/>
      <c r="N442" s="110"/>
      <c r="O442" s="107"/>
    </row>
    <row r="443" spans="6:15" ht="14.25" customHeight="1" x14ac:dyDescent="0.3">
      <c r="F443" s="108"/>
      <c r="G443" s="108"/>
      <c r="H443" s="108"/>
      <c r="I443" s="109"/>
      <c r="J443" s="110"/>
      <c r="K443" s="109"/>
      <c r="L443" s="110"/>
      <c r="M443" s="109"/>
      <c r="N443" s="110"/>
      <c r="O443" s="107"/>
    </row>
    <row r="444" spans="6:15" ht="14.25" customHeight="1" x14ac:dyDescent="0.3">
      <c r="F444" s="108"/>
      <c r="G444" s="108"/>
      <c r="H444" s="108"/>
      <c r="I444" s="109"/>
      <c r="J444" s="110"/>
      <c r="K444" s="109"/>
      <c r="L444" s="110"/>
      <c r="M444" s="109"/>
      <c r="N444" s="110"/>
      <c r="O444" s="107"/>
    </row>
    <row r="445" spans="6:15" ht="14.25" customHeight="1" x14ac:dyDescent="0.3">
      <c r="F445" s="108"/>
      <c r="G445" s="108"/>
      <c r="H445" s="108"/>
      <c r="I445" s="109"/>
      <c r="J445" s="110"/>
      <c r="K445" s="109"/>
      <c r="L445" s="110"/>
      <c r="M445" s="109"/>
      <c r="N445" s="110"/>
      <c r="O445" s="107"/>
    </row>
    <row r="446" spans="6:15" ht="14.25" customHeight="1" x14ac:dyDescent="0.3">
      <c r="F446" s="108"/>
      <c r="G446" s="108"/>
      <c r="H446" s="108"/>
      <c r="I446" s="109"/>
      <c r="J446" s="110"/>
      <c r="K446" s="109"/>
      <c r="L446" s="110"/>
      <c r="M446" s="109"/>
      <c r="N446" s="110"/>
      <c r="O446" s="107"/>
    </row>
    <row r="447" spans="6:15" ht="14.25" customHeight="1" x14ac:dyDescent="0.3">
      <c r="F447" s="108"/>
      <c r="G447" s="108"/>
      <c r="H447" s="108"/>
      <c r="I447" s="109"/>
      <c r="J447" s="110"/>
      <c r="K447" s="109"/>
      <c r="L447" s="110"/>
      <c r="M447" s="109"/>
      <c r="N447" s="110"/>
      <c r="O447" s="107"/>
    </row>
    <row r="448" spans="6:15" ht="14.25" customHeight="1" x14ac:dyDescent="0.3">
      <c r="F448" s="108"/>
      <c r="G448" s="108"/>
      <c r="H448" s="108"/>
      <c r="I448" s="109"/>
      <c r="J448" s="110"/>
      <c r="K448" s="109"/>
      <c r="L448" s="110"/>
      <c r="M448" s="109"/>
      <c r="N448" s="110"/>
      <c r="O448" s="107"/>
    </row>
    <row r="449" spans="6:15" ht="14.25" customHeight="1" x14ac:dyDescent="0.3">
      <c r="F449" s="108"/>
      <c r="G449" s="108"/>
      <c r="H449" s="108"/>
      <c r="I449" s="109"/>
      <c r="J449" s="110"/>
      <c r="K449" s="109"/>
      <c r="L449" s="110"/>
      <c r="M449" s="109"/>
      <c r="N449" s="110"/>
      <c r="O449" s="107"/>
    </row>
    <row r="450" spans="6:15" ht="14.25" customHeight="1" x14ac:dyDescent="0.3">
      <c r="F450" s="108"/>
      <c r="G450" s="108"/>
      <c r="H450" s="108"/>
      <c r="I450" s="109"/>
      <c r="J450" s="110"/>
      <c r="K450" s="109"/>
      <c r="L450" s="110"/>
      <c r="M450" s="109"/>
      <c r="N450" s="110"/>
      <c r="O450" s="107"/>
    </row>
    <row r="451" spans="6:15" ht="14.25" customHeight="1" x14ac:dyDescent="0.3">
      <c r="F451" s="108"/>
      <c r="G451" s="108"/>
      <c r="H451" s="108"/>
      <c r="I451" s="109"/>
      <c r="J451" s="110"/>
      <c r="K451" s="109"/>
      <c r="L451" s="110"/>
      <c r="M451" s="109"/>
      <c r="N451" s="110"/>
      <c r="O451" s="107"/>
    </row>
    <row r="452" spans="6:15" ht="14.25" customHeight="1" x14ac:dyDescent="0.3">
      <c r="F452" s="108"/>
      <c r="G452" s="108"/>
      <c r="H452" s="108"/>
      <c r="I452" s="109"/>
      <c r="J452" s="110"/>
      <c r="K452" s="109"/>
      <c r="L452" s="110"/>
      <c r="M452" s="109"/>
      <c r="N452" s="110"/>
      <c r="O452" s="107"/>
    </row>
    <row r="453" spans="6:15" ht="14.25" customHeight="1" x14ac:dyDescent="0.3">
      <c r="F453" s="108"/>
      <c r="G453" s="108"/>
      <c r="H453" s="108"/>
      <c r="I453" s="109"/>
      <c r="J453" s="110"/>
      <c r="K453" s="109"/>
      <c r="L453" s="110"/>
      <c r="M453" s="109"/>
      <c r="N453" s="110"/>
      <c r="O453" s="107"/>
    </row>
    <row r="454" spans="6:15" ht="14.25" customHeight="1" x14ac:dyDescent="0.3">
      <c r="F454" s="108"/>
      <c r="G454" s="108"/>
      <c r="H454" s="108"/>
      <c r="I454" s="109"/>
      <c r="J454" s="110"/>
      <c r="K454" s="109"/>
      <c r="L454" s="110"/>
      <c r="M454" s="109"/>
      <c r="N454" s="110"/>
      <c r="O454" s="107"/>
    </row>
    <row r="455" spans="6:15" ht="14.25" customHeight="1" x14ac:dyDescent="0.3">
      <c r="F455" s="108"/>
      <c r="G455" s="108"/>
      <c r="H455" s="108"/>
      <c r="I455" s="109"/>
      <c r="J455" s="110"/>
      <c r="K455" s="109"/>
      <c r="L455" s="110"/>
      <c r="M455" s="109"/>
      <c r="N455" s="110"/>
      <c r="O455" s="107"/>
    </row>
    <row r="456" spans="6:15" ht="14.25" customHeight="1" x14ac:dyDescent="0.3">
      <c r="F456" s="108"/>
      <c r="G456" s="108"/>
      <c r="H456" s="108"/>
      <c r="I456" s="109"/>
      <c r="J456" s="110"/>
      <c r="K456" s="109"/>
      <c r="L456" s="110"/>
      <c r="M456" s="109"/>
      <c r="N456" s="110"/>
      <c r="O456" s="107"/>
    </row>
    <row r="457" spans="6:15" ht="14.25" customHeight="1" x14ac:dyDescent="0.3">
      <c r="F457" s="108"/>
      <c r="G457" s="108"/>
      <c r="H457" s="108"/>
      <c r="I457" s="109"/>
      <c r="J457" s="110"/>
      <c r="K457" s="109"/>
      <c r="L457" s="110"/>
      <c r="M457" s="109"/>
      <c r="N457" s="110"/>
      <c r="O457" s="107"/>
    </row>
    <row r="458" spans="6:15" ht="14.25" customHeight="1" x14ac:dyDescent="0.3">
      <c r="F458" s="108"/>
      <c r="G458" s="108"/>
      <c r="H458" s="108"/>
      <c r="I458" s="109"/>
      <c r="J458" s="110"/>
      <c r="K458" s="109"/>
      <c r="L458" s="110"/>
      <c r="M458" s="109"/>
      <c r="N458" s="110"/>
      <c r="O458" s="107"/>
    </row>
    <row r="459" spans="6:15" ht="14.25" customHeight="1" x14ac:dyDescent="0.3">
      <c r="F459" s="108"/>
      <c r="G459" s="108"/>
      <c r="H459" s="108"/>
      <c r="I459" s="109"/>
      <c r="J459" s="110"/>
      <c r="K459" s="109"/>
      <c r="L459" s="110"/>
      <c r="M459" s="109"/>
      <c r="N459" s="110"/>
      <c r="O459" s="107"/>
    </row>
    <row r="460" spans="6:15" ht="14.25" customHeight="1" x14ac:dyDescent="0.3">
      <c r="F460" s="108"/>
      <c r="G460" s="108"/>
      <c r="H460" s="108"/>
      <c r="I460" s="109"/>
      <c r="J460" s="110"/>
      <c r="K460" s="109"/>
      <c r="L460" s="110"/>
      <c r="M460" s="109"/>
      <c r="N460" s="110"/>
      <c r="O460" s="107"/>
    </row>
    <row r="461" spans="6:15" ht="14.25" customHeight="1" x14ac:dyDescent="0.3">
      <c r="F461" s="108"/>
      <c r="G461" s="108"/>
      <c r="H461" s="108"/>
      <c r="I461" s="109"/>
      <c r="J461" s="110"/>
      <c r="K461" s="109"/>
      <c r="L461" s="110"/>
      <c r="M461" s="109"/>
      <c r="N461" s="110"/>
      <c r="O461" s="107"/>
    </row>
    <row r="462" spans="6:15" ht="14.25" customHeight="1" x14ac:dyDescent="0.3">
      <c r="F462" s="108"/>
      <c r="G462" s="108"/>
      <c r="H462" s="108"/>
      <c r="I462" s="109"/>
      <c r="J462" s="110"/>
      <c r="K462" s="109"/>
      <c r="L462" s="110"/>
      <c r="M462" s="109"/>
      <c r="N462" s="110"/>
      <c r="O462" s="107"/>
    </row>
    <row r="463" spans="6:15" ht="14.25" customHeight="1" x14ac:dyDescent="0.3">
      <c r="F463" s="108"/>
      <c r="G463" s="108"/>
      <c r="H463" s="108"/>
      <c r="I463" s="109"/>
      <c r="J463" s="110"/>
      <c r="K463" s="109"/>
      <c r="L463" s="110"/>
      <c r="M463" s="109"/>
      <c r="N463" s="110"/>
      <c r="O463" s="107"/>
    </row>
    <row r="464" spans="6:15" ht="14.25" customHeight="1" x14ac:dyDescent="0.3">
      <c r="F464" s="108"/>
      <c r="G464" s="108"/>
      <c r="H464" s="108"/>
      <c r="I464" s="109"/>
      <c r="J464" s="110"/>
      <c r="K464" s="109"/>
      <c r="L464" s="110"/>
      <c r="M464" s="109"/>
      <c r="N464" s="110"/>
      <c r="O464" s="107"/>
    </row>
    <row r="465" spans="6:15" ht="14.25" customHeight="1" x14ac:dyDescent="0.3">
      <c r="F465" s="108"/>
      <c r="G465" s="108"/>
      <c r="H465" s="108"/>
      <c r="I465" s="109"/>
      <c r="J465" s="110"/>
      <c r="K465" s="109"/>
      <c r="L465" s="110"/>
      <c r="M465" s="109"/>
      <c r="N465" s="110"/>
      <c r="O465" s="107"/>
    </row>
    <row r="466" spans="6:15" ht="14.25" customHeight="1" x14ac:dyDescent="0.3">
      <c r="F466" s="108"/>
      <c r="G466" s="108"/>
      <c r="H466" s="108"/>
      <c r="I466" s="109"/>
      <c r="J466" s="110"/>
      <c r="K466" s="109"/>
      <c r="L466" s="110"/>
      <c r="M466" s="109"/>
      <c r="N466" s="110"/>
      <c r="O466" s="107"/>
    </row>
    <row r="467" spans="6:15" ht="14.25" customHeight="1" x14ac:dyDescent="0.3">
      <c r="F467" s="108"/>
      <c r="G467" s="108"/>
      <c r="H467" s="108"/>
      <c r="I467" s="109"/>
      <c r="J467" s="110"/>
      <c r="K467" s="109"/>
      <c r="L467" s="110"/>
      <c r="M467" s="109"/>
      <c r="N467" s="110"/>
      <c r="O467" s="107"/>
    </row>
    <row r="468" spans="6:15" ht="14.25" customHeight="1" x14ac:dyDescent="0.3">
      <c r="F468" s="108"/>
      <c r="G468" s="108"/>
      <c r="H468" s="108"/>
      <c r="I468" s="109"/>
      <c r="J468" s="110"/>
      <c r="K468" s="109"/>
      <c r="L468" s="110"/>
      <c r="M468" s="109"/>
      <c r="N468" s="110"/>
      <c r="O468" s="107"/>
    </row>
    <row r="469" spans="6:15" ht="14.25" customHeight="1" x14ac:dyDescent="0.3">
      <c r="F469" s="108"/>
      <c r="G469" s="108"/>
      <c r="H469" s="108"/>
      <c r="I469" s="109"/>
      <c r="J469" s="110"/>
      <c r="K469" s="109"/>
      <c r="L469" s="110"/>
      <c r="M469" s="109"/>
      <c r="N469" s="110"/>
      <c r="O469" s="107"/>
    </row>
    <row r="470" spans="6:15" ht="14.25" customHeight="1" x14ac:dyDescent="0.3">
      <c r="F470" s="108"/>
      <c r="G470" s="108"/>
      <c r="H470" s="108"/>
      <c r="I470" s="109"/>
      <c r="J470" s="110"/>
      <c r="K470" s="109"/>
      <c r="L470" s="110"/>
      <c r="M470" s="109"/>
      <c r="N470" s="110"/>
      <c r="O470" s="107"/>
    </row>
    <row r="471" spans="6:15" ht="14.25" customHeight="1" x14ac:dyDescent="0.3">
      <c r="F471" s="108"/>
      <c r="G471" s="108"/>
      <c r="H471" s="108"/>
      <c r="I471" s="109"/>
      <c r="J471" s="110"/>
      <c r="K471" s="109"/>
      <c r="L471" s="110"/>
      <c r="M471" s="109"/>
      <c r="N471" s="110"/>
      <c r="O471" s="107"/>
    </row>
    <row r="472" spans="6:15" ht="14.25" customHeight="1" x14ac:dyDescent="0.3">
      <c r="F472" s="108"/>
      <c r="G472" s="108"/>
      <c r="H472" s="108"/>
      <c r="I472" s="109"/>
      <c r="J472" s="110"/>
      <c r="K472" s="109"/>
      <c r="L472" s="110"/>
      <c r="M472" s="109"/>
      <c r="N472" s="110"/>
      <c r="O472" s="107"/>
    </row>
    <row r="473" spans="6:15" ht="14.25" customHeight="1" x14ac:dyDescent="0.3">
      <c r="F473" s="108"/>
      <c r="G473" s="108"/>
      <c r="H473" s="108"/>
      <c r="I473" s="109"/>
      <c r="J473" s="110"/>
      <c r="K473" s="109"/>
      <c r="L473" s="110"/>
      <c r="M473" s="109"/>
      <c r="N473" s="110"/>
      <c r="O473" s="107"/>
    </row>
    <row r="474" spans="6:15" ht="14.25" customHeight="1" x14ac:dyDescent="0.3">
      <c r="F474" s="108"/>
      <c r="G474" s="108"/>
      <c r="H474" s="108"/>
      <c r="I474" s="109"/>
      <c r="J474" s="110"/>
      <c r="K474" s="109"/>
      <c r="L474" s="110"/>
      <c r="M474" s="109"/>
      <c r="N474" s="110"/>
      <c r="O474" s="107"/>
    </row>
    <row r="475" spans="6:15" ht="14.25" customHeight="1" x14ac:dyDescent="0.3">
      <c r="F475" s="108"/>
      <c r="G475" s="108"/>
      <c r="H475" s="108"/>
      <c r="I475" s="109"/>
      <c r="J475" s="110"/>
      <c r="K475" s="109"/>
      <c r="L475" s="110"/>
      <c r="M475" s="109"/>
      <c r="N475" s="110"/>
      <c r="O475" s="107"/>
    </row>
    <row r="476" spans="6:15" ht="14.25" customHeight="1" x14ac:dyDescent="0.3">
      <c r="F476" s="108"/>
      <c r="G476" s="108"/>
      <c r="H476" s="108"/>
      <c r="I476" s="109"/>
      <c r="J476" s="110"/>
      <c r="K476" s="109"/>
      <c r="L476" s="110"/>
      <c r="M476" s="109"/>
      <c r="N476" s="110"/>
      <c r="O476" s="107"/>
    </row>
    <row r="477" spans="6:15" ht="14.25" customHeight="1" x14ac:dyDescent="0.3">
      <c r="F477" s="108"/>
      <c r="G477" s="108"/>
      <c r="H477" s="108"/>
      <c r="I477" s="109"/>
      <c r="J477" s="110"/>
      <c r="K477" s="109"/>
      <c r="L477" s="110"/>
      <c r="M477" s="109"/>
      <c r="N477" s="110"/>
      <c r="O477" s="107"/>
    </row>
    <row r="478" spans="6:15" ht="14.25" customHeight="1" x14ac:dyDescent="0.3">
      <c r="F478" s="108"/>
      <c r="G478" s="108"/>
      <c r="H478" s="108"/>
      <c r="I478" s="109"/>
      <c r="J478" s="110"/>
      <c r="K478" s="109"/>
      <c r="L478" s="110"/>
      <c r="M478" s="109"/>
      <c r="N478" s="110"/>
      <c r="O478" s="107"/>
    </row>
    <row r="479" spans="6:15" ht="14.25" customHeight="1" x14ac:dyDescent="0.3">
      <c r="F479" s="108"/>
      <c r="G479" s="108"/>
      <c r="H479" s="108"/>
      <c r="I479" s="109"/>
      <c r="J479" s="110"/>
      <c r="K479" s="109"/>
      <c r="L479" s="110"/>
      <c r="M479" s="109"/>
      <c r="N479" s="110"/>
      <c r="O479" s="107"/>
    </row>
    <row r="480" spans="6:15" ht="14.25" customHeight="1" x14ac:dyDescent="0.3">
      <c r="F480" s="108"/>
      <c r="G480" s="108"/>
      <c r="H480" s="108"/>
      <c r="I480" s="109"/>
      <c r="J480" s="110"/>
      <c r="K480" s="109"/>
      <c r="L480" s="110"/>
      <c r="M480" s="109"/>
      <c r="N480" s="110"/>
      <c r="O480" s="107"/>
    </row>
    <row r="481" spans="6:15" ht="14.25" customHeight="1" x14ac:dyDescent="0.3">
      <c r="F481" s="108"/>
      <c r="G481" s="108"/>
      <c r="H481" s="108"/>
      <c r="I481" s="109"/>
      <c r="J481" s="110"/>
      <c r="K481" s="109"/>
      <c r="L481" s="110"/>
      <c r="M481" s="109"/>
      <c r="N481" s="110"/>
      <c r="O481" s="107"/>
    </row>
    <row r="482" spans="6:15" ht="14.25" customHeight="1" x14ac:dyDescent="0.3">
      <c r="F482" s="108"/>
      <c r="G482" s="108"/>
      <c r="H482" s="108"/>
      <c r="I482" s="109"/>
      <c r="J482" s="110"/>
      <c r="K482" s="109"/>
      <c r="L482" s="110"/>
      <c r="M482" s="109"/>
      <c r="N482" s="110"/>
      <c r="O482" s="107"/>
    </row>
    <row r="483" spans="6:15" ht="14.25" customHeight="1" x14ac:dyDescent="0.3">
      <c r="F483" s="108"/>
      <c r="G483" s="108"/>
      <c r="H483" s="108"/>
      <c r="I483" s="109"/>
      <c r="J483" s="110"/>
      <c r="K483" s="109"/>
      <c r="L483" s="110"/>
      <c r="M483" s="109"/>
      <c r="N483" s="110"/>
      <c r="O483" s="107"/>
    </row>
    <row r="484" spans="6:15" ht="14.25" customHeight="1" x14ac:dyDescent="0.3">
      <c r="F484" s="108"/>
      <c r="G484" s="108"/>
      <c r="H484" s="108"/>
      <c r="I484" s="109"/>
      <c r="J484" s="110"/>
      <c r="K484" s="109"/>
      <c r="L484" s="110"/>
      <c r="M484" s="109"/>
      <c r="N484" s="110"/>
      <c r="O484" s="107"/>
    </row>
    <row r="485" spans="6:15" ht="14.25" customHeight="1" x14ac:dyDescent="0.3">
      <c r="F485" s="108"/>
      <c r="G485" s="108"/>
      <c r="H485" s="108"/>
      <c r="I485" s="109"/>
      <c r="J485" s="110"/>
      <c r="K485" s="109"/>
      <c r="L485" s="110"/>
      <c r="M485" s="109"/>
      <c r="N485" s="110"/>
      <c r="O485" s="107"/>
    </row>
    <row r="486" spans="6:15" ht="14.25" customHeight="1" x14ac:dyDescent="0.3">
      <c r="F486" s="108"/>
      <c r="G486" s="108"/>
      <c r="H486" s="108"/>
      <c r="I486" s="109"/>
      <c r="J486" s="110"/>
      <c r="K486" s="109"/>
      <c r="L486" s="110"/>
      <c r="M486" s="109"/>
      <c r="N486" s="110"/>
      <c r="O486" s="107"/>
    </row>
    <row r="487" spans="6:15" ht="14.25" customHeight="1" x14ac:dyDescent="0.3">
      <c r="F487" s="108"/>
      <c r="G487" s="108"/>
      <c r="H487" s="108"/>
      <c r="I487" s="109"/>
      <c r="J487" s="110"/>
      <c r="K487" s="109"/>
      <c r="L487" s="110"/>
      <c r="M487" s="109"/>
      <c r="N487" s="110"/>
      <c r="O487" s="107"/>
    </row>
    <row r="488" spans="6:15" ht="14.25" customHeight="1" x14ac:dyDescent="0.3">
      <c r="F488" s="108"/>
      <c r="G488" s="108"/>
      <c r="H488" s="108"/>
      <c r="I488" s="109"/>
      <c r="J488" s="110"/>
      <c r="K488" s="109"/>
      <c r="L488" s="110"/>
      <c r="M488" s="109"/>
      <c r="N488" s="110"/>
      <c r="O488" s="107"/>
    </row>
    <row r="489" spans="6:15" ht="14.25" customHeight="1" x14ac:dyDescent="0.3">
      <c r="F489" s="108"/>
      <c r="G489" s="108"/>
      <c r="H489" s="108"/>
      <c r="I489" s="109"/>
      <c r="J489" s="110"/>
      <c r="K489" s="109"/>
      <c r="L489" s="110"/>
      <c r="M489" s="109"/>
      <c r="N489" s="110"/>
      <c r="O489" s="107"/>
    </row>
    <row r="490" spans="6:15" ht="14.25" customHeight="1" x14ac:dyDescent="0.3">
      <c r="F490" s="108"/>
      <c r="G490" s="108"/>
      <c r="H490" s="108"/>
      <c r="I490" s="109"/>
      <c r="J490" s="110"/>
      <c r="K490" s="109"/>
      <c r="L490" s="110"/>
      <c r="M490" s="109"/>
      <c r="N490" s="110"/>
      <c r="O490" s="107"/>
    </row>
    <row r="491" spans="6:15" ht="14.25" customHeight="1" x14ac:dyDescent="0.3">
      <c r="F491" s="108"/>
      <c r="G491" s="108"/>
      <c r="H491" s="108"/>
      <c r="I491" s="109"/>
      <c r="J491" s="110"/>
      <c r="K491" s="109"/>
      <c r="L491" s="110"/>
      <c r="M491" s="109"/>
      <c r="N491" s="110"/>
      <c r="O491" s="107"/>
    </row>
    <row r="492" spans="6:15" ht="14.25" customHeight="1" x14ac:dyDescent="0.3">
      <c r="F492" s="108"/>
      <c r="G492" s="108"/>
      <c r="H492" s="108"/>
      <c r="I492" s="109"/>
      <c r="J492" s="110"/>
      <c r="K492" s="109"/>
      <c r="L492" s="110"/>
      <c r="M492" s="109"/>
      <c r="N492" s="110"/>
      <c r="O492" s="107"/>
    </row>
    <row r="493" spans="6:15" ht="14.25" customHeight="1" x14ac:dyDescent="0.3">
      <c r="F493" s="108"/>
      <c r="G493" s="108"/>
      <c r="H493" s="108"/>
      <c r="I493" s="109"/>
      <c r="J493" s="110"/>
      <c r="K493" s="109"/>
      <c r="L493" s="110"/>
      <c r="M493" s="109"/>
      <c r="N493" s="110"/>
      <c r="O493" s="107"/>
    </row>
    <row r="494" spans="6:15" ht="14.25" customHeight="1" x14ac:dyDescent="0.3">
      <c r="F494" s="108"/>
      <c r="G494" s="108"/>
      <c r="H494" s="108"/>
      <c r="I494" s="109"/>
      <c r="J494" s="110"/>
      <c r="K494" s="109"/>
      <c r="L494" s="110"/>
      <c r="M494" s="109"/>
      <c r="N494" s="110"/>
      <c r="O494" s="107"/>
    </row>
    <row r="495" spans="6:15" ht="14.25" customHeight="1" x14ac:dyDescent="0.3">
      <c r="F495" s="108"/>
      <c r="G495" s="108"/>
      <c r="H495" s="108"/>
      <c r="I495" s="109"/>
      <c r="J495" s="110"/>
      <c r="K495" s="109"/>
      <c r="L495" s="110"/>
      <c r="M495" s="109"/>
      <c r="N495" s="110"/>
      <c r="O495" s="107"/>
    </row>
    <row r="496" spans="6:15" ht="14.25" customHeight="1" x14ac:dyDescent="0.3">
      <c r="F496" s="108"/>
      <c r="G496" s="108"/>
      <c r="H496" s="108"/>
      <c r="I496" s="109"/>
      <c r="J496" s="110"/>
      <c r="K496" s="109"/>
      <c r="L496" s="110"/>
      <c r="M496" s="109"/>
      <c r="N496" s="110"/>
      <c r="O496" s="107"/>
    </row>
    <row r="497" spans="6:15" ht="14.25" customHeight="1" x14ac:dyDescent="0.3">
      <c r="F497" s="108"/>
      <c r="G497" s="108"/>
      <c r="H497" s="108"/>
      <c r="I497" s="109"/>
      <c r="J497" s="110"/>
      <c r="K497" s="109"/>
      <c r="L497" s="110"/>
      <c r="M497" s="109"/>
      <c r="N497" s="110"/>
      <c r="O497" s="107"/>
    </row>
    <row r="498" spans="6:15" ht="14.25" customHeight="1" x14ac:dyDescent="0.3">
      <c r="F498" s="108"/>
      <c r="G498" s="108"/>
      <c r="H498" s="108"/>
      <c r="I498" s="109"/>
      <c r="J498" s="110"/>
      <c r="K498" s="109"/>
      <c r="L498" s="110"/>
      <c r="M498" s="109"/>
      <c r="N498" s="110"/>
      <c r="O498" s="107"/>
    </row>
    <row r="499" spans="6:15" ht="14.25" customHeight="1" x14ac:dyDescent="0.3">
      <c r="F499" s="108"/>
      <c r="G499" s="108"/>
      <c r="H499" s="108"/>
      <c r="I499" s="109"/>
      <c r="J499" s="110"/>
      <c r="K499" s="109"/>
      <c r="L499" s="110"/>
      <c r="M499" s="109"/>
      <c r="N499" s="110"/>
      <c r="O499" s="107"/>
    </row>
    <row r="500" spans="6:15" ht="14.25" customHeight="1" x14ac:dyDescent="0.3">
      <c r="F500" s="108"/>
      <c r="G500" s="108"/>
      <c r="H500" s="108"/>
      <c r="I500" s="109"/>
      <c r="J500" s="110"/>
      <c r="K500" s="109"/>
      <c r="L500" s="110"/>
      <c r="M500" s="109"/>
      <c r="N500" s="110"/>
      <c r="O500" s="107"/>
    </row>
    <row r="501" spans="6:15" ht="14.25" customHeight="1" x14ac:dyDescent="0.3">
      <c r="F501" s="108"/>
      <c r="G501" s="108"/>
      <c r="H501" s="108"/>
      <c r="I501" s="109"/>
      <c r="J501" s="110"/>
      <c r="K501" s="109"/>
      <c r="L501" s="110"/>
      <c r="M501" s="109"/>
      <c r="N501" s="110"/>
      <c r="O501" s="107"/>
    </row>
    <row r="502" spans="6:15" ht="14.25" customHeight="1" x14ac:dyDescent="0.3">
      <c r="F502" s="108"/>
      <c r="G502" s="108"/>
      <c r="H502" s="108"/>
      <c r="I502" s="109"/>
      <c r="J502" s="110"/>
      <c r="K502" s="109"/>
      <c r="L502" s="110"/>
      <c r="M502" s="109"/>
      <c r="N502" s="110"/>
      <c r="O502" s="107"/>
    </row>
    <row r="503" spans="6:15" ht="14.25" customHeight="1" x14ac:dyDescent="0.3">
      <c r="F503" s="108"/>
      <c r="G503" s="108"/>
      <c r="H503" s="108"/>
      <c r="I503" s="109"/>
      <c r="J503" s="110"/>
      <c r="K503" s="109"/>
      <c r="L503" s="110"/>
      <c r="M503" s="109"/>
      <c r="N503" s="110"/>
      <c r="O503" s="107"/>
    </row>
    <row r="504" spans="6:15" ht="14.25" customHeight="1" x14ac:dyDescent="0.3">
      <c r="F504" s="108"/>
      <c r="G504" s="108"/>
      <c r="H504" s="108"/>
      <c r="I504" s="109"/>
      <c r="J504" s="110"/>
      <c r="K504" s="109"/>
      <c r="L504" s="110"/>
      <c r="M504" s="109"/>
      <c r="N504" s="110"/>
      <c r="O504" s="107"/>
    </row>
    <row r="505" spans="6:15" ht="14.25" customHeight="1" x14ac:dyDescent="0.3">
      <c r="F505" s="108"/>
      <c r="G505" s="108"/>
      <c r="H505" s="108"/>
      <c r="I505" s="109"/>
      <c r="J505" s="110"/>
      <c r="K505" s="109"/>
      <c r="L505" s="110"/>
      <c r="M505" s="109"/>
      <c r="N505" s="110"/>
      <c r="O505" s="107"/>
    </row>
    <row r="506" spans="6:15" ht="14.25" customHeight="1" x14ac:dyDescent="0.3">
      <c r="F506" s="108"/>
      <c r="G506" s="108"/>
      <c r="H506" s="108"/>
      <c r="I506" s="109"/>
      <c r="J506" s="110"/>
      <c r="K506" s="109"/>
      <c r="L506" s="110"/>
      <c r="M506" s="109"/>
      <c r="N506" s="110"/>
      <c r="O506" s="107"/>
    </row>
    <row r="507" spans="6:15" ht="14.25" customHeight="1" x14ac:dyDescent="0.3">
      <c r="F507" s="108"/>
      <c r="G507" s="108"/>
      <c r="H507" s="108"/>
      <c r="I507" s="109"/>
      <c r="J507" s="110"/>
      <c r="K507" s="109"/>
      <c r="L507" s="110"/>
      <c r="M507" s="109"/>
      <c r="N507" s="110"/>
      <c r="O507" s="107"/>
    </row>
    <row r="508" spans="6:15" ht="14.25" customHeight="1" x14ac:dyDescent="0.3">
      <c r="F508" s="108"/>
      <c r="G508" s="108"/>
      <c r="H508" s="108"/>
      <c r="I508" s="109"/>
      <c r="J508" s="110"/>
      <c r="K508" s="109"/>
      <c r="L508" s="110"/>
      <c r="M508" s="109"/>
      <c r="N508" s="110"/>
      <c r="O508" s="107"/>
    </row>
    <row r="509" spans="6:15" ht="14.25" customHeight="1" x14ac:dyDescent="0.3">
      <c r="F509" s="108"/>
      <c r="G509" s="108"/>
      <c r="H509" s="108"/>
      <c r="I509" s="109"/>
      <c r="J509" s="110"/>
      <c r="K509" s="109"/>
      <c r="L509" s="110"/>
      <c r="M509" s="109"/>
      <c r="N509" s="110"/>
      <c r="O509" s="107"/>
    </row>
    <row r="510" spans="6:15" ht="14.25" customHeight="1" x14ac:dyDescent="0.3">
      <c r="F510" s="108"/>
      <c r="G510" s="108"/>
      <c r="H510" s="108"/>
      <c r="I510" s="109"/>
      <c r="J510" s="110"/>
      <c r="K510" s="109"/>
      <c r="L510" s="110"/>
      <c r="M510" s="109"/>
      <c r="N510" s="110"/>
      <c r="O510" s="107"/>
    </row>
    <row r="511" spans="6:15" ht="14.25" customHeight="1" x14ac:dyDescent="0.3">
      <c r="F511" s="108"/>
      <c r="G511" s="108"/>
      <c r="H511" s="108"/>
      <c r="I511" s="109"/>
      <c r="J511" s="110"/>
      <c r="K511" s="109"/>
      <c r="L511" s="110"/>
      <c r="M511" s="109"/>
      <c r="N511" s="110"/>
      <c r="O511" s="107"/>
    </row>
    <row r="512" spans="6:15" ht="14.25" customHeight="1" x14ac:dyDescent="0.3">
      <c r="F512" s="108"/>
      <c r="G512" s="108"/>
      <c r="H512" s="108"/>
      <c r="I512" s="109"/>
      <c r="J512" s="110"/>
      <c r="K512" s="109"/>
      <c r="L512" s="110"/>
      <c r="M512" s="109"/>
      <c r="N512" s="110"/>
      <c r="O512" s="107"/>
    </row>
    <row r="513" spans="6:15" ht="14.25" customHeight="1" x14ac:dyDescent="0.3">
      <c r="F513" s="108"/>
      <c r="G513" s="108"/>
      <c r="H513" s="108"/>
      <c r="I513" s="109"/>
      <c r="J513" s="110"/>
      <c r="K513" s="109"/>
      <c r="L513" s="110"/>
      <c r="M513" s="109"/>
      <c r="N513" s="110"/>
      <c r="O513" s="107"/>
    </row>
    <row r="514" spans="6:15" ht="14.25" customHeight="1" x14ac:dyDescent="0.3">
      <c r="F514" s="108"/>
      <c r="G514" s="108"/>
      <c r="H514" s="108"/>
      <c r="I514" s="109"/>
      <c r="J514" s="110"/>
      <c r="K514" s="109"/>
      <c r="L514" s="110"/>
      <c r="M514" s="109"/>
      <c r="N514" s="110"/>
      <c r="O514" s="107"/>
    </row>
    <row r="515" spans="6:15" ht="14.25" customHeight="1" x14ac:dyDescent="0.3">
      <c r="F515" s="108"/>
      <c r="G515" s="108"/>
      <c r="H515" s="108"/>
      <c r="I515" s="109"/>
      <c r="J515" s="110"/>
      <c r="K515" s="109"/>
      <c r="L515" s="110"/>
      <c r="M515" s="109"/>
      <c r="N515" s="110"/>
      <c r="O515" s="107"/>
    </row>
    <row r="516" spans="6:15" ht="14.25" customHeight="1" x14ac:dyDescent="0.3">
      <c r="F516" s="108"/>
      <c r="G516" s="108"/>
      <c r="H516" s="108"/>
      <c r="I516" s="109"/>
      <c r="J516" s="110"/>
      <c r="K516" s="109"/>
      <c r="L516" s="110"/>
      <c r="M516" s="109"/>
      <c r="N516" s="110"/>
      <c r="O516" s="107"/>
    </row>
    <row r="517" spans="6:15" ht="14.25" customHeight="1" x14ac:dyDescent="0.3">
      <c r="F517" s="108"/>
      <c r="G517" s="108"/>
      <c r="H517" s="108"/>
      <c r="I517" s="109"/>
      <c r="J517" s="110"/>
      <c r="K517" s="109"/>
      <c r="L517" s="110"/>
      <c r="M517" s="109"/>
      <c r="N517" s="110"/>
      <c r="O517" s="107"/>
    </row>
    <row r="518" spans="6:15" ht="14.25" customHeight="1" x14ac:dyDescent="0.3">
      <c r="F518" s="108"/>
      <c r="G518" s="108"/>
      <c r="H518" s="108"/>
      <c r="I518" s="109"/>
      <c r="J518" s="110"/>
      <c r="K518" s="109"/>
      <c r="L518" s="110"/>
      <c r="M518" s="109"/>
      <c r="N518" s="110"/>
      <c r="O518" s="107"/>
    </row>
    <row r="519" spans="6:15" ht="14.25" customHeight="1" x14ac:dyDescent="0.3">
      <c r="F519" s="108"/>
      <c r="G519" s="108"/>
      <c r="H519" s="108"/>
      <c r="I519" s="109"/>
      <c r="J519" s="110"/>
      <c r="K519" s="109"/>
      <c r="L519" s="110"/>
      <c r="M519" s="109"/>
      <c r="N519" s="110"/>
      <c r="O519" s="107"/>
    </row>
    <row r="520" spans="6:15" ht="14.25" customHeight="1" x14ac:dyDescent="0.3">
      <c r="F520" s="108"/>
      <c r="G520" s="108"/>
      <c r="H520" s="108"/>
      <c r="I520" s="109"/>
      <c r="J520" s="110"/>
      <c r="K520" s="109"/>
      <c r="L520" s="110"/>
      <c r="M520" s="109"/>
      <c r="N520" s="110"/>
      <c r="O520" s="107"/>
    </row>
    <row r="521" spans="6:15" ht="14.25" customHeight="1" x14ac:dyDescent="0.3">
      <c r="F521" s="108"/>
      <c r="G521" s="108"/>
      <c r="H521" s="108"/>
      <c r="I521" s="109"/>
      <c r="J521" s="110"/>
      <c r="K521" s="109"/>
      <c r="L521" s="110"/>
      <c r="M521" s="109"/>
      <c r="N521" s="110"/>
      <c r="O521" s="107"/>
    </row>
    <row r="522" spans="6:15" ht="14.25" customHeight="1" x14ac:dyDescent="0.3">
      <c r="F522" s="108"/>
      <c r="G522" s="108"/>
      <c r="H522" s="108"/>
      <c r="I522" s="109"/>
      <c r="J522" s="110"/>
      <c r="K522" s="109"/>
      <c r="L522" s="110"/>
      <c r="M522" s="109"/>
      <c r="N522" s="110"/>
      <c r="O522" s="107"/>
    </row>
    <row r="523" spans="6:15" ht="14.25" customHeight="1" x14ac:dyDescent="0.3">
      <c r="F523" s="108"/>
      <c r="G523" s="108"/>
      <c r="H523" s="108"/>
      <c r="I523" s="109"/>
      <c r="J523" s="110"/>
      <c r="K523" s="109"/>
      <c r="L523" s="110"/>
      <c r="M523" s="109"/>
      <c r="N523" s="110"/>
      <c r="O523" s="107"/>
    </row>
    <row r="524" spans="6:15" ht="14.25" customHeight="1" x14ac:dyDescent="0.3">
      <c r="F524" s="108"/>
      <c r="G524" s="108"/>
      <c r="H524" s="108"/>
      <c r="I524" s="109"/>
      <c r="J524" s="110"/>
      <c r="K524" s="109"/>
      <c r="L524" s="110"/>
      <c r="M524" s="109"/>
      <c r="N524" s="110"/>
      <c r="O524" s="107"/>
    </row>
    <row r="525" spans="6:15" ht="14.25" customHeight="1" x14ac:dyDescent="0.3">
      <c r="F525" s="108"/>
      <c r="G525" s="108"/>
      <c r="H525" s="108"/>
      <c r="I525" s="109"/>
      <c r="J525" s="110"/>
      <c r="K525" s="109"/>
      <c r="L525" s="110"/>
      <c r="M525" s="109"/>
      <c r="N525" s="110"/>
      <c r="O525" s="107"/>
    </row>
    <row r="526" spans="6:15" ht="14.25" customHeight="1" x14ac:dyDescent="0.3">
      <c r="F526" s="108"/>
      <c r="G526" s="108"/>
      <c r="H526" s="108"/>
      <c r="I526" s="109"/>
      <c r="J526" s="110"/>
      <c r="K526" s="109"/>
      <c r="L526" s="110"/>
      <c r="M526" s="109"/>
      <c r="N526" s="110"/>
      <c r="O526" s="107"/>
    </row>
    <row r="527" spans="6:15" ht="14.25" customHeight="1" x14ac:dyDescent="0.3">
      <c r="F527" s="108"/>
      <c r="G527" s="108"/>
      <c r="H527" s="108"/>
      <c r="I527" s="109"/>
      <c r="J527" s="110"/>
      <c r="K527" s="109"/>
      <c r="L527" s="110"/>
      <c r="M527" s="109"/>
      <c r="N527" s="110"/>
      <c r="O527" s="107"/>
    </row>
    <row r="528" spans="6:15" ht="14.25" customHeight="1" x14ac:dyDescent="0.3">
      <c r="F528" s="108"/>
      <c r="G528" s="108"/>
      <c r="H528" s="108"/>
      <c r="I528" s="109"/>
      <c r="J528" s="110"/>
      <c r="K528" s="109"/>
      <c r="L528" s="110"/>
      <c r="M528" s="109"/>
      <c r="N528" s="110"/>
      <c r="O528" s="107"/>
    </row>
    <row r="529" spans="6:15" ht="14.25" customHeight="1" x14ac:dyDescent="0.3">
      <c r="F529" s="108"/>
      <c r="G529" s="108"/>
      <c r="H529" s="108"/>
      <c r="I529" s="109"/>
      <c r="J529" s="110"/>
      <c r="K529" s="109"/>
      <c r="L529" s="110"/>
      <c r="M529" s="109"/>
      <c r="N529" s="110"/>
      <c r="O529" s="107"/>
    </row>
    <row r="530" spans="6:15" ht="14.25" customHeight="1" x14ac:dyDescent="0.3">
      <c r="F530" s="108"/>
      <c r="G530" s="108"/>
      <c r="H530" s="108"/>
      <c r="I530" s="109"/>
      <c r="J530" s="110"/>
      <c r="K530" s="109"/>
      <c r="L530" s="110"/>
      <c r="M530" s="109"/>
      <c r="N530" s="110"/>
      <c r="O530" s="107"/>
    </row>
    <row r="531" spans="6:15" ht="14.25" customHeight="1" x14ac:dyDescent="0.3">
      <c r="F531" s="108"/>
      <c r="G531" s="108"/>
      <c r="H531" s="108"/>
      <c r="I531" s="109"/>
      <c r="J531" s="110"/>
      <c r="K531" s="109"/>
      <c r="L531" s="110"/>
      <c r="M531" s="109"/>
      <c r="N531" s="110"/>
      <c r="O531" s="107"/>
    </row>
    <row r="532" spans="6:15" ht="14.25" customHeight="1" x14ac:dyDescent="0.3">
      <c r="F532" s="108"/>
      <c r="G532" s="108"/>
      <c r="H532" s="108"/>
      <c r="I532" s="109"/>
      <c r="J532" s="110"/>
      <c r="K532" s="109"/>
      <c r="L532" s="110"/>
      <c r="M532" s="109"/>
      <c r="N532" s="110"/>
      <c r="O532" s="107"/>
    </row>
    <row r="533" spans="6:15" ht="14.25" customHeight="1" x14ac:dyDescent="0.3">
      <c r="F533" s="108"/>
      <c r="G533" s="108"/>
      <c r="H533" s="108"/>
      <c r="I533" s="109"/>
      <c r="J533" s="110"/>
      <c r="K533" s="109"/>
      <c r="L533" s="110"/>
      <c r="M533" s="109"/>
      <c r="N533" s="110"/>
      <c r="O533" s="107"/>
    </row>
    <row r="534" spans="6:15" ht="14.25" customHeight="1" x14ac:dyDescent="0.3">
      <c r="F534" s="108"/>
      <c r="G534" s="108"/>
      <c r="H534" s="108"/>
      <c r="I534" s="109"/>
      <c r="J534" s="110"/>
      <c r="K534" s="109"/>
      <c r="L534" s="110"/>
      <c r="M534" s="109"/>
      <c r="N534" s="110"/>
      <c r="O534" s="107"/>
    </row>
    <row r="535" spans="6:15" ht="14.25" customHeight="1" x14ac:dyDescent="0.3">
      <c r="F535" s="108"/>
      <c r="G535" s="108"/>
      <c r="H535" s="108"/>
      <c r="I535" s="109"/>
      <c r="J535" s="110"/>
      <c r="K535" s="109"/>
      <c r="L535" s="110"/>
      <c r="M535" s="109"/>
      <c r="N535" s="110"/>
      <c r="O535" s="107"/>
    </row>
    <row r="536" spans="6:15" ht="14.25" customHeight="1" x14ac:dyDescent="0.3">
      <c r="F536" s="108"/>
      <c r="G536" s="108"/>
      <c r="H536" s="108"/>
      <c r="I536" s="109"/>
      <c r="J536" s="110"/>
      <c r="K536" s="109"/>
      <c r="L536" s="110"/>
      <c r="M536" s="109"/>
      <c r="N536" s="110"/>
      <c r="O536" s="107"/>
    </row>
    <row r="537" spans="6:15" ht="14.25" customHeight="1" x14ac:dyDescent="0.3">
      <c r="F537" s="108"/>
      <c r="G537" s="108"/>
      <c r="H537" s="108"/>
      <c r="I537" s="109"/>
      <c r="J537" s="110"/>
      <c r="K537" s="109"/>
      <c r="L537" s="110"/>
      <c r="M537" s="109"/>
      <c r="N537" s="110"/>
      <c r="O537" s="107"/>
    </row>
    <row r="538" spans="6:15" ht="14.25" customHeight="1" x14ac:dyDescent="0.3">
      <c r="F538" s="108"/>
      <c r="G538" s="108"/>
      <c r="H538" s="108"/>
      <c r="I538" s="109"/>
      <c r="J538" s="110"/>
      <c r="K538" s="109"/>
      <c r="L538" s="110"/>
      <c r="M538" s="109"/>
      <c r="N538" s="110"/>
      <c r="O538" s="107"/>
    </row>
    <row r="539" spans="6:15" ht="14.25" customHeight="1" x14ac:dyDescent="0.3">
      <c r="F539" s="108"/>
      <c r="G539" s="108"/>
      <c r="H539" s="108"/>
      <c r="I539" s="109"/>
      <c r="J539" s="110"/>
      <c r="K539" s="109"/>
      <c r="L539" s="110"/>
      <c r="M539" s="109"/>
      <c r="N539" s="110"/>
      <c r="O539" s="107"/>
    </row>
    <row r="540" spans="6:15" ht="14.25" customHeight="1" x14ac:dyDescent="0.3">
      <c r="F540" s="108"/>
      <c r="G540" s="108"/>
      <c r="H540" s="108"/>
      <c r="I540" s="109"/>
      <c r="J540" s="110"/>
      <c r="K540" s="109"/>
      <c r="L540" s="110"/>
      <c r="M540" s="109"/>
      <c r="N540" s="110"/>
      <c r="O540" s="107"/>
    </row>
    <row r="541" spans="6:15" ht="14.25" customHeight="1" x14ac:dyDescent="0.3">
      <c r="F541" s="108"/>
      <c r="G541" s="108"/>
      <c r="H541" s="108"/>
      <c r="I541" s="109"/>
      <c r="J541" s="110"/>
      <c r="K541" s="109"/>
      <c r="L541" s="110"/>
      <c r="M541" s="109"/>
      <c r="N541" s="110"/>
      <c r="O541" s="107"/>
    </row>
    <row r="542" spans="6:15" ht="14.25" customHeight="1" x14ac:dyDescent="0.3">
      <c r="F542" s="108"/>
      <c r="G542" s="108"/>
      <c r="H542" s="108"/>
      <c r="I542" s="109"/>
      <c r="J542" s="110"/>
      <c r="K542" s="109"/>
      <c r="L542" s="110"/>
      <c r="M542" s="109"/>
      <c r="N542" s="110"/>
      <c r="O542" s="107"/>
    </row>
    <row r="543" spans="6:15" ht="14.25" customHeight="1" x14ac:dyDescent="0.3">
      <c r="F543" s="108"/>
      <c r="G543" s="108"/>
      <c r="H543" s="108"/>
      <c r="I543" s="109"/>
      <c r="J543" s="110"/>
      <c r="K543" s="109"/>
      <c r="L543" s="110"/>
      <c r="M543" s="109"/>
      <c r="N543" s="110"/>
      <c r="O543" s="107"/>
    </row>
    <row r="544" spans="6:15" ht="14.25" customHeight="1" x14ac:dyDescent="0.3">
      <c r="F544" s="108"/>
      <c r="G544" s="108"/>
      <c r="H544" s="108"/>
      <c r="I544" s="109"/>
      <c r="J544" s="110"/>
      <c r="K544" s="109"/>
      <c r="L544" s="110"/>
      <c r="M544" s="109"/>
      <c r="N544" s="110"/>
      <c r="O544" s="107"/>
    </row>
    <row r="545" spans="6:15" ht="14.25" customHeight="1" x14ac:dyDescent="0.3">
      <c r="F545" s="108"/>
      <c r="G545" s="108"/>
      <c r="H545" s="108"/>
      <c r="I545" s="109"/>
      <c r="J545" s="110"/>
      <c r="K545" s="109"/>
      <c r="L545" s="110"/>
      <c r="M545" s="109"/>
      <c r="N545" s="110"/>
      <c r="O545" s="107"/>
    </row>
    <row r="546" spans="6:15" ht="14.25" customHeight="1" x14ac:dyDescent="0.3">
      <c r="F546" s="108"/>
      <c r="G546" s="108"/>
      <c r="H546" s="108"/>
      <c r="I546" s="109"/>
      <c r="J546" s="110"/>
      <c r="K546" s="109"/>
      <c r="L546" s="110"/>
      <c r="M546" s="109"/>
      <c r="N546" s="110"/>
      <c r="O546" s="107"/>
    </row>
    <row r="547" spans="6:15" ht="14.25" customHeight="1" x14ac:dyDescent="0.3">
      <c r="F547" s="108"/>
      <c r="G547" s="108"/>
      <c r="H547" s="108"/>
      <c r="I547" s="109"/>
      <c r="J547" s="110"/>
      <c r="K547" s="109"/>
      <c r="L547" s="110"/>
      <c r="M547" s="109"/>
      <c r="N547" s="110"/>
      <c r="O547" s="107"/>
    </row>
    <row r="548" spans="6:15" ht="14.25" customHeight="1" x14ac:dyDescent="0.3">
      <c r="F548" s="108"/>
      <c r="G548" s="108"/>
      <c r="H548" s="108"/>
      <c r="I548" s="109"/>
      <c r="J548" s="110"/>
      <c r="K548" s="109"/>
      <c r="L548" s="110"/>
      <c r="M548" s="109"/>
      <c r="N548" s="110"/>
      <c r="O548" s="107"/>
    </row>
    <row r="549" spans="6:15" ht="14.25" customHeight="1" x14ac:dyDescent="0.3">
      <c r="F549" s="108"/>
      <c r="G549" s="108"/>
      <c r="H549" s="108"/>
      <c r="I549" s="109"/>
      <c r="J549" s="110"/>
      <c r="K549" s="109"/>
      <c r="L549" s="110"/>
      <c r="M549" s="109"/>
      <c r="N549" s="110"/>
      <c r="O549" s="107"/>
    </row>
    <row r="550" spans="6:15" ht="14.25" customHeight="1" x14ac:dyDescent="0.3">
      <c r="F550" s="108"/>
      <c r="G550" s="108"/>
      <c r="H550" s="108"/>
      <c r="I550" s="109"/>
      <c r="J550" s="110"/>
      <c r="K550" s="109"/>
      <c r="L550" s="110"/>
      <c r="M550" s="109"/>
      <c r="N550" s="110"/>
      <c r="O550" s="107"/>
    </row>
    <row r="551" spans="6:15" ht="14.25" customHeight="1" x14ac:dyDescent="0.3">
      <c r="F551" s="108"/>
      <c r="G551" s="108"/>
      <c r="H551" s="108"/>
      <c r="I551" s="109"/>
      <c r="J551" s="110"/>
      <c r="K551" s="109"/>
      <c r="L551" s="110"/>
      <c r="M551" s="109"/>
      <c r="N551" s="110"/>
      <c r="O551" s="107"/>
    </row>
    <row r="552" spans="6:15" ht="14.25" customHeight="1" x14ac:dyDescent="0.3">
      <c r="F552" s="108"/>
      <c r="G552" s="108"/>
      <c r="H552" s="108"/>
      <c r="I552" s="109"/>
      <c r="J552" s="110"/>
      <c r="K552" s="109"/>
      <c r="L552" s="110"/>
      <c r="M552" s="109"/>
      <c r="N552" s="110"/>
      <c r="O552" s="107"/>
    </row>
    <row r="553" spans="6:15" ht="14.25" customHeight="1" x14ac:dyDescent="0.3">
      <c r="F553" s="108"/>
      <c r="G553" s="108"/>
      <c r="H553" s="108"/>
      <c r="I553" s="109"/>
      <c r="J553" s="110"/>
      <c r="K553" s="109"/>
      <c r="L553" s="110"/>
      <c r="M553" s="109"/>
      <c r="N553" s="110"/>
      <c r="O553" s="107"/>
    </row>
    <row r="554" spans="6:15" ht="14.25" customHeight="1" x14ac:dyDescent="0.3">
      <c r="F554" s="108"/>
      <c r="G554" s="108"/>
      <c r="H554" s="108"/>
      <c r="I554" s="109"/>
      <c r="J554" s="110"/>
      <c r="K554" s="109"/>
      <c r="L554" s="110"/>
      <c r="M554" s="109"/>
      <c r="N554" s="110"/>
      <c r="O554" s="107"/>
    </row>
    <row r="555" spans="6:15" ht="14.25" customHeight="1" x14ac:dyDescent="0.3">
      <c r="F555" s="108"/>
      <c r="G555" s="108"/>
      <c r="H555" s="108"/>
      <c r="I555" s="109"/>
      <c r="J555" s="110"/>
      <c r="K555" s="109"/>
      <c r="L555" s="110"/>
      <c r="M555" s="109"/>
      <c r="N555" s="110"/>
      <c r="O555" s="107"/>
    </row>
    <row r="556" spans="6:15" ht="14.25" customHeight="1" x14ac:dyDescent="0.3">
      <c r="F556" s="108"/>
      <c r="G556" s="108"/>
      <c r="H556" s="108"/>
      <c r="I556" s="109"/>
      <c r="J556" s="110"/>
      <c r="K556" s="109"/>
      <c r="L556" s="110"/>
      <c r="M556" s="109"/>
      <c r="N556" s="110"/>
      <c r="O556" s="107"/>
    </row>
    <row r="557" spans="6:15" ht="14.25" customHeight="1" x14ac:dyDescent="0.3">
      <c r="F557" s="108"/>
      <c r="G557" s="108"/>
      <c r="H557" s="108"/>
      <c r="I557" s="109"/>
      <c r="J557" s="110"/>
      <c r="K557" s="109"/>
      <c r="L557" s="110"/>
      <c r="M557" s="109"/>
      <c r="N557" s="110"/>
      <c r="O557" s="107"/>
    </row>
    <row r="558" spans="6:15" ht="14.25" customHeight="1" x14ac:dyDescent="0.3">
      <c r="F558" s="108"/>
      <c r="G558" s="108"/>
      <c r="H558" s="108"/>
      <c r="I558" s="109"/>
      <c r="J558" s="110"/>
      <c r="K558" s="109"/>
      <c r="L558" s="110"/>
      <c r="M558" s="109"/>
      <c r="N558" s="110"/>
      <c r="O558" s="107"/>
    </row>
    <row r="559" spans="6:15" ht="14.25" customHeight="1" x14ac:dyDescent="0.3">
      <c r="F559" s="108"/>
      <c r="G559" s="108"/>
      <c r="H559" s="108"/>
      <c r="I559" s="109"/>
      <c r="J559" s="110"/>
      <c r="K559" s="109"/>
      <c r="L559" s="110"/>
      <c r="M559" s="109"/>
      <c r="N559" s="110"/>
      <c r="O559" s="107"/>
    </row>
    <row r="560" spans="6:15" ht="14.25" customHeight="1" x14ac:dyDescent="0.3">
      <c r="F560" s="108"/>
      <c r="G560" s="108"/>
      <c r="H560" s="108"/>
      <c r="I560" s="109"/>
      <c r="J560" s="110"/>
      <c r="K560" s="109"/>
      <c r="L560" s="110"/>
      <c r="M560" s="109"/>
      <c r="N560" s="110"/>
      <c r="O560" s="107"/>
    </row>
    <row r="561" spans="6:15" ht="14.25" customHeight="1" x14ac:dyDescent="0.3">
      <c r="F561" s="108"/>
      <c r="G561" s="108"/>
      <c r="H561" s="108"/>
      <c r="I561" s="109"/>
      <c r="J561" s="110"/>
      <c r="K561" s="109"/>
      <c r="L561" s="110"/>
      <c r="M561" s="109"/>
      <c r="N561" s="110"/>
      <c r="O561" s="107"/>
    </row>
    <row r="562" spans="6:15" ht="14.25" customHeight="1" x14ac:dyDescent="0.3">
      <c r="F562" s="108"/>
      <c r="G562" s="108"/>
      <c r="H562" s="108"/>
      <c r="I562" s="109"/>
      <c r="J562" s="110"/>
      <c r="K562" s="109"/>
      <c r="L562" s="110"/>
      <c r="M562" s="109"/>
      <c r="N562" s="110"/>
      <c r="O562" s="107"/>
    </row>
    <row r="563" spans="6:15" ht="14.25" customHeight="1" x14ac:dyDescent="0.3">
      <c r="F563" s="108"/>
      <c r="G563" s="108"/>
      <c r="H563" s="108"/>
      <c r="I563" s="109"/>
      <c r="J563" s="110"/>
      <c r="K563" s="109"/>
      <c r="L563" s="110"/>
      <c r="M563" s="109"/>
      <c r="N563" s="110"/>
      <c r="O563" s="107"/>
    </row>
    <row r="564" spans="6:15" ht="14.25" customHeight="1" x14ac:dyDescent="0.3">
      <c r="F564" s="108"/>
      <c r="G564" s="108"/>
      <c r="H564" s="108"/>
      <c r="I564" s="109"/>
      <c r="J564" s="110"/>
      <c r="K564" s="109"/>
      <c r="L564" s="110"/>
      <c r="M564" s="109"/>
      <c r="N564" s="110"/>
      <c r="O564" s="107"/>
    </row>
    <row r="565" spans="6:15" ht="14.25" customHeight="1" x14ac:dyDescent="0.3">
      <c r="F565" s="108"/>
      <c r="G565" s="108"/>
      <c r="H565" s="108"/>
      <c r="I565" s="109"/>
      <c r="J565" s="110"/>
      <c r="K565" s="109"/>
      <c r="L565" s="110"/>
      <c r="M565" s="109"/>
      <c r="N565" s="110"/>
      <c r="O565" s="107"/>
    </row>
    <row r="566" spans="6:15" ht="14.25" customHeight="1" x14ac:dyDescent="0.3">
      <c r="F566" s="108"/>
      <c r="G566" s="108"/>
      <c r="H566" s="108"/>
      <c r="I566" s="109"/>
      <c r="J566" s="110"/>
      <c r="K566" s="109"/>
      <c r="L566" s="110"/>
      <c r="M566" s="109"/>
      <c r="N566" s="110"/>
      <c r="O566" s="107"/>
    </row>
    <row r="567" spans="6:15" ht="14.25" customHeight="1" x14ac:dyDescent="0.3">
      <c r="F567" s="108"/>
      <c r="G567" s="108"/>
      <c r="H567" s="108"/>
      <c r="I567" s="109"/>
      <c r="J567" s="110"/>
      <c r="K567" s="109"/>
      <c r="L567" s="110"/>
      <c r="M567" s="109"/>
      <c r="N567" s="110"/>
      <c r="O567" s="107"/>
    </row>
    <row r="568" spans="6:15" ht="14.25" customHeight="1" x14ac:dyDescent="0.3">
      <c r="F568" s="108"/>
      <c r="G568" s="108"/>
      <c r="H568" s="108"/>
      <c r="I568" s="109"/>
      <c r="J568" s="110"/>
      <c r="K568" s="109"/>
      <c r="L568" s="110"/>
      <c r="M568" s="109"/>
      <c r="N568" s="110"/>
      <c r="O568" s="107"/>
    </row>
    <row r="569" spans="6:15" ht="14.25" customHeight="1" x14ac:dyDescent="0.3">
      <c r="F569" s="108"/>
      <c r="G569" s="108"/>
      <c r="H569" s="108"/>
      <c r="I569" s="109"/>
      <c r="J569" s="110"/>
      <c r="K569" s="109"/>
      <c r="L569" s="110"/>
      <c r="M569" s="109"/>
      <c r="N569" s="110"/>
      <c r="O569" s="107"/>
    </row>
    <row r="570" spans="6:15" ht="14.25" customHeight="1" x14ac:dyDescent="0.3">
      <c r="F570" s="108"/>
      <c r="G570" s="108"/>
      <c r="H570" s="108"/>
      <c r="I570" s="109"/>
      <c r="J570" s="110"/>
      <c r="K570" s="109"/>
      <c r="L570" s="110"/>
      <c r="M570" s="109"/>
      <c r="N570" s="110"/>
      <c r="O570" s="107"/>
    </row>
    <row r="571" spans="6:15" ht="14.25" customHeight="1" x14ac:dyDescent="0.3">
      <c r="F571" s="108"/>
      <c r="G571" s="108"/>
      <c r="H571" s="108"/>
      <c r="I571" s="109"/>
      <c r="J571" s="110"/>
      <c r="K571" s="109"/>
      <c r="L571" s="110"/>
      <c r="M571" s="109"/>
      <c r="N571" s="110"/>
      <c r="O571" s="107"/>
    </row>
    <row r="572" spans="6:15" ht="14.25" customHeight="1" x14ac:dyDescent="0.3">
      <c r="F572" s="108"/>
      <c r="G572" s="108"/>
      <c r="H572" s="108"/>
      <c r="I572" s="109"/>
      <c r="J572" s="110"/>
      <c r="K572" s="109"/>
      <c r="L572" s="110"/>
      <c r="M572" s="109"/>
      <c r="N572" s="110"/>
      <c r="O572" s="107"/>
    </row>
    <row r="573" spans="6:15" ht="14.25" customHeight="1" x14ac:dyDescent="0.3">
      <c r="F573" s="108"/>
      <c r="G573" s="108"/>
      <c r="H573" s="108"/>
      <c r="I573" s="109"/>
      <c r="J573" s="110"/>
      <c r="K573" s="109"/>
      <c r="L573" s="110"/>
      <c r="M573" s="109"/>
      <c r="N573" s="110"/>
      <c r="O573" s="107"/>
    </row>
    <row r="574" spans="6:15" ht="14.25" customHeight="1" x14ac:dyDescent="0.3">
      <c r="F574" s="108"/>
      <c r="G574" s="108"/>
      <c r="H574" s="108"/>
      <c r="I574" s="109"/>
      <c r="J574" s="110"/>
      <c r="K574" s="109"/>
      <c r="L574" s="110"/>
      <c r="M574" s="109"/>
      <c r="N574" s="110"/>
      <c r="O574" s="107"/>
    </row>
    <row r="575" spans="6:15" ht="14.25" customHeight="1" x14ac:dyDescent="0.3">
      <c r="F575" s="108"/>
      <c r="G575" s="108"/>
      <c r="H575" s="108"/>
      <c r="I575" s="109"/>
      <c r="J575" s="110"/>
      <c r="K575" s="109"/>
      <c r="L575" s="110"/>
      <c r="M575" s="109"/>
      <c r="N575" s="110"/>
      <c r="O575" s="107"/>
    </row>
    <row r="576" spans="6:15" ht="14.25" customHeight="1" x14ac:dyDescent="0.3">
      <c r="F576" s="108"/>
      <c r="G576" s="108"/>
      <c r="H576" s="108"/>
      <c r="I576" s="109"/>
      <c r="J576" s="110"/>
      <c r="K576" s="109"/>
      <c r="L576" s="110"/>
      <c r="M576" s="109"/>
      <c r="N576" s="110"/>
      <c r="O576" s="107"/>
    </row>
    <row r="577" spans="6:15" ht="14.25" customHeight="1" x14ac:dyDescent="0.3">
      <c r="F577" s="108"/>
      <c r="G577" s="108"/>
      <c r="H577" s="108"/>
      <c r="I577" s="109"/>
      <c r="J577" s="110"/>
      <c r="K577" s="109"/>
      <c r="L577" s="110"/>
      <c r="M577" s="109"/>
      <c r="N577" s="110"/>
      <c r="O577" s="107"/>
    </row>
    <row r="578" spans="6:15" ht="14.25" customHeight="1" x14ac:dyDescent="0.3">
      <c r="F578" s="108"/>
      <c r="G578" s="108"/>
      <c r="H578" s="108"/>
      <c r="I578" s="109"/>
      <c r="J578" s="110"/>
      <c r="K578" s="109"/>
      <c r="L578" s="110"/>
      <c r="M578" s="109"/>
      <c r="N578" s="110"/>
      <c r="O578" s="107"/>
    </row>
    <row r="579" spans="6:15" ht="14.25" customHeight="1" x14ac:dyDescent="0.3">
      <c r="F579" s="108"/>
      <c r="G579" s="108"/>
      <c r="H579" s="108"/>
      <c r="I579" s="109"/>
      <c r="J579" s="110"/>
      <c r="K579" s="109"/>
      <c r="L579" s="110"/>
      <c r="M579" s="109"/>
      <c r="N579" s="110"/>
      <c r="O579" s="107"/>
    </row>
    <row r="580" spans="6:15" ht="14.25" customHeight="1" x14ac:dyDescent="0.3">
      <c r="F580" s="108"/>
      <c r="G580" s="108"/>
      <c r="H580" s="108"/>
      <c r="I580" s="109"/>
      <c r="J580" s="110"/>
      <c r="K580" s="109"/>
      <c r="L580" s="110"/>
      <c r="M580" s="109"/>
      <c r="N580" s="110"/>
      <c r="O580" s="107"/>
    </row>
    <row r="581" spans="6:15" ht="14.25" customHeight="1" x14ac:dyDescent="0.3">
      <c r="F581" s="108"/>
      <c r="G581" s="108"/>
      <c r="H581" s="108"/>
      <c r="I581" s="109"/>
      <c r="J581" s="110"/>
      <c r="K581" s="109"/>
      <c r="L581" s="110"/>
      <c r="M581" s="109"/>
      <c r="N581" s="110"/>
      <c r="O581" s="107"/>
    </row>
    <row r="582" spans="6:15" ht="14.25" customHeight="1" x14ac:dyDescent="0.3">
      <c r="F582" s="108"/>
      <c r="G582" s="108"/>
      <c r="H582" s="108"/>
      <c r="I582" s="109"/>
      <c r="J582" s="110"/>
      <c r="K582" s="109"/>
      <c r="L582" s="110"/>
      <c r="M582" s="109"/>
      <c r="N582" s="110"/>
      <c r="O582" s="107"/>
    </row>
    <row r="583" spans="6:15" ht="14.25" customHeight="1" x14ac:dyDescent="0.3">
      <c r="F583" s="108"/>
      <c r="G583" s="108"/>
      <c r="H583" s="108"/>
      <c r="I583" s="109"/>
      <c r="J583" s="110"/>
      <c r="K583" s="109"/>
      <c r="L583" s="110"/>
      <c r="M583" s="109"/>
      <c r="N583" s="110"/>
      <c r="O583" s="107"/>
    </row>
    <row r="584" spans="6:15" ht="14.25" customHeight="1" x14ac:dyDescent="0.3">
      <c r="F584" s="108"/>
      <c r="G584" s="108"/>
      <c r="H584" s="108"/>
      <c r="I584" s="109"/>
      <c r="J584" s="110"/>
      <c r="K584" s="109"/>
      <c r="L584" s="110"/>
      <c r="M584" s="109"/>
      <c r="N584" s="110"/>
      <c r="O584" s="107"/>
    </row>
    <row r="585" spans="6:15" ht="14.25" customHeight="1" x14ac:dyDescent="0.3">
      <c r="F585" s="108"/>
      <c r="G585" s="108"/>
      <c r="H585" s="108"/>
      <c r="I585" s="109"/>
      <c r="J585" s="110"/>
      <c r="K585" s="109"/>
      <c r="L585" s="110"/>
      <c r="M585" s="109"/>
      <c r="N585" s="110"/>
      <c r="O585" s="107"/>
    </row>
    <row r="586" spans="6:15" ht="14.25" customHeight="1" x14ac:dyDescent="0.3">
      <c r="F586" s="108"/>
      <c r="G586" s="108"/>
      <c r="H586" s="108"/>
      <c r="I586" s="109"/>
      <c r="J586" s="110"/>
      <c r="K586" s="109"/>
      <c r="L586" s="110"/>
      <c r="M586" s="109"/>
      <c r="N586" s="110"/>
      <c r="O586" s="107"/>
    </row>
    <row r="587" spans="6:15" ht="14.25" customHeight="1" x14ac:dyDescent="0.3">
      <c r="F587" s="108"/>
      <c r="G587" s="108"/>
      <c r="H587" s="108"/>
      <c r="I587" s="109"/>
      <c r="J587" s="110"/>
      <c r="K587" s="109"/>
      <c r="L587" s="110"/>
      <c r="M587" s="109"/>
      <c r="N587" s="110"/>
      <c r="O587" s="107"/>
    </row>
    <row r="588" spans="6:15" ht="14.25" customHeight="1" x14ac:dyDescent="0.3">
      <c r="F588" s="108"/>
      <c r="G588" s="108"/>
      <c r="H588" s="108"/>
      <c r="I588" s="109"/>
      <c r="J588" s="110"/>
      <c r="K588" s="109"/>
      <c r="L588" s="110"/>
      <c r="M588" s="109"/>
      <c r="N588" s="110"/>
      <c r="O588" s="107"/>
    </row>
    <row r="589" spans="6:15" ht="14.25" customHeight="1" x14ac:dyDescent="0.3">
      <c r="F589" s="108"/>
      <c r="G589" s="108"/>
      <c r="H589" s="108"/>
      <c r="I589" s="109"/>
      <c r="J589" s="110"/>
      <c r="K589" s="109"/>
      <c r="L589" s="110"/>
      <c r="M589" s="109"/>
      <c r="N589" s="110"/>
      <c r="O589" s="107"/>
    </row>
    <row r="590" spans="6:15" ht="14.25" customHeight="1" x14ac:dyDescent="0.3">
      <c r="F590" s="108"/>
      <c r="G590" s="108"/>
      <c r="H590" s="108"/>
      <c r="I590" s="109"/>
      <c r="J590" s="110"/>
      <c r="K590" s="109"/>
      <c r="L590" s="110"/>
      <c r="M590" s="109"/>
      <c r="N590" s="110"/>
      <c r="O590" s="107"/>
    </row>
    <row r="591" spans="6:15" ht="14.25" customHeight="1" x14ac:dyDescent="0.3">
      <c r="F591" s="108"/>
      <c r="G591" s="108"/>
      <c r="H591" s="108"/>
      <c r="I591" s="109"/>
      <c r="J591" s="110"/>
      <c r="K591" s="109"/>
      <c r="L591" s="110"/>
      <c r="M591" s="109"/>
      <c r="N591" s="110"/>
      <c r="O591" s="107"/>
    </row>
    <row r="592" spans="6:15" ht="14.25" customHeight="1" x14ac:dyDescent="0.3">
      <c r="F592" s="108"/>
      <c r="G592" s="108"/>
      <c r="H592" s="108"/>
      <c r="I592" s="109"/>
      <c r="J592" s="110"/>
      <c r="K592" s="109"/>
      <c r="L592" s="110"/>
      <c r="M592" s="109"/>
      <c r="N592" s="110"/>
      <c r="O592" s="107"/>
    </row>
    <row r="593" spans="6:15" ht="14.25" customHeight="1" x14ac:dyDescent="0.3">
      <c r="F593" s="108"/>
      <c r="G593" s="108"/>
      <c r="H593" s="108"/>
      <c r="I593" s="109"/>
      <c r="J593" s="110"/>
      <c r="K593" s="109"/>
      <c r="L593" s="110"/>
      <c r="M593" s="109"/>
      <c r="N593" s="110"/>
      <c r="O593" s="107"/>
    </row>
    <row r="594" spans="6:15" ht="14.25" customHeight="1" x14ac:dyDescent="0.3">
      <c r="F594" s="108"/>
      <c r="G594" s="108"/>
      <c r="H594" s="108"/>
      <c r="I594" s="109"/>
      <c r="J594" s="110"/>
      <c r="K594" s="109"/>
      <c r="L594" s="110"/>
      <c r="M594" s="109"/>
      <c r="N594" s="110"/>
      <c r="O594" s="107"/>
    </row>
    <row r="595" spans="6:15" ht="14.25" customHeight="1" x14ac:dyDescent="0.3">
      <c r="F595" s="108"/>
      <c r="G595" s="108"/>
      <c r="H595" s="108"/>
      <c r="I595" s="109"/>
      <c r="J595" s="110"/>
      <c r="K595" s="109"/>
      <c r="L595" s="110"/>
      <c r="M595" s="109"/>
      <c r="N595" s="110"/>
      <c r="O595" s="107"/>
    </row>
    <row r="596" spans="6:15" ht="14.25" customHeight="1" x14ac:dyDescent="0.3">
      <c r="F596" s="108"/>
      <c r="G596" s="108"/>
      <c r="H596" s="108"/>
      <c r="I596" s="109"/>
      <c r="J596" s="110"/>
      <c r="K596" s="109"/>
      <c r="L596" s="110"/>
      <c r="M596" s="109"/>
      <c r="N596" s="110"/>
      <c r="O596" s="107"/>
    </row>
    <row r="597" spans="6:15" ht="14.25" customHeight="1" x14ac:dyDescent="0.3">
      <c r="F597" s="108"/>
      <c r="G597" s="108"/>
      <c r="H597" s="108"/>
      <c r="I597" s="109"/>
      <c r="J597" s="110"/>
      <c r="K597" s="109"/>
      <c r="L597" s="110"/>
      <c r="M597" s="109"/>
      <c r="N597" s="110"/>
      <c r="O597" s="107"/>
    </row>
    <row r="598" spans="6:15" ht="14.25" customHeight="1" x14ac:dyDescent="0.3">
      <c r="F598" s="108"/>
      <c r="G598" s="108"/>
      <c r="H598" s="108"/>
      <c r="I598" s="109"/>
      <c r="J598" s="110"/>
      <c r="K598" s="109"/>
      <c r="L598" s="110"/>
      <c r="M598" s="109"/>
      <c r="N598" s="110"/>
      <c r="O598" s="107"/>
    </row>
    <row r="599" spans="6:15" ht="14.25" customHeight="1" x14ac:dyDescent="0.3">
      <c r="F599" s="108"/>
      <c r="G599" s="108"/>
      <c r="H599" s="108"/>
      <c r="I599" s="109"/>
      <c r="J599" s="110"/>
      <c r="K599" s="109"/>
      <c r="L599" s="110"/>
      <c r="M599" s="109"/>
      <c r="N599" s="110"/>
      <c r="O599" s="107"/>
    </row>
    <row r="600" spans="6:15" ht="14.25" customHeight="1" x14ac:dyDescent="0.3">
      <c r="F600" s="108"/>
      <c r="G600" s="108"/>
      <c r="H600" s="108"/>
      <c r="I600" s="109"/>
      <c r="J600" s="110"/>
      <c r="K600" s="109"/>
      <c r="L600" s="110"/>
      <c r="M600" s="109"/>
      <c r="N600" s="110"/>
      <c r="O600" s="107"/>
    </row>
    <row r="601" spans="6:15" ht="14.25" customHeight="1" x14ac:dyDescent="0.3">
      <c r="F601" s="108"/>
      <c r="G601" s="108"/>
      <c r="H601" s="108"/>
      <c r="I601" s="109"/>
      <c r="J601" s="110"/>
      <c r="K601" s="109"/>
      <c r="L601" s="110"/>
      <c r="M601" s="109"/>
      <c r="N601" s="110"/>
      <c r="O601" s="107"/>
    </row>
    <row r="602" spans="6:15" ht="14.25" customHeight="1" x14ac:dyDescent="0.3">
      <c r="F602" s="108"/>
      <c r="G602" s="108"/>
      <c r="H602" s="108"/>
      <c r="I602" s="109"/>
      <c r="J602" s="110"/>
      <c r="K602" s="109"/>
      <c r="L602" s="110"/>
      <c r="M602" s="109"/>
      <c r="N602" s="110"/>
      <c r="O602" s="107"/>
    </row>
    <row r="603" spans="6:15" ht="14.25" customHeight="1" x14ac:dyDescent="0.3">
      <c r="F603" s="108"/>
      <c r="G603" s="108"/>
      <c r="H603" s="108"/>
      <c r="I603" s="109"/>
      <c r="J603" s="110"/>
      <c r="K603" s="109"/>
      <c r="L603" s="110"/>
      <c r="M603" s="109"/>
      <c r="N603" s="110"/>
      <c r="O603" s="107"/>
    </row>
    <row r="604" spans="6:15" ht="14.25" customHeight="1" x14ac:dyDescent="0.3">
      <c r="F604" s="108"/>
      <c r="G604" s="108"/>
      <c r="H604" s="108"/>
      <c r="I604" s="109"/>
      <c r="J604" s="110"/>
      <c r="K604" s="109"/>
      <c r="L604" s="110"/>
      <c r="M604" s="109"/>
      <c r="N604" s="110"/>
      <c r="O604" s="107"/>
    </row>
    <row r="605" spans="6:15" ht="14.25" customHeight="1" x14ac:dyDescent="0.3">
      <c r="F605" s="108"/>
      <c r="G605" s="108"/>
      <c r="H605" s="108"/>
      <c r="I605" s="109"/>
      <c r="J605" s="110"/>
      <c r="K605" s="109"/>
      <c r="L605" s="110"/>
      <c r="M605" s="109"/>
      <c r="N605" s="110"/>
      <c r="O605" s="107"/>
    </row>
    <row r="606" spans="6:15" ht="14.25" customHeight="1" x14ac:dyDescent="0.3">
      <c r="F606" s="108"/>
      <c r="G606" s="108"/>
      <c r="H606" s="108"/>
      <c r="I606" s="109"/>
      <c r="J606" s="110"/>
      <c r="K606" s="109"/>
      <c r="L606" s="110"/>
      <c r="M606" s="109"/>
      <c r="N606" s="110"/>
      <c r="O606" s="107"/>
    </row>
    <row r="607" spans="6:15" ht="14.25" customHeight="1" x14ac:dyDescent="0.3">
      <c r="F607" s="108"/>
      <c r="G607" s="108"/>
      <c r="H607" s="108"/>
      <c r="I607" s="109"/>
      <c r="J607" s="110"/>
      <c r="K607" s="109"/>
      <c r="L607" s="110"/>
      <c r="M607" s="109"/>
      <c r="N607" s="110"/>
      <c r="O607" s="107"/>
    </row>
    <row r="608" spans="6:15" ht="14.25" customHeight="1" x14ac:dyDescent="0.3">
      <c r="F608" s="108"/>
      <c r="G608" s="108"/>
      <c r="H608" s="108"/>
      <c r="I608" s="109"/>
      <c r="J608" s="110"/>
      <c r="K608" s="109"/>
      <c r="L608" s="110"/>
      <c r="M608" s="109"/>
      <c r="N608" s="110"/>
      <c r="O608" s="107"/>
    </row>
    <row r="609" spans="6:15" ht="14.25" customHeight="1" x14ac:dyDescent="0.3">
      <c r="F609" s="108"/>
      <c r="G609" s="108"/>
      <c r="H609" s="108"/>
      <c r="I609" s="109"/>
      <c r="J609" s="110"/>
      <c r="K609" s="109"/>
      <c r="L609" s="110"/>
      <c r="M609" s="109"/>
      <c r="N609" s="110"/>
      <c r="O609" s="107"/>
    </row>
    <row r="610" spans="6:15" ht="14.25" customHeight="1" x14ac:dyDescent="0.3">
      <c r="F610" s="108"/>
      <c r="G610" s="108"/>
      <c r="H610" s="108"/>
      <c r="I610" s="109"/>
      <c r="J610" s="110"/>
      <c r="K610" s="109"/>
      <c r="L610" s="110"/>
      <c r="M610" s="109"/>
      <c r="N610" s="110"/>
      <c r="O610" s="107"/>
    </row>
    <row r="611" spans="6:15" ht="14.25" customHeight="1" x14ac:dyDescent="0.3">
      <c r="F611" s="108"/>
      <c r="G611" s="108"/>
      <c r="H611" s="108"/>
      <c r="I611" s="109"/>
      <c r="J611" s="110"/>
      <c r="K611" s="109"/>
      <c r="L611" s="110"/>
      <c r="M611" s="109"/>
      <c r="N611" s="110"/>
      <c r="O611" s="107"/>
    </row>
    <row r="612" spans="6:15" ht="14.25" customHeight="1" x14ac:dyDescent="0.3">
      <c r="F612" s="108"/>
      <c r="G612" s="108"/>
      <c r="H612" s="108"/>
      <c r="I612" s="109"/>
      <c r="J612" s="110"/>
      <c r="K612" s="109"/>
      <c r="L612" s="110"/>
      <c r="M612" s="109"/>
      <c r="N612" s="110"/>
      <c r="O612" s="107"/>
    </row>
    <row r="613" spans="6:15" ht="14.25" customHeight="1" x14ac:dyDescent="0.3">
      <c r="F613" s="108"/>
      <c r="G613" s="108"/>
      <c r="H613" s="108"/>
      <c r="I613" s="109"/>
      <c r="J613" s="110"/>
      <c r="K613" s="109"/>
      <c r="L613" s="110"/>
      <c r="M613" s="109"/>
      <c r="N613" s="110"/>
      <c r="O613" s="107"/>
    </row>
    <row r="614" spans="6:15" ht="14.25" customHeight="1" x14ac:dyDescent="0.3">
      <c r="F614" s="108"/>
      <c r="G614" s="108"/>
      <c r="H614" s="108"/>
      <c r="I614" s="109"/>
      <c r="J614" s="110"/>
      <c r="K614" s="109"/>
      <c r="L614" s="110"/>
      <c r="M614" s="109"/>
      <c r="N614" s="110"/>
      <c r="O614" s="107"/>
    </row>
    <row r="615" spans="6:15" ht="14.25" customHeight="1" x14ac:dyDescent="0.3">
      <c r="F615" s="108"/>
      <c r="G615" s="108"/>
      <c r="H615" s="108"/>
      <c r="I615" s="109"/>
      <c r="J615" s="110"/>
      <c r="K615" s="109"/>
      <c r="L615" s="110"/>
      <c r="M615" s="109"/>
      <c r="N615" s="110"/>
      <c r="O615" s="107"/>
    </row>
    <row r="616" spans="6:15" ht="14.25" customHeight="1" x14ac:dyDescent="0.3">
      <c r="F616" s="108"/>
      <c r="G616" s="108"/>
      <c r="H616" s="108"/>
      <c r="I616" s="109"/>
      <c r="J616" s="110"/>
      <c r="K616" s="109"/>
      <c r="L616" s="110"/>
      <c r="M616" s="109"/>
      <c r="N616" s="110"/>
      <c r="O616" s="107"/>
    </row>
    <row r="617" spans="6:15" ht="14.25" customHeight="1" x14ac:dyDescent="0.3">
      <c r="F617" s="108"/>
      <c r="G617" s="108"/>
      <c r="H617" s="108"/>
      <c r="I617" s="109"/>
      <c r="J617" s="110"/>
      <c r="K617" s="109"/>
      <c r="L617" s="110"/>
      <c r="M617" s="109"/>
      <c r="N617" s="110"/>
      <c r="O617" s="107"/>
    </row>
    <row r="618" spans="6:15" ht="14.25" customHeight="1" x14ac:dyDescent="0.3">
      <c r="F618" s="108"/>
      <c r="G618" s="108"/>
      <c r="H618" s="108"/>
      <c r="I618" s="109"/>
      <c r="J618" s="110"/>
      <c r="K618" s="109"/>
      <c r="L618" s="110"/>
      <c r="M618" s="109"/>
      <c r="N618" s="110"/>
      <c r="O618" s="107"/>
    </row>
    <row r="619" spans="6:15" ht="14.25" customHeight="1" x14ac:dyDescent="0.3">
      <c r="F619" s="108"/>
      <c r="G619" s="108"/>
      <c r="H619" s="108"/>
      <c r="I619" s="109"/>
      <c r="J619" s="110"/>
      <c r="K619" s="109"/>
      <c r="L619" s="110"/>
      <c r="M619" s="109"/>
      <c r="N619" s="110"/>
      <c r="O619" s="107"/>
    </row>
    <row r="620" spans="6:15" ht="14.25" customHeight="1" x14ac:dyDescent="0.3">
      <c r="F620" s="108"/>
      <c r="G620" s="108"/>
      <c r="H620" s="108"/>
      <c r="I620" s="109"/>
      <c r="J620" s="110"/>
      <c r="K620" s="109"/>
      <c r="L620" s="110"/>
      <c r="M620" s="109"/>
      <c r="N620" s="110"/>
      <c r="O620" s="107"/>
    </row>
    <row r="621" spans="6:15" ht="14.25" customHeight="1" x14ac:dyDescent="0.3">
      <c r="F621" s="108"/>
      <c r="G621" s="108"/>
      <c r="H621" s="108"/>
      <c r="I621" s="109"/>
      <c r="J621" s="110"/>
      <c r="K621" s="109"/>
      <c r="L621" s="110"/>
      <c r="M621" s="109"/>
      <c r="N621" s="110"/>
      <c r="O621" s="107"/>
    </row>
    <row r="622" spans="6:15" ht="14.25" customHeight="1" x14ac:dyDescent="0.3">
      <c r="F622" s="108"/>
      <c r="G622" s="108"/>
      <c r="H622" s="108"/>
      <c r="I622" s="109"/>
      <c r="J622" s="110"/>
      <c r="K622" s="109"/>
      <c r="L622" s="110"/>
      <c r="M622" s="109"/>
      <c r="N622" s="110"/>
      <c r="O622" s="107"/>
    </row>
    <row r="623" spans="6:15" ht="14.25" customHeight="1" x14ac:dyDescent="0.3">
      <c r="F623" s="108"/>
      <c r="G623" s="108"/>
      <c r="H623" s="108"/>
      <c r="I623" s="109"/>
      <c r="J623" s="110"/>
      <c r="K623" s="109"/>
      <c r="L623" s="110"/>
      <c r="M623" s="109"/>
      <c r="N623" s="110"/>
      <c r="O623" s="107"/>
    </row>
    <row r="624" spans="6:15" ht="14.25" customHeight="1" x14ac:dyDescent="0.3">
      <c r="F624" s="108"/>
      <c r="G624" s="108"/>
      <c r="H624" s="108"/>
      <c r="I624" s="109"/>
      <c r="J624" s="110"/>
      <c r="K624" s="109"/>
      <c r="L624" s="110"/>
      <c r="M624" s="109"/>
      <c r="N624" s="110"/>
      <c r="O624" s="107"/>
    </row>
    <row r="625" spans="6:15" ht="14.25" customHeight="1" x14ac:dyDescent="0.3">
      <c r="F625" s="108"/>
      <c r="G625" s="108"/>
      <c r="H625" s="108"/>
      <c r="I625" s="109"/>
      <c r="J625" s="110"/>
      <c r="K625" s="109"/>
      <c r="L625" s="110"/>
      <c r="M625" s="109"/>
      <c r="N625" s="110"/>
      <c r="O625" s="107"/>
    </row>
    <row r="626" spans="6:15" ht="14.25" customHeight="1" x14ac:dyDescent="0.3">
      <c r="F626" s="108"/>
      <c r="G626" s="108"/>
      <c r="H626" s="108"/>
      <c r="I626" s="109"/>
      <c r="J626" s="110"/>
      <c r="K626" s="109"/>
      <c r="L626" s="110"/>
      <c r="M626" s="109"/>
      <c r="N626" s="110"/>
      <c r="O626" s="107"/>
    </row>
    <row r="627" spans="6:15" ht="14.25" customHeight="1" x14ac:dyDescent="0.3">
      <c r="F627" s="108"/>
      <c r="G627" s="108"/>
      <c r="H627" s="108"/>
      <c r="I627" s="109"/>
      <c r="J627" s="110"/>
      <c r="K627" s="109"/>
      <c r="L627" s="110"/>
      <c r="M627" s="109"/>
      <c r="N627" s="110"/>
      <c r="O627" s="107"/>
    </row>
    <row r="628" spans="6:15" ht="14.25" customHeight="1" x14ac:dyDescent="0.3">
      <c r="F628" s="108"/>
      <c r="G628" s="108"/>
      <c r="H628" s="108"/>
      <c r="I628" s="109"/>
      <c r="J628" s="110"/>
      <c r="K628" s="109"/>
      <c r="L628" s="110"/>
      <c r="M628" s="109"/>
      <c r="N628" s="110"/>
      <c r="O628" s="107"/>
    </row>
    <row r="629" spans="6:15" ht="14.25" customHeight="1" x14ac:dyDescent="0.3">
      <c r="F629" s="108"/>
      <c r="G629" s="108"/>
      <c r="H629" s="108"/>
      <c r="I629" s="109"/>
      <c r="J629" s="110"/>
      <c r="K629" s="109"/>
      <c r="L629" s="110"/>
      <c r="M629" s="109"/>
      <c r="N629" s="110"/>
      <c r="O629" s="107"/>
    </row>
    <row r="630" spans="6:15" ht="14.25" customHeight="1" x14ac:dyDescent="0.3">
      <c r="F630" s="108"/>
      <c r="G630" s="108"/>
      <c r="H630" s="108"/>
      <c r="I630" s="109"/>
      <c r="J630" s="110"/>
      <c r="K630" s="109"/>
      <c r="L630" s="110"/>
      <c r="M630" s="109"/>
      <c r="N630" s="110"/>
      <c r="O630" s="107"/>
    </row>
    <row r="631" spans="6:15" ht="14.25" customHeight="1" x14ac:dyDescent="0.3">
      <c r="F631" s="108"/>
      <c r="G631" s="108"/>
      <c r="H631" s="108"/>
      <c r="I631" s="109"/>
      <c r="J631" s="110"/>
      <c r="K631" s="109"/>
      <c r="L631" s="110"/>
      <c r="M631" s="109"/>
      <c r="N631" s="110"/>
      <c r="O631" s="107"/>
    </row>
    <row r="632" spans="6:15" ht="14.25" customHeight="1" x14ac:dyDescent="0.3">
      <c r="F632" s="108"/>
      <c r="G632" s="108"/>
      <c r="H632" s="108"/>
      <c r="I632" s="109"/>
      <c r="J632" s="110"/>
      <c r="K632" s="109"/>
      <c r="L632" s="110"/>
      <c r="M632" s="109"/>
      <c r="N632" s="110"/>
      <c r="O632" s="107"/>
    </row>
    <row r="633" spans="6:15" ht="14.25" customHeight="1" x14ac:dyDescent="0.3">
      <c r="F633" s="108"/>
      <c r="G633" s="108"/>
      <c r="H633" s="108"/>
      <c r="I633" s="109"/>
      <c r="J633" s="110"/>
      <c r="K633" s="109"/>
      <c r="L633" s="110"/>
      <c r="M633" s="109"/>
      <c r="N633" s="110"/>
      <c r="O633" s="107"/>
    </row>
    <row r="634" spans="6:15" ht="14.25" customHeight="1" x14ac:dyDescent="0.3">
      <c r="F634" s="108"/>
      <c r="G634" s="108"/>
      <c r="H634" s="108"/>
      <c r="I634" s="109"/>
      <c r="J634" s="110"/>
      <c r="K634" s="109"/>
      <c r="L634" s="110"/>
      <c r="M634" s="109"/>
      <c r="N634" s="110"/>
      <c r="O634" s="107"/>
    </row>
    <row r="635" spans="6:15" ht="14.25" customHeight="1" x14ac:dyDescent="0.3">
      <c r="F635" s="108"/>
      <c r="G635" s="108"/>
      <c r="H635" s="108"/>
      <c r="I635" s="109"/>
      <c r="J635" s="110"/>
      <c r="K635" s="109"/>
      <c r="L635" s="110"/>
      <c r="M635" s="109"/>
      <c r="N635" s="110"/>
      <c r="O635" s="107"/>
    </row>
    <row r="636" spans="6:15" ht="14.25" customHeight="1" x14ac:dyDescent="0.3">
      <c r="F636" s="108"/>
      <c r="G636" s="108"/>
      <c r="H636" s="108"/>
      <c r="I636" s="109"/>
      <c r="J636" s="110"/>
      <c r="K636" s="109"/>
      <c r="L636" s="110"/>
      <c r="M636" s="109"/>
      <c r="N636" s="110"/>
      <c r="O636" s="107"/>
    </row>
    <row r="637" spans="6:15" ht="14.25" customHeight="1" x14ac:dyDescent="0.3">
      <c r="F637" s="108"/>
      <c r="G637" s="108"/>
      <c r="H637" s="108"/>
      <c r="I637" s="109"/>
      <c r="J637" s="110"/>
      <c r="K637" s="109"/>
      <c r="L637" s="110"/>
      <c r="M637" s="109"/>
      <c r="N637" s="110"/>
      <c r="O637" s="107"/>
    </row>
    <row r="638" spans="6:15" ht="14.25" customHeight="1" x14ac:dyDescent="0.3">
      <c r="F638" s="108"/>
      <c r="G638" s="108"/>
      <c r="H638" s="108"/>
      <c r="I638" s="109"/>
      <c r="J638" s="110"/>
      <c r="K638" s="109"/>
      <c r="L638" s="110"/>
      <c r="M638" s="109"/>
      <c r="N638" s="110"/>
      <c r="O638" s="107"/>
    </row>
    <row r="639" spans="6:15" ht="14.25" customHeight="1" x14ac:dyDescent="0.3">
      <c r="F639" s="108"/>
      <c r="G639" s="108"/>
      <c r="H639" s="108"/>
      <c r="I639" s="109"/>
      <c r="J639" s="110"/>
      <c r="K639" s="109"/>
      <c r="L639" s="110"/>
      <c r="M639" s="109"/>
      <c r="N639" s="110"/>
      <c r="O639" s="107"/>
    </row>
    <row r="640" spans="6:15" ht="14.25" customHeight="1" x14ac:dyDescent="0.3">
      <c r="F640" s="108"/>
      <c r="G640" s="108"/>
      <c r="H640" s="108"/>
      <c r="I640" s="109"/>
      <c r="J640" s="110"/>
      <c r="K640" s="109"/>
      <c r="L640" s="110"/>
      <c r="M640" s="109"/>
      <c r="N640" s="110"/>
      <c r="O640" s="107"/>
    </row>
    <row r="641" spans="6:15" ht="14.25" customHeight="1" x14ac:dyDescent="0.3">
      <c r="F641" s="108"/>
      <c r="G641" s="108"/>
      <c r="H641" s="108"/>
      <c r="I641" s="109"/>
      <c r="J641" s="110"/>
      <c r="K641" s="109"/>
      <c r="L641" s="110"/>
      <c r="M641" s="109"/>
      <c r="N641" s="110"/>
      <c r="O641" s="107"/>
    </row>
    <row r="642" spans="6:15" ht="14.25" customHeight="1" x14ac:dyDescent="0.3">
      <c r="F642" s="108"/>
      <c r="G642" s="108"/>
      <c r="H642" s="108"/>
      <c r="I642" s="109"/>
      <c r="J642" s="110"/>
      <c r="K642" s="109"/>
      <c r="L642" s="110"/>
      <c r="M642" s="109"/>
      <c r="N642" s="110"/>
      <c r="O642" s="107"/>
    </row>
    <row r="643" spans="6:15" ht="14.25" customHeight="1" x14ac:dyDescent="0.3">
      <c r="F643" s="108"/>
      <c r="G643" s="108"/>
      <c r="H643" s="108"/>
      <c r="I643" s="109"/>
      <c r="J643" s="110"/>
      <c r="K643" s="109"/>
      <c r="L643" s="110"/>
      <c r="M643" s="109"/>
      <c r="N643" s="110"/>
      <c r="O643" s="107"/>
    </row>
    <row r="644" spans="6:15" ht="14.25" customHeight="1" x14ac:dyDescent="0.3">
      <c r="F644" s="108"/>
      <c r="G644" s="108"/>
      <c r="H644" s="108"/>
      <c r="I644" s="109"/>
      <c r="J644" s="110"/>
      <c r="K644" s="109"/>
      <c r="L644" s="110"/>
      <c r="M644" s="109"/>
      <c r="N644" s="110"/>
      <c r="O644" s="107"/>
    </row>
    <row r="645" spans="6:15" ht="14.25" customHeight="1" x14ac:dyDescent="0.3">
      <c r="F645" s="108"/>
      <c r="G645" s="108"/>
      <c r="H645" s="108"/>
      <c r="I645" s="109"/>
      <c r="J645" s="110"/>
      <c r="K645" s="109"/>
      <c r="L645" s="110"/>
      <c r="M645" s="109"/>
      <c r="N645" s="110"/>
      <c r="O645" s="107"/>
    </row>
    <row r="646" spans="6:15" ht="14.25" customHeight="1" x14ac:dyDescent="0.3">
      <c r="F646" s="108"/>
      <c r="G646" s="108"/>
      <c r="H646" s="108"/>
      <c r="I646" s="109"/>
      <c r="J646" s="110"/>
      <c r="K646" s="109"/>
      <c r="L646" s="110"/>
      <c r="M646" s="109"/>
      <c r="N646" s="110"/>
      <c r="O646" s="107"/>
    </row>
    <row r="647" spans="6:15" ht="14.25" customHeight="1" x14ac:dyDescent="0.3">
      <c r="F647" s="108"/>
      <c r="G647" s="108"/>
      <c r="H647" s="108"/>
      <c r="I647" s="109"/>
      <c r="J647" s="110"/>
      <c r="K647" s="109"/>
      <c r="L647" s="110"/>
      <c r="M647" s="109"/>
      <c r="N647" s="110"/>
      <c r="O647" s="107"/>
    </row>
    <row r="648" spans="6:15" ht="14.25" customHeight="1" x14ac:dyDescent="0.3">
      <c r="F648" s="108"/>
      <c r="G648" s="108"/>
      <c r="H648" s="108"/>
      <c r="I648" s="109"/>
      <c r="J648" s="110"/>
      <c r="K648" s="109"/>
      <c r="L648" s="110"/>
      <c r="M648" s="109"/>
      <c r="N648" s="110"/>
      <c r="O648" s="107"/>
    </row>
    <row r="649" spans="6:15" ht="14.25" customHeight="1" x14ac:dyDescent="0.3">
      <c r="F649" s="108"/>
      <c r="G649" s="108"/>
      <c r="H649" s="108"/>
      <c r="I649" s="109"/>
      <c r="J649" s="110"/>
      <c r="K649" s="109"/>
      <c r="L649" s="110"/>
      <c r="M649" s="109"/>
      <c r="N649" s="110"/>
      <c r="O649" s="107"/>
    </row>
    <row r="650" spans="6:15" ht="14.25" customHeight="1" x14ac:dyDescent="0.3">
      <c r="F650" s="108"/>
      <c r="G650" s="108"/>
      <c r="H650" s="108"/>
      <c r="I650" s="109"/>
      <c r="J650" s="110"/>
      <c r="K650" s="109"/>
      <c r="L650" s="110"/>
      <c r="M650" s="109"/>
      <c r="N650" s="110"/>
      <c r="O650" s="107"/>
    </row>
    <row r="651" spans="6:15" ht="14.25" customHeight="1" x14ac:dyDescent="0.3">
      <c r="F651" s="108"/>
      <c r="G651" s="108"/>
      <c r="H651" s="108"/>
      <c r="I651" s="109"/>
      <c r="J651" s="110"/>
      <c r="K651" s="109"/>
      <c r="L651" s="110"/>
      <c r="M651" s="109"/>
      <c r="N651" s="110"/>
      <c r="O651" s="107"/>
    </row>
    <row r="652" spans="6:15" ht="14.25" customHeight="1" x14ac:dyDescent="0.3">
      <c r="F652" s="108"/>
      <c r="G652" s="108"/>
      <c r="H652" s="108"/>
      <c r="I652" s="109"/>
      <c r="J652" s="110"/>
      <c r="K652" s="109"/>
      <c r="L652" s="110"/>
      <c r="M652" s="109"/>
      <c r="N652" s="110"/>
      <c r="O652" s="107"/>
    </row>
    <row r="653" spans="6:15" ht="14.25" customHeight="1" x14ac:dyDescent="0.3">
      <c r="F653" s="108"/>
      <c r="G653" s="108"/>
      <c r="H653" s="108"/>
      <c r="I653" s="109"/>
      <c r="J653" s="110"/>
      <c r="K653" s="109"/>
      <c r="L653" s="110"/>
      <c r="M653" s="109"/>
      <c r="N653" s="110"/>
      <c r="O653" s="107"/>
    </row>
    <row r="654" spans="6:15" ht="14.25" customHeight="1" x14ac:dyDescent="0.3">
      <c r="F654" s="108"/>
      <c r="G654" s="108"/>
      <c r="H654" s="108"/>
      <c r="I654" s="109"/>
      <c r="J654" s="110"/>
      <c r="K654" s="109"/>
      <c r="L654" s="110"/>
      <c r="M654" s="109"/>
      <c r="N654" s="110"/>
      <c r="O654" s="107"/>
    </row>
    <row r="655" spans="6:15" ht="14.25" customHeight="1" x14ac:dyDescent="0.3">
      <c r="F655" s="108"/>
      <c r="G655" s="108"/>
      <c r="H655" s="108"/>
      <c r="I655" s="109"/>
      <c r="J655" s="110"/>
      <c r="K655" s="109"/>
      <c r="L655" s="110"/>
      <c r="M655" s="109"/>
      <c r="N655" s="110"/>
      <c r="O655" s="107"/>
    </row>
    <row r="656" spans="6:15" ht="14.25" customHeight="1" x14ac:dyDescent="0.3">
      <c r="F656" s="108"/>
      <c r="G656" s="108"/>
      <c r="H656" s="108"/>
      <c r="I656" s="109"/>
      <c r="J656" s="110"/>
      <c r="K656" s="109"/>
      <c r="L656" s="110"/>
      <c r="M656" s="109"/>
      <c r="N656" s="110"/>
      <c r="O656" s="107"/>
    </row>
    <row r="657" spans="6:15" ht="14.25" customHeight="1" x14ac:dyDescent="0.3">
      <c r="F657" s="108"/>
      <c r="G657" s="108"/>
      <c r="H657" s="108"/>
      <c r="I657" s="109"/>
      <c r="J657" s="110"/>
      <c r="K657" s="109"/>
      <c r="L657" s="110"/>
      <c r="M657" s="109"/>
      <c r="N657" s="110"/>
      <c r="O657" s="107"/>
    </row>
    <row r="658" spans="6:15" ht="14.25" customHeight="1" x14ac:dyDescent="0.3">
      <c r="F658" s="108"/>
      <c r="G658" s="108"/>
      <c r="H658" s="108"/>
      <c r="I658" s="109"/>
      <c r="J658" s="110"/>
      <c r="K658" s="109"/>
      <c r="L658" s="110"/>
      <c r="M658" s="109"/>
      <c r="N658" s="110"/>
      <c r="O658" s="107"/>
    </row>
    <row r="659" spans="6:15" ht="14.25" customHeight="1" x14ac:dyDescent="0.3">
      <c r="F659" s="108"/>
      <c r="G659" s="108"/>
      <c r="H659" s="108"/>
      <c r="I659" s="109"/>
      <c r="J659" s="110"/>
      <c r="K659" s="109"/>
      <c r="L659" s="110"/>
      <c r="M659" s="109"/>
      <c r="N659" s="110"/>
      <c r="O659" s="107"/>
    </row>
    <row r="660" spans="6:15" ht="14.25" customHeight="1" x14ac:dyDescent="0.3">
      <c r="F660" s="108"/>
      <c r="G660" s="108"/>
      <c r="H660" s="108"/>
      <c r="I660" s="109"/>
      <c r="J660" s="110"/>
      <c r="K660" s="109"/>
      <c r="L660" s="110"/>
      <c r="M660" s="109"/>
      <c r="N660" s="110"/>
      <c r="O660" s="107"/>
    </row>
    <row r="661" spans="6:15" ht="14.25" customHeight="1" x14ac:dyDescent="0.3">
      <c r="F661" s="108"/>
      <c r="G661" s="108"/>
      <c r="H661" s="108"/>
      <c r="I661" s="109"/>
      <c r="J661" s="110"/>
      <c r="K661" s="109"/>
      <c r="L661" s="110"/>
      <c r="M661" s="109"/>
      <c r="N661" s="110"/>
      <c r="O661" s="107"/>
    </row>
    <row r="662" spans="6:15" ht="14.25" customHeight="1" x14ac:dyDescent="0.3">
      <c r="F662" s="108"/>
      <c r="G662" s="108"/>
      <c r="H662" s="108"/>
      <c r="I662" s="109"/>
      <c r="J662" s="110"/>
      <c r="K662" s="109"/>
      <c r="L662" s="110"/>
      <c r="M662" s="109"/>
      <c r="N662" s="110"/>
      <c r="O662" s="107"/>
    </row>
    <row r="663" spans="6:15" ht="14.25" customHeight="1" x14ac:dyDescent="0.3">
      <c r="F663" s="108"/>
      <c r="G663" s="108"/>
      <c r="H663" s="108"/>
      <c r="I663" s="109"/>
      <c r="J663" s="110"/>
      <c r="K663" s="109"/>
      <c r="L663" s="110"/>
      <c r="M663" s="109"/>
      <c r="N663" s="110"/>
      <c r="O663" s="107"/>
    </row>
    <row r="664" spans="6:15" ht="14.25" customHeight="1" x14ac:dyDescent="0.3">
      <c r="F664" s="108"/>
      <c r="G664" s="108"/>
      <c r="H664" s="108"/>
      <c r="I664" s="109"/>
      <c r="J664" s="110"/>
      <c r="K664" s="109"/>
      <c r="L664" s="110"/>
      <c r="M664" s="109"/>
      <c r="N664" s="110"/>
      <c r="O664" s="107"/>
    </row>
    <row r="665" spans="6:15" ht="14.25" customHeight="1" x14ac:dyDescent="0.3">
      <c r="F665" s="108"/>
      <c r="G665" s="108"/>
      <c r="H665" s="108"/>
      <c r="I665" s="109"/>
      <c r="J665" s="110"/>
      <c r="K665" s="109"/>
      <c r="L665" s="110"/>
      <c r="M665" s="109"/>
      <c r="N665" s="110"/>
      <c r="O665" s="107"/>
    </row>
    <row r="666" spans="6:15" ht="14.25" customHeight="1" x14ac:dyDescent="0.3">
      <c r="F666" s="108"/>
      <c r="G666" s="108"/>
      <c r="H666" s="108"/>
      <c r="I666" s="109"/>
      <c r="J666" s="110"/>
      <c r="K666" s="109"/>
      <c r="L666" s="110"/>
      <c r="M666" s="109"/>
      <c r="N666" s="110"/>
      <c r="O666" s="107"/>
    </row>
    <row r="667" spans="6:15" ht="14.25" customHeight="1" x14ac:dyDescent="0.3">
      <c r="F667" s="108"/>
      <c r="G667" s="108"/>
      <c r="H667" s="108"/>
      <c r="I667" s="109"/>
      <c r="J667" s="110"/>
      <c r="K667" s="109"/>
      <c r="L667" s="110"/>
      <c r="M667" s="109"/>
      <c r="N667" s="110"/>
      <c r="O667" s="107"/>
    </row>
    <row r="668" spans="6:15" ht="14.25" customHeight="1" x14ac:dyDescent="0.3">
      <c r="F668" s="108"/>
      <c r="G668" s="108"/>
      <c r="H668" s="108"/>
      <c r="I668" s="109"/>
      <c r="J668" s="110"/>
      <c r="K668" s="109"/>
      <c r="L668" s="110"/>
      <c r="M668" s="109"/>
      <c r="N668" s="110"/>
      <c r="O668" s="107"/>
    </row>
    <row r="669" spans="6:15" ht="14.25" customHeight="1" x14ac:dyDescent="0.3">
      <c r="F669" s="108"/>
      <c r="G669" s="108"/>
      <c r="H669" s="108"/>
      <c r="I669" s="109"/>
      <c r="J669" s="110"/>
      <c r="K669" s="109"/>
      <c r="L669" s="110"/>
      <c r="M669" s="109"/>
      <c r="N669" s="110"/>
      <c r="O669" s="107"/>
    </row>
    <row r="670" spans="6:15" ht="14.25" customHeight="1" x14ac:dyDescent="0.3">
      <c r="F670" s="108"/>
      <c r="G670" s="108"/>
      <c r="H670" s="108"/>
      <c r="I670" s="109"/>
      <c r="J670" s="110"/>
      <c r="K670" s="109"/>
      <c r="L670" s="110"/>
      <c r="M670" s="109"/>
      <c r="N670" s="110"/>
      <c r="O670" s="107"/>
    </row>
    <row r="671" spans="6:15" ht="14.25" customHeight="1" x14ac:dyDescent="0.3">
      <c r="F671" s="108"/>
      <c r="G671" s="108"/>
      <c r="H671" s="108"/>
      <c r="I671" s="109"/>
      <c r="J671" s="110"/>
      <c r="K671" s="109"/>
      <c r="L671" s="110"/>
      <c r="M671" s="109"/>
      <c r="N671" s="110"/>
      <c r="O671" s="107"/>
    </row>
    <row r="672" spans="6:15" ht="14.25" customHeight="1" x14ac:dyDescent="0.3">
      <c r="F672" s="108"/>
      <c r="G672" s="108"/>
      <c r="H672" s="108"/>
      <c r="I672" s="109"/>
      <c r="J672" s="110"/>
      <c r="K672" s="109"/>
      <c r="L672" s="110"/>
      <c r="M672" s="109"/>
      <c r="N672" s="110"/>
      <c r="O672" s="107"/>
    </row>
    <row r="673" spans="6:15" ht="14.25" customHeight="1" x14ac:dyDescent="0.3">
      <c r="F673" s="108"/>
      <c r="G673" s="108"/>
      <c r="H673" s="108"/>
      <c r="I673" s="109"/>
      <c r="J673" s="110"/>
      <c r="K673" s="109"/>
      <c r="L673" s="110"/>
      <c r="M673" s="109"/>
      <c r="N673" s="110"/>
      <c r="O673" s="107"/>
    </row>
    <row r="674" spans="6:15" ht="14.25" customHeight="1" x14ac:dyDescent="0.3">
      <c r="F674" s="108"/>
      <c r="G674" s="108"/>
      <c r="H674" s="108"/>
      <c r="I674" s="109"/>
      <c r="J674" s="110"/>
      <c r="K674" s="109"/>
      <c r="L674" s="110"/>
      <c r="M674" s="109"/>
      <c r="N674" s="110"/>
      <c r="O674" s="107"/>
    </row>
    <row r="675" spans="6:15" ht="14.25" customHeight="1" x14ac:dyDescent="0.3">
      <c r="F675" s="108"/>
      <c r="G675" s="108"/>
      <c r="H675" s="108"/>
      <c r="I675" s="109"/>
      <c r="J675" s="110"/>
      <c r="K675" s="109"/>
      <c r="L675" s="110"/>
      <c r="M675" s="109"/>
      <c r="N675" s="110"/>
      <c r="O675" s="107"/>
    </row>
    <row r="676" spans="6:15" ht="14.25" customHeight="1" x14ac:dyDescent="0.3">
      <c r="F676" s="108"/>
      <c r="G676" s="108"/>
      <c r="H676" s="108"/>
      <c r="I676" s="109"/>
      <c r="J676" s="110"/>
      <c r="K676" s="109"/>
      <c r="L676" s="110"/>
      <c r="M676" s="109"/>
      <c r="N676" s="110"/>
      <c r="O676" s="107"/>
    </row>
    <row r="677" spans="6:15" ht="14.25" customHeight="1" x14ac:dyDescent="0.3">
      <c r="F677" s="108"/>
      <c r="G677" s="108"/>
      <c r="H677" s="108"/>
      <c r="I677" s="109"/>
      <c r="J677" s="110"/>
      <c r="K677" s="109"/>
      <c r="L677" s="110"/>
      <c r="M677" s="109"/>
      <c r="N677" s="110"/>
      <c r="O677" s="107"/>
    </row>
    <row r="678" spans="6:15" ht="14.25" customHeight="1" x14ac:dyDescent="0.3">
      <c r="F678" s="108"/>
      <c r="G678" s="108"/>
      <c r="H678" s="108"/>
      <c r="I678" s="109"/>
      <c r="J678" s="110"/>
      <c r="K678" s="109"/>
      <c r="L678" s="110"/>
      <c r="M678" s="109"/>
      <c r="N678" s="110"/>
      <c r="O678" s="107"/>
    </row>
    <row r="679" spans="6:15" ht="14.25" customHeight="1" x14ac:dyDescent="0.3">
      <c r="F679" s="108"/>
      <c r="G679" s="108"/>
      <c r="H679" s="108"/>
      <c r="I679" s="109"/>
      <c r="J679" s="110"/>
      <c r="K679" s="109"/>
      <c r="L679" s="110"/>
      <c r="M679" s="109"/>
      <c r="N679" s="110"/>
      <c r="O679" s="107"/>
    </row>
    <row r="680" spans="6:15" ht="14.25" customHeight="1" x14ac:dyDescent="0.3">
      <c r="F680" s="108"/>
      <c r="G680" s="108"/>
      <c r="H680" s="108"/>
      <c r="I680" s="109"/>
      <c r="J680" s="110"/>
      <c r="K680" s="109"/>
      <c r="L680" s="110"/>
      <c r="M680" s="109"/>
      <c r="N680" s="110"/>
      <c r="O680" s="107"/>
    </row>
    <row r="681" spans="6:15" ht="14.25" customHeight="1" x14ac:dyDescent="0.3">
      <c r="F681" s="108"/>
      <c r="G681" s="108"/>
      <c r="H681" s="108"/>
      <c r="I681" s="109"/>
      <c r="J681" s="110"/>
      <c r="K681" s="109"/>
      <c r="L681" s="110"/>
      <c r="M681" s="109"/>
      <c r="N681" s="110"/>
      <c r="O681" s="107"/>
    </row>
    <row r="682" spans="6:15" ht="14.25" customHeight="1" x14ac:dyDescent="0.3">
      <c r="F682" s="108"/>
      <c r="G682" s="108"/>
      <c r="H682" s="108"/>
      <c r="I682" s="109"/>
      <c r="J682" s="110"/>
      <c r="K682" s="109"/>
      <c r="L682" s="110"/>
      <c r="M682" s="109"/>
      <c r="N682" s="110"/>
      <c r="O682" s="107"/>
    </row>
    <row r="683" spans="6:15" ht="14.25" customHeight="1" x14ac:dyDescent="0.3">
      <c r="F683" s="108"/>
      <c r="G683" s="108"/>
      <c r="H683" s="108"/>
      <c r="I683" s="109"/>
      <c r="J683" s="110"/>
      <c r="K683" s="109"/>
      <c r="L683" s="110"/>
      <c r="M683" s="109"/>
      <c r="N683" s="110"/>
      <c r="O683" s="107"/>
    </row>
    <row r="684" spans="6:15" ht="14.25" customHeight="1" x14ac:dyDescent="0.3">
      <c r="F684" s="108"/>
      <c r="G684" s="108"/>
      <c r="H684" s="108"/>
      <c r="I684" s="109"/>
      <c r="J684" s="110"/>
      <c r="K684" s="109"/>
      <c r="L684" s="110"/>
      <c r="M684" s="109"/>
      <c r="N684" s="110"/>
      <c r="O684" s="107"/>
    </row>
    <row r="685" spans="6:15" ht="14.25" customHeight="1" x14ac:dyDescent="0.3">
      <c r="F685" s="108"/>
      <c r="G685" s="108"/>
      <c r="H685" s="108"/>
      <c r="I685" s="109"/>
      <c r="J685" s="110"/>
      <c r="K685" s="109"/>
      <c r="L685" s="110"/>
      <c r="M685" s="109"/>
      <c r="N685" s="110"/>
      <c r="O685" s="107"/>
    </row>
    <row r="686" spans="6:15" ht="14.25" customHeight="1" x14ac:dyDescent="0.3">
      <c r="F686" s="108"/>
      <c r="G686" s="108"/>
      <c r="H686" s="108"/>
      <c r="I686" s="109"/>
      <c r="J686" s="110"/>
      <c r="K686" s="109"/>
      <c r="L686" s="110"/>
      <c r="M686" s="109"/>
      <c r="N686" s="110"/>
      <c r="O686" s="107"/>
    </row>
    <row r="687" spans="6:15" ht="14.25" customHeight="1" x14ac:dyDescent="0.3">
      <c r="F687" s="108"/>
      <c r="G687" s="108"/>
      <c r="H687" s="108"/>
      <c r="I687" s="109"/>
      <c r="J687" s="110"/>
      <c r="K687" s="109"/>
      <c r="L687" s="110"/>
      <c r="M687" s="109"/>
      <c r="N687" s="110"/>
      <c r="O687" s="107"/>
    </row>
    <row r="688" spans="6:15" ht="14.25" customHeight="1" x14ac:dyDescent="0.3">
      <c r="F688" s="108"/>
      <c r="G688" s="108"/>
      <c r="H688" s="108"/>
      <c r="I688" s="109"/>
      <c r="J688" s="110"/>
      <c r="K688" s="109"/>
      <c r="L688" s="110"/>
      <c r="M688" s="109"/>
      <c r="N688" s="110"/>
      <c r="O688" s="107"/>
    </row>
    <row r="689" spans="6:15" ht="14.25" customHeight="1" x14ac:dyDescent="0.3">
      <c r="F689" s="108"/>
      <c r="G689" s="108"/>
      <c r="H689" s="108"/>
      <c r="I689" s="109"/>
      <c r="J689" s="110"/>
      <c r="K689" s="109"/>
      <c r="L689" s="110"/>
      <c r="M689" s="109"/>
      <c r="N689" s="110"/>
      <c r="O689" s="107"/>
    </row>
    <row r="690" spans="6:15" ht="14.25" customHeight="1" x14ac:dyDescent="0.3">
      <c r="F690" s="108"/>
      <c r="G690" s="108"/>
      <c r="H690" s="108"/>
      <c r="I690" s="109"/>
      <c r="J690" s="110"/>
      <c r="K690" s="109"/>
      <c r="L690" s="110"/>
      <c r="M690" s="109"/>
      <c r="N690" s="110"/>
      <c r="O690" s="107"/>
    </row>
    <row r="691" spans="6:15" ht="14.25" customHeight="1" x14ac:dyDescent="0.3">
      <c r="F691" s="108"/>
      <c r="G691" s="108"/>
      <c r="H691" s="108"/>
      <c r="I691" s="109"/>
      <c r="J691" s="110"/>
      <c r="K691" s="109"/>
      <c r="L691" s="110"/>
      <c r="M691" s="109"/>
      <c r="N691" s="110"/>
      <c r="O691" s="107"/>
    </row>
    <row r="692" spans="6:15" ht="14.25" customHeight="1" x14ac:dyDescent="0.3">
      <c r="F692" s="108"/>
      <c r="G692" s="108"/>
      <c r="H692" s="108"/>
      <c r="I692" s="109"/>
      <c r="J692" s="110"/>
      <c r="K692" s="109"/>
      <c r="L692" s="110"/>
      <c r="M692" s="109"/>
      <c r="N692" s="110"/>
      <c r="O692" s="107"/>
    </row>
    <row r="693" spans="6:15" ht="14.25" customHeight="1" x14ac:dyDescent="0.3">
      <c r="F693" s="108"/>
      <c r="G693" s="108"/>
      <c r="H693" s="108"/>
      <c r="I693" s="109"/>
      <c r="J693" s="110"/>
      <c r="K693" s="109"/>
      <c r="L693" s="110"/>
      <c r="M693" s="109"/>
      <c r="N693" s="110"/>
      <c r="O693" s="107"/>
    </row>
    <row r="694" spans="6:15" ht="14.25" customHeight="1" x14ac:dyDescent="0.3">
      <c r="F694" s="108"/>
      <c r="G694" s="108"/>
      <c r="H694" s="108"/>
      <c r="I694" s="109"/>
      <c r="J694" s="110"/>
      <c r="K694" s="109"/>
      <c r="L694" s="110"/>
      <c r="M694" s="109"/>
      <c r="N694" s="110"/>
      <c r="O694" s="107"/>
    </row>
    <row r="695" spans="6:15" ht="14.25" customHeight="1" x14ac:dyDescent="0.3">
      <c r="F695" s="108"/>
      <c r="G695" s="108"/>
      <c r="H695" s="108"/>
      <c r="I695" s="109"/>
      <c r="J695" s="110"/>
      <c r="K695" s="109"/>
      <c r="L695" s="110"/>
      <c r="M695" s="109"/>
      <c r="N695" s="110"/>
      <c r="O695" s="107"/>
    </row>
    <row r="696" spans="6:15" ht="14.25" customHeight="1" x14ac:dyDescent="0.3">
      <c r="F696" s="108"/>
      <c r="G696" s="108"/>
      <c r="H696" s="108"/>
      <c r="I696" s="109"/>
      <c r="J696" s="110"/>
      <c r="K696" s="109"/>
      <c r="L696" s="110"/>
      <c r="M696" s="109"/>
      <c r="N696" s="110"/>
      <c r="O696" s="107"/>
    </row>
    <row r="697" spans="6:15" ht="14.25" customHeight="1" x14ac:dyDescent="0.3">
      <c r="F697" s="108"/>
      <c r="G697" s="108"/>
      <c r="H697" s="108"/>
      <c r="I697" s="109"/>
      <c r="J697" s="110"/>
      <c r="K697" s="109"/>
      <c r="L697" s="110"/>
      <c r="M697" s="109"/>
      <c r="N697" s="110"/>
      <c r="O697" s="107"/>
    </row>
    <row r="698" spans="6:15" ht="14.25" customHeight="1" x14ac:dyDescent="0.3">
      <c r="F698" s="108"/>
      <c r="G698" s="108"/>
      <c r="H698" s="108"/>
      <c r="I698" s="109"/>
      <c r="J698" s="110"/>
      <c r="K698" s="109"/>
      <c r="L698" s="110"/>
      <c r="M698" s="109"/>
      <c r="N698" s="110"/>
      <c r="O698" s="107"/>
    </row>
    <row r="699" spans="6:15" ht="14.25" customHeight="1" x14ac:dyDescent="0.3">
      <c r="F699" s="108"/>
      <c r="G699" s="108"/>
      <c r="H699" s="108"/>
      <c r="I699" s="109"/>
      <c r="J699" s="110"/>
      <c r="K699" s="109"/>
      <c r="L699" s="110"/>
      <c r="M699" s="109"/>
      <c r="N699" s="110"/>
      <c r="O699" s="107"/>
    </row>
    <row r="700" spans="6:15" ht="14.25" customHeight="1" x14ac:dyDescent="0.3">
      <c r="F700" s="108"/>
      <c r="G700" s="108"/>
      <c r="H700" s="108"/>
      <c r="I700" s="109"/>
      <c r="J700" s="110"/>
      <c r="K700" s="109"/>
      <c r="L700" s="110"/>
      <c r="M700" s="109"/>
      <c r="N700" s="110"/>
      <c r="O700" s="107"/>
    </row>
    <row r="701" spans="6:15" ht="14.25" customHeight="1" x14ac:dyDescent="0.3">
      <c r="F701" s="108"/>
      <c r="G701" s="108"/>
      <c r="H701" s="108"/>
      <c r="I701" s="109"/>
      <c r="J701" s="110"/>
      <c r="K701" s="109"/>
      <c r="L701" s="110"/>
      <c r="M701" s="109"/>
      <c r="N701" s="110"/>
      <c r="O701" s="107"/>
    </row>
    <row r="702" spans="6:15" ht="14.25" customHeight="1" x14ac:dyDescent="0.3">
      <c r="F702" s="108"/>
      <c r="G702" s="108"/>
      <c r="H702" s="108"/>
      <c r="I702" s="109"/>
      <c r="J702" s="110"/>
      <c r="K702" s="109"/>
      <c r="L702" s="110"/>
      <c r="M702" s="109"/>
      <c r="N702" s="110"/>
      <c r="O702" s="107"/>
    </row>
    <row r="703" spans="6:15" ht="14.25" customHeight="1" x14ac:dyDescent="0.3">
      <c r="F703" s="108"/>
      <c r="G703" s="108"/>
      <c r="H703" s="108"/>
      <c r="I703" s="109"/>
      <c r="J703" s="110"/>
      <c r="K703" s="109"/>
      <c r="L703" s="110"/>
      <c r="M703" s="109"/>
      <c r="N703" s="110"/>
      <c r="O703" s="107"/>
    </row>
    <row r="704" spans="6:15" ht="14.25" customHeight="1" x14ac:dyDescent="0.3">
      <c r="F704" s="108"/>
      <c r="G704" s="108"/>
      <c r="H704" s="108"/>
      <c r="I704" s="109"/>
      <c r="J704" s="110"/>
      <c r="K704" s="109"/>
      <c r="L704" s="110"/>
      <c r="M704" s="109"/>
      <c r="N704" s="110"/>
      <c r="O704" s="107"/>
    </row>
    <row r="705" spans="6:15" ht="14.25" customHeight="1" x14ac:dyDescent="0.3">
      <c r="F705" s="108"/>
      <c r="G705" s="108"/>
      <c r="H705" s="108"/>
      <c r="I705" s="109"/>
      <c r="J705" s="110"/>
      <c r="K705" s="109"/>
      <c r="L705" s="110"/>
      <c r="M705" s="109"/>
      <c r="N705" s="110"/>
      <c r="O705" s="107"/>
    </row>
    <row r="706" spans="6:15" ht="14.25" customHeight="1" x14ac:dyDescent="0.3">
      <c r="F706" s="108"/>
      <c r="G706" s="108"/>
      <c r="H706" s="108"/>
      <c r="I706" s="109"/>
      <c r="J706" s="110"/>
      <c r="K706" s="109"/>
      <c r="L706" s="110"/>
      <c r="M706" s="109"/>
      <c r="N706" s="110"/>
      <c r="O706" s="107"/>
    </row>
    <row r="707" spans="6:15" ht="14.25" customHeight="1" x14ac:dyDescent="0.3">
      <c r="F707" s="108"/>
      <c r="G707" s="108"/>
      <c r="H707" s="108"/>
      <c r="I707" s="109"/>
      <c r="J707" s="110"/>
      <c r="K707" s="109"/>
      <c r="L707" s="110"/>
      <c r="M707" s="109"/>
      <c r="N707" s="110"/>
      <c r="O707" s="107"/>
    </row>
    <row r="708" spans="6:15" ht="14.25" customHeight="1" x14ac:dyDescent="0.3">
      <c r="F708" s="108"/>
      <c r="G708" s="108"/>
      <c r="H708" s="108"/>
      <c r="I708" s="109"/>
      <c r="J708" s="110"/>
      <c r="K708" s="109"/>
      <c r="L708" s="110"/>
      <c r="M708" s="109"/>
      <c r="N708" s="110"/>
      <c r="O708" s="107"/>
    </row>
    <row r="709" spans="6:15" ht="14.25" customHeight="1" x14ac:dyDescent="0.3">
      <c r="F709" s="108"/>
      <c r="G709" s="108"/>
      <c r="H709" s="108"/>
      <c r="I709" s="109"/>
      <c r="J709" s="110"/>
      <c r="K709" s="109"/>
      <c r="L709" s="110"/>
      <c r="M709" s="109"/>
      <c r="N709" s="110"/>
      <c r="O709" s="107"/>
    </row>
    <row r="710" spans="6:15" ht="14.25" customHeight="1" x14ac:dyDescent="0.3">
      <c r="F710" s="108"/>
      <c r="G710" s="108"/>
      <c r="H710" s="108"/>
      <c r="I710" s="109"/>
      <c r="J710" s="110"/>
      <c r="K710" s="109"/>
      <c r="L710" s="110"/>
      <c r="M710" s="109"/>
      <c r="N710" s="110"/>
      <c r="O710" s="107"/>
    </row>
    <row r="711" spans="6:15" ht="14.25" customHeight="1" x14ac:dyDescent="0.3">
      <c r="F711" s="108"/>
      <c r="G711" s="108"/>
      <c r="H711" s="108"/>
      <c r="I711" s="109"/>
      <c r="J711" s="110"/>
      <c r="K711" s="109"/>
      <c r="L711" s="110"/>
      <c r="M711" s="109"/>
      <c r="N711" s="110"/>
      <c r="O711" s="107"/>
    </row>
    <row r="712" spans="6:15" ht="14.25" customHeight="1" x14ac:dyDescent="0.3">
      <c r="F712" s="108"/>
      <c r="G712" s="108"/>
      <c r="H712" s="108"/>
      <c r="I712" s="109"/>
      <c r="J712" s="110"/>
      <c r="K712" s="109"/>
      <c r="L712" s="110"/>
      <c r="M712" s="109"/>
      <c r="N712" s="110"/>
      <c r="O712" s="107"/>
    </row>
    <row r="713" spans="6:15" ht="14.25" customHeight="1" x14ac:dyDescent="0.3">
      <c r="F713" s="108"/>
      <c r="G713" s="108"/>
      <c r="H713" s="108"/>
      <c r="I713" s="109"/>
      <c r="J713" s="110"/>
      <c r="K713" s="109"/>
      <c r="L713" s="110"/>
      <c r="M713" s="109"/>
      <c r="N713" s="110"/>
      <c r="O713" s="107"/>
    </row>
    <row r="714" spans="6:15" ht="14.25" customHeight="1" x14ac:dyDescent="0.3">
      <c r="F714" s="108"/>
      <c r="G714" s="108"/>
      <c r="H714" s="108"/>
      <c r="I714" s="109"/>
      <c r="J714" s="110"/>
      <c r="K714" s="109"/>
      <c r="L714" s="110"/>
      <c r="M714" s="109"/>
      <c r="N714" s="110"/>
      <c r="O714" s="107"/>
    </row>
    <row r="715" spans="6:15" ht="14.25" customHeight="1" x14ac:dyDescent="0.3">
      <c r="F715" s="108"/>
      <c r="G715" s="108"/>
      <c r="H715" s="108"/>
      <c r="I715" s="109"/>
      <c r="J715" s="110"/>
      <c r="K715" s="109"/>
      <c r="L715" s="110"/>
      <c r="M715" s="109"/>
      <c r="N715" s="110"/>
      <c r="O715" s="107"/>
    </row>
    <row r="716" spans="6:15" ht="14.25" customHeight="1" x14ac:dyDescent="0.3">
      <c r="F716" s="108"/>
      <c r="G716" s="108"/>
      <c r="H716" s="108"/>
      <c r="I716" s="109"/>
      <c r="J716" s="110"/>
      <c r="K716" s="109"/>
      <c r="L716" s="110"/>
      <c r="M716" s="109"/>
      <c r="N716" s="110"/>
      <c r="O716" s="107"/>
    </row>
    <row r="717" spans="6:15" ht="14.25" customHeight="1" x14ac:dyDescent="0.3">
      <c r="F717" s="108"/>
      <c r="G717" s="108"/>
      <c r="H717" s="108"/>
      <c r="I717" s="109"/>
      <c r="J717" s="110"/>
      <c r="K717" s="109"/>
      <c r="L717" s="110"/>
      <c r="M717" s="109"/>
      <c r="N717" s="110"/>
      <c r="O717" s="107"/>
    </row>
    <row r="718" spans="6:15" ht="14.25" customHeight="1" x14ac:dyDescent="0.3">
      <c r="F718" s="108"/>
      <c r="G718" s="108"/>
      <c r="H718" s="108"/>
      <c r="I718" s="109"/>
      <c r="J718" s="110"/>
      <c r="K718" s="109"/>
      <c r="L718" s="110"/>
      <c r="M718" s="109"/>
      <c r="N718" s="110"/>
      <c r="O718" s="107"/>
    </row>
    <row r="719" spans="6:15" ht="14.25" customHeight="1" x14ac:dyDescent="0.3">
      <c r="F719" s="108"/>
      <c r="G719" s="108"/>
      <c r="H719" s="108"/>
      <c r="I719" s="109"/>
      <c r="J719" s="110"/>
      <c r="K719" s="109"/>
      <c r="L719" s="110"/>
      <c r="M719" s="109"/>
      <c r="N719" s="110"/>
      <c r="O719" s="107"/>
    </row>
    <row r="720" spans="6:15" ht="14.25" customHeight="1" x14ac:dyDescent="0.3">
      <c r="F720" s="108"/>
      <c r="G720" s="108"/>
      <c r="H720" s="108"/>
      <c r="I720" s="109"/>
      <c r="J720" s="110"/>
      <c r="K720" s="109"/>
      <c r="L720" s="110"/>
      <c r="M720" s="109"/>
      <c r="N720" s="110"/>
      <c r="O720" s="107"/>
    </row>
    <row r="721" spans="6:15" ht="14.25" customHeight="1" x14ac:dyDescent="0.3">
      <c r="F721" s="108"/>
      <c r="G721" s="108"/>
      <c r="H721" s="108"/>
      <c r="I721" s="109"/>
      <c r="J721" s="110"/>
      <c r="K721" s="109"/>
      <c r="L721" s="110"/>
      <c r="M721" s="109"/>
      <c r="N721" s="110"/>
      <c r="O721" s="107"/>
    </row>
    <row r="722" spans="6:15" ht="14.25" customHeight="1" x14ac:dyDescent="0.3">
      <c r="F722" s="108"/>
      <c r="G722" s="108"/>
      <c r="H722" s="108"/>
      <c r="I722" s="109"/>
      <c r="J722" s="110"/>
      <c r="K722" s="109"/>
      <c r="L722" s="110"/>
      <c r="M722" s="109"/>
      <c r="N722" s="110"/>
      <c r="O722" s="107"/>
    </row>
    <row r="723" spans="6:15" ht="14.25" customHeight="1" x14ac:dyDescent="0.3">
      <c r="F723" s="108"/>
      <c r="G723" s="108"/>
      <c r="H723" s="108"/>
      <c r="I723" s="109"/>
      <c r="J723" s="110"/>
      <c r="K723" s="109"/>
      <c r="L723" s="110"/>
      <c r="M723" s="109"/>
      <c r="N723" s="110"/>
      <c r="O723" s="107"/>
    </row>
    <row r="724" spans="6:15" ht="14.25" customHeight="1" x14ac:dyDescent="0.3">
      <c r="F724" s="108"/>
      <c r="G724" s="108"/>
      <c r="H724" s="108"/>
      <c r="I724" s="109"/>
      <c r="J724" s="110"/>
      <c r="K724" s="109"/>
      <c r="L724" s="110"/>
      <c r="M724" s="109"/>
      <c r="N724" s="110"/>
      <c r="O724" s="107"/>
    </row>
    <row r="725" spans="6:15" ht="14.25" customHeight="1" x14ac:dyDescent="0.3">
      <c r="F725" s="108"/>
      <c r="G725" s="108"/>
      <c r="H725" s="108"/>
      <c r="I725" s="109"/>
      <c r="J725" s="110"/>
      <c r="K725" s="109"/>
      <c r="L725" s="110"/>
      <c r="M725" s="109"/>
      <c r="N725" s="110"/>
      <c r="O725" s="107"/>
    </row>
    <row r="726" spans="6:15" ht="14.25" customHeight="1" x14ac:dyDescent="0.3">
      <c r="F726" s="108"/>
      <c r="G726" s="108"/>
      <c r="H726" s="108"/>
      <c r="I726" s="109"/>
      <c r="J726" s="110"/>
      <c r="K726" s="109"/>
      <c r="L726" s="110"/>
      <c r="M726" s="109"/>
      <c r="N726" s="110"/>
      <c r="O726" s="107"/>
    </row>
    <row r="727" spans="6:15" ht="14.25" customHeight="1" x14ac:dyDescent="0.3">
      <c r="F727" s="108"/>
      <c r="G727" s="108"/>
      <c r="H727" s="108"/>
      <c r="I727" s="109"/>
      <c r="J727" s="110"/>
      <c r="K727" s="109"/>
      <c r="L727" s="110"/>
      <c r="M727" s="109"/>
      <c r="N727" s="110"/>
      <c r="O727" s="107"/>
    </row>
    <row r="728" spans="6:15" ht="14.25" customHeight="1" x14ac:dyDescent="0.3">
      <c r="F728" s="108"/>
      <c r="G728" s="108"/>
      <c r="H728" s="108"/>
      <c r="I728" s="109"/>
      <c r="J728" s="110"/>
      <c r="K728" s="109"/>
      <c r="L728" s="110"/>
      <c r="M728" s="109"/>
      <c r="N728" s="110"/>
      <c r="O728" s="107"/>
    </row>
    <row r="729" spans="6:15" ht="14.25" customHeight="1" x14ac:dyDescent="0.3">
      <c r="F729" s="108"/>
      <c r="G729" s="108"/>
      <c r="H729" s="108"/>
      <c r="I729" s="109"/>
      <c r="J729" s="110"/>
      <c r="K729" s="109"/>
      <c r="L729" s="110"/>
      <c r="M729" s="109"/>
      <c r="N729" s="110"/>
      <c r="O729" s="107"/>
    </row>
    <row r="730" spans="6:15" ht="14.25" customHeight="1" x14ac:dyDescent="0.3">
      <c r="F730" s="108"/>
      <c r="G730" s="108"/>
      <c r="H730" s="108"/>
      <c r="I730" s="109"/>
      <c r="J730" s="110"/>
      <c r="K730" s="109"/>
      <c r="L730" s="110"/>
      <c r="M730" s="109"/>
      <c r="N730" s="110"/>
      <c r="O730" s="107"/>
    </row>
    <row r="731" spans="6:15" ht="14.25" customHeight="1" x14ac:dyDescent="0.3">
      <c r="F731" s="108"/>
      <c r="G731" s="108"/>
      <c r="H731" s="108"/>
      <c r="I731" s="109"/>
      <c r="J731" s="110"/>
      <c r="K731" s="109"/>
      <c r="L731" s="110"/>
      <c r="M731" s="109"/>
      <c r="N731" s="110"/>
      <c r="O731" s="107"/>
    </row>
    <row r="732" spans="6:15" ht="14.25" customHeight="1" x14ac:dyDescent="0.3">
      <c r="F732" s="108"/>
      <c r="G732" s="108"/>
      <c r="H732" s="108"/>
      <c r="I732" s="109"/>
      <c r="J732" s="110"/>
      <c r="K732" s="109"/>
      <c r="L732" s="110"/>
      <c r="M732" s="109"/>
      <c r="N732" s="110"/>
      <c r="O732" s="107"/>
    </row>
    <row r="733" spans="6:15" ht="14.25" customHeight="1" x14ac:dyDescent="0.3">
      <c r="F733" s="108"/>
      <c r="G733" s="108"/>
      <c r="H733" s="108"/>
      <c r="I733" s="109"/>
      <c r="J733" s="110"/>
      <c r="K733" s="109"/>
      <c r="L733" s="110"/>
      <c r="M733" s="109"/>
      <c r="N733" s="110"/>
      <c r="O733" s="107"/>
    </row>
    <row r="734" spans="6:15" ht="14.25" customHeight="1" x14ac:dyDescent="0.3">
      <c r="F734" s="108"/>
      <c r="G734" s="108"/>
      <c r="H734" s="108"/>
      <c r="I734" s="109"/>
      <c r="J734" s="110"/>
      <c r="K734" s="109"/>
      <c r="L734" s="110"/>
      <c r="M734" s="109"/>
      <c r="N734" s="110"/>
      <c r="O734" s="107"/>
    </row>
    <row r="735" spans="6:15" ht="14.25" customHeight="1" x14ac:dyDescent="0.3">
      <c r="F735" s="108"/>
      <c r="G735" s="108"/>
      <c r="H735" s="108"/>
      <c r="I735" s="109"/>
      <c r="J735" s="110"/>
      <c r="K735" s="109"/>
      <c r="L735" s="110"/>
      <c r="M735" s="109"/>
      <c r="N735" s="110"/>
      <c r="O735" s="107"/>
    </row>
    <row r="736" spans="6:15" ht="14.25" customHeight="1" x14ac:dyDescent="0.3">
      <c r="F736" s="108"/>
      <c r="G736" s="108"/>
      <c r="H736" s="108"/>
      <c r="I736" s="109"/>
      <c r="J736" s="110"/>
      <c r="K736" s="109"/>
      <c r="L736" s="110"/>
      <c r="M736" s="109"/>
      <c r="N736" s="110"/>
      <c r="O736" s="107"/>
    </row>
    <row r="737" spans="6:15" ht="14.25" customHeight="1" x14ac:dyDescent="0.3">
      <c r="F737" s="108"/>
      <c r="G737" s="108"/>
      <c r="H737" s="108"/>
      <c r="I737" s="109"/>
      <c r="J737" s="110"/>
      <c r="K737" s="109"/>
      <c r="L737" s="110"/>
      <c r="M737" s="109"/>
      <c r="N737" s="110"/>
      <c r="O737" s="107"/>
    </row>
    <row r="738" spans="6:15" ht="14.25" customHeight="1" x14ac:dyDescent="0.3">
      <c r="F738" s="108"/>
      <c r="G738" s="108"/>
      <c r="H738" s="108"/>
      <c r="I738" s="109"/>
      <c r="J738" s="110"/>
      <c r="K738" s="109"/>
      <c r="L738" s="110"/>
      <c r="M738" s="109"/>
      <c r="N738" s="110"/>
      <c r="O738" s="107"/>
    </row>
    <row r="739" spans="6:15" ht="14.25" customHeight="1" x14ac:dyDescent="0.3">
      <c r="F739" s="108"/>
      <c r="G739" s="108"/>
      <c r="H739" s="108"/>
      <c r="I739" s="109"/>
      <c r="J739" s="110"/>
      <c r="K739" s="109"/>
      <c r="L739" s="110"/>
      <c r="M739" s="109"/>
      <c r="N739" s="110"/>
      <c r="O739" s="107"/>
    </row>
    <row r="740" spans="6:15" ht="14.25" customHeight="1" x14ac:dyDescent="0.3">
      <c r="F740" s="108"/>
      <c r="G740" s="108"/>
      <c r="H740" s="108"/>
      <c r="I740" s="109"/>
      <c r="J740" s="110"/>
      <c r="K740" s="109"/>
      <c r="L740" s="110"/>
      <c r="M740" s="109"/>
      <c r="N740" s="110"/>
      <c r="O740" s="107"/>
    </row>
    <row r="741" spans="6:15" ht="14.25" customHeight="1" x14ac:dyDescent="0.3">
      <c r="F741" s="108"/>
      <c r="G741" s="108"/>
      <c r="H741" s="108"/>
      <c r="I741" s="109"/>
      <c r="J741" s="110"/>
      <c r="K741" s="109"/>
      <c r="L741" s="110"/>
      <c r="M741" s="109"/>
      <c r="N741" s="110"/>
      <c r="O741" s="107"/>
    </row>
    <row r="742" spans="6:15" ht="14.25" customHeight="1" x14ac:dyDescent="0.3">
      <c r="F742" s="108"/>
      <c r="G742" s="108"/>
      <c r="H742" s="108"/>
      <c r="I742" s="109"/>
      <c r="J742" s="110"/>
      <c r="K742" s="109"/>
      <c r="L742" s="110"/>
      <c r="M742" s="109"/>
      <c r="N742" s="110"/>
      <c r="O742" s="107"/>
    </row>
    <row r="743" spans="6:15" ht="14.25" customHeight="1" x14ac:dyDescent="0.3">
      <c r="F743" s="108"/>
      <c r="G743" s="108"/>
      <c r="H743" s="108"/>
      <c r="I743" s="109"/>
      <c r="J743" s="110"/>
      <c r="K743" s="109"/>
      <c r="L743" s="110"/>
      <c r="M743" s="109"/>
      <c r="N743" s="110"/>
      <c r="O743" s="107"/>
    </row>
    <row r="744" spans="6:15" ht="14.25" customHeight="1" x14ac:dyDescent="0.3">
      <c r="F744" s="108"/>
      <c r="G744" s="108"/>
      <c r="H744" s="108"/>
      <c r="I744" s="109"/>
      <c r="J744" s="110"/>
      <c r="K744" s="109"/>
      <c r="L744" s="110"/>
      <c r="M744" s="109"/>
      <c r="N744" s="110"/>
      <c r="O744" s="107"/>
    </row>
    <row r="745" spans="6:15" ht="14.25" customHeight="1" x14ac:dyDescent="0.3">
      <c r="F745" s="108"/>
      <c r="G745" s="108"/>
      <c r="H745" s="108"/>
      <c r="I745" s="109"/>
      <c r="J745" s="110"/>
      <c r="K745" s="109"/>
      <c r="L745" s="110"/>
      <c r="M745" s="109"/>
      <c r="N745" s="110"/>
      <c r="O745" s="107"/>
    </row>
    <row r="746" spans="6:15" ht="14.25" customHeight="1" x14ac:dyDescent="0.3">
      <c r="F746" s="108"/>
      <c r="G746" s="108"/>
      <c r="H746" s="108"/>
      <c r="I746" s="109"/>
      <c r="J746" s="110"/>
      <c r="K746" s="109"/>
      <c r="L746" s="110"/>
      <c r="M746" s="109"/>
      <c r="N746" s="110"/>
      <c r="O746" s="107"/>
    </row>
    <row r="747" spans="6:15" ht="14.25" customHeight="1" x14ac:dyDescent="0.3">
      <c r="F747" s="108"/>
      <c r="G747" s="108"/>
      <c r="H747" s="108"/>
      <c r="I747" s="109"/>
      <c r="J747" s="110"/>
      <c r="K747" s="109"/>
      <c r="L747" s="110"/>
      <c r="M747" s="109"/>
      <c r="N747" s="110"/>
      <c r="O747" s="107"/>
    </row>
    <row r="748" spans="6:15" ht="14.25" customHeight="1" x14ac:dyDescent="0.3">
      <c r="F748" s="108"/>
      <c r="G748" s="108"/>
      <c r="H748" s="108"/>
      <c r="I748" s="109"/>
      <c r="J748" s="110"/>
      <c r="K748" s="109"/>
      <c r="L748" s="110"/>
      <c r="M748" s="109"/>
      <c r="N748" s="110"/>
      <c r="O748" s="107"/>
    </row>
    <row r="749" spans="6:15" ht="14.25" customHeight="1" x14ac:dyDescent="0.3">
      <c r="F749" s="108"/>
      <c r="G749" s="108"/>
      <c r="H749" s="108"/>
      <c r="I749" s="109"/>
      <c r="J749" s="110"/>
      <c r="K749" s="109"/>
      <c r="L749" s="110"/>
      <c r="M749" s="109"/>
      <c r="N749" s="110"/>
      <c r="O749" s="107"/>
    </row>
    <row r="750" spans="6:15" ht="14.25" customHeight="1" x14ac:dyDescent="0.3">
      <c r="F750" s="108"/>
      <c r="G750" s="108"/>
      <c r="H750" s="108"/>
      <c r="I750" s="109"/>
      <c r="J750" s="110"/>
      <c r="K750" s="109"/>
      <c r="L750" s="110"/>
      <c r="M750" s="109"/>
      <c r="N750" s="110"/>
      <c r="O750" s="107"/>
    </row>
    <row r="751" spans="6:15" ht="14.25" customHeight="1" x14ac:dyDescent="0.3">
      <c r="F751" s="108"/>
      <c r="G751" s="108"/>
      <c r="H751" s="108"/>
      <c r="I751" s="109"/>
      <c r="J751" s="110"/>
      <c r="K751" s="109"/>
      <c r="L751" s="110"/>
      <c r="M751" s="109"/>
      <c r="N751" s="110"/>
      <c r="O751" s="107"/>
    </row>
    <row r="752" spans="6:15" ht="14.25" customHeight="1" x14ac:dyDescent="0.3">
      <c r="F752" s="108"/>
      <c r="G752" s="108"/>
      <c r="H752" s="108"/>
      <c r="I752" s="109"/>
      <c r="J752" s="110"/>
      <c r="K752" s="109"/>
      <c r="L752" s="110"/>
      <c r="M752" s="109"/>
      <c r="N752" s="110"/>
      <c r="O752" s="107"/>
    </row>
    <row r="753" spans="6:15" ht="14.25" customHeight="1" x14ac:dyDescent="0.3">
      <c r="F753" s="108"/>
      <c r="G753" s="108"/>
      <c r="H753" s="108"/>
      <c r="I753" s="109"/>
      <c r="J753" s="110"/>
      <c r="K753" s="109"/>
      <c r="L753" s="110"/>
      <c r="M753" s="109"/>
      <c r="N753" s="110"/>
      <c r="O753" s="107"/>
    </row>
    <row r="754" spans="6:15" ht="14.25" customHeight="1" x14ac:dyDescent="0.3">
      <c r="F754" s="108"/>
      <c r="G754" s="108"/>
      <c r="H754" s="108"/>
      <c r="I754" s="109"/>
      <c r="J754" s="110"/>
      <c r="K754" s="109"/>
      <c r="L754" s="110"/>
      <c r="M754" s="109"/>
      <c r="N754" s="110"/>
      <c r="O754" s="107"/>
    </row>
    <row r="755" spans="6:15" ht="14.25" customHeight="1" x14ac:dyDescent="0.3">
      <c r="F755" s="108"/>
      <c r="G755" s="108"/>
      <c r="H755" s="108"/>
      <c r="I755" s="109"/>
      <c r="J755" s="110"/>
      <c r="K755" s="109"/>
      <c r="L755" s="110"/>
      <c r="M755" s="109"/>
      <c r="N755" s="110"/>
      <c r="O755" s="107"/>
    </row>
    <row r="756" spans="6:15" ht="14.25" customHeight="1" x14ac:dyDescent="0.3">
      <c r="F756" s="108"/>
      <c r="G756" s="108"/>
      <c r="H756" s="108"/>
      <c r="I756" s="109"/>
      <c r="J756" s="110"/>
      <c r="K756" s="109"/>
      <c r="L756" s="110"/>
      <c r="M756" s="109"/>
      <c r="N756" s="110"/>
      <c r="O756" s="107"/>
    </row>
    <row r="757" spans="6:15" ht="14.25" customHeight="1" x14ac:dyDescent="0.3">
      <c r="F757" s="108"/>
      <c r="G757" s="108"/>
      <c r="H757" s="108"/>
      <c r="I757" s="109"/>
      <c r="J757" s="110"/>
      <c r="K757" s="109"/>
      <c r="L757" s="110"/>
      <c r="M757" s="109"/>
      <c r="N757" s="110"/>
      <c r="O757" s="107"/>
    </row>
    <row r="758" spans="6:15" ht="14.25" customHeight="1" x14ac:dyDescent="0.3">
      <c r="F758" s="108"/>
      <c r="G758" s="108"/>
      <c r="H758" s="108"/>
      <c r="I758" s="109"/>
      <c r="J758" s="110"/>
      <c r="K758" s="109"/>
      <c r="L758" s="110"/>
      <c r="M758" s="109"/>
      <c r="N758" s="110"/>
      <c r="O758" s="107"/>
    </row>
    <row r="759" spans="6:15" ht="14.25" customHeight="1" x14ac:dyDescent="0.3">
      <c r="F759" s="108"/>
      <c r="G759" s="108"/>
      <c r="H759" s="108"/>
      <c r="I759" s="109"/>
      <c r="J759" s="110"/>
      <c r="K759" s="109"/>
      <c r="L759" s="110"/>
      <c r="M759" s="109"/>
      <c r="N759" s="110"/>
      <c r="O759" s="107"/>
    </row>
    <row r="760" spans="6:15" ht="14.25" customHeight="1" x14ac:dyDescent="0.3">
      <c r="F760" s="108"/>
      <c r="G760" s="108"/>
      <c r="H760" s="108"/>
      <c r="I760" s="109"/>
      <c r="J760" s="110"/>
      <c r="K760" s="109"/>
      <c r="L760" s="110"/>
      <c r="M760" s="109"/>
      <c r="N760" s="110"/>
      <c r="O760" s="107"/>
    </row>
    <row r="761" spans="6:15" ht="14.25" customHeight="1" x14ac:dyDescent="0.3">
      <c r="F761" s="108"/>
      <c r="G761" s="108"/>
      <c r="H761" s="108"/>
      <c r="I761" s="109"/>
      <c r="J761" s="110"/>
      <c r="K761" s="109"/>
      <c r="L761" s="110"/>
      <c r="M761" s="109"/>
      <c r="N761" s="110"/>
      <c r="O761" s="107"/>
    </row>
    <row r="762" spans="6:15" ht="14.25" customHeight="1" x14ac:dyDescent="0.3">
      <c r="F762" s="108"/>
      <c r="G762" s="108"/>
      <c r="H762" s="108"/>
      <c r="I762" s="109"/>
      <c r="J762" s="110"/>
      <c r="K762" s="109"/>
      <c r="L762" s="110"/>
      <c r="M762" s="109"/>
      <c r="N762" s="110"/>
      <c r="O762" s="107"/>
    </row>
    <row r="763" spans="6:15" ht="14.25" customHeight="1" x14ac:dyDescent="0.3">
      <c r="F763" s="108"/>
      <c r="G763" s="108"/>
      <c r="H763" s="108"/>
      <c r="I763" s="109"/>
      <c r="J763" s="110"/>
      <c r="K763" s="109"/>
      <c r="L763" s="110"/>
      <c r="M763" s="109"/>
      <c r="N763" s="110"/>
      <c r="O763" s="107"/>
    </row>
    <row r="764" spans="6:15" ht="14.25" customHeight="1" x14ac:dyDescent="0.3">
      <c r="F764" s="108"/>
      <c r="G764" s="108"/>
      <c r="H764" s="108"/>
      <c r="I764" s="109"/>
      <c r="J764" s="110"/>
      <c r="K764" s="109"/>
      <c r="L764" s="110"/>
      <c r="M764" s="109"/>
      <c r="N764" s="110"/>
      <c r="O764" s="107"/>
    </row>
    <row r="765" spans="6:15" ht="14.25" customHeight="1" x14ac:dyDescent="0.3">
      <c r="F765" s="108"/>
      <c r="G765" s="108"/>
      <c r="H765" s="108"/>
      <c r="I765" s="109"/>
      <c r="J765" s="110"/>
      <c r="K765" s="109"/>
      <c r="L765" s="110"/>
      <c r="M765" s="109"/>
      <c r="N765" s="110"/>
      <c r="O765" s="107"/>
    </row>
    <row r="766" spans="6:15" ht="14.25" customHeight="1" x14ac:dyDescent="0.3">
      <c r="F766" s="108"/>
      <c r="G766" s="108"/>
      <c r="H766" s="108"/>
      <c r="I766" s="109"/>
      <c r="J766" s="110"/>
      <c r="K766" s="109"/>
      <c r="L766" s="110"/>
      <c r="M766" s="109"/>
      <c r="N766" s="110"/>
      <c r="O766" s="107"/>
    </row>
    <row r="767" spans="6:15" ht="14.25" customHeight="1" x14ac:dyDescent="0.3">
      <c r="F767" s="108"/>
      <c r="G767" s="108"/>
      <c r="H767" s="108"/>
      <c r="I767" s="109"/>
      <c r="J767" s="110"/>
      <c r="K767" s="109"/>
      <c r="L767" s="110"/>
      <c r="M767" s="109"/>
      <c r="N767" s="110"/>
      <c r="O767" s="107"/>
    </row>
    <row r="768" spans="6:15" ht="14.25" customHeight="1" x14ac:dyDescent="0.3">
      <c r="F768" s="108"/>
      <c r="G768" s="108"/>
      <c r="H768" s="108"/>
      <c r="I768" s="109"/>
      <c r="J768" s="110"/>
      <c r="K768" s="109"/>
      <c r="L768" s="110"/>
      <c r="M768" s="109"/>
      <c r="N768" s="110"/>
      <c r="O768" s="107"/>
    </row>
    <row r="769" spans="6:15" ht="14.25" customHeight="1" x14ac:dyDescent="0.3">
      <c r="F769" s="108"/>
      <c r="G769" s="108"/>
      <c r="H769" s="108"/>
      <c r="I769" s="109"/>
      <c r="J769" s="110"/>
      <c r="K769" s="109"/>
      <c r="L769" s="110"/>
      <c r="M769" s="109"/>
      <c r="N769" s="110"/>
      <c r="O769" s="107"/>
    </row>
    <row r="770" spans="6:15" ht="14.25" customHeight="1" x14ac:dyDescent="0.3">
      <c r="F770" s="108"/>
      <c r="G770" s="108"/>
      <c r="H770" s="108"/>
      <c r="I770" s="109"/>
      <c r="J770" s="110"/>
      <c r="K770" s="109"/>
      <c r="L770" s="110"/>
      <c r="M770" s="109"/>
      <c r="N770" s="110"/>
      <c r="O770" s="107"/>
    </row>
    <row r="771" spans="6:15" ht="14.25" customHeight="1" x14ac:dyDescent="0.3">
      <c r="F771" s="108"/>
      <c r="G771" s="108"/>
      <c r="H771" s="108"/>
      <c r="I771" s="109"/>
      <c r="J771" s="110"/>
      <c r="K771" s="109"/>
      <c r="L771" s="110"/>
      <c r="M771" s="109"/>
      <c r="N771" s="110"/>
      <c r="O771" s="107"/>
    </row>
    <row r="772" spans="6:15" ht="14.25" customHeight="1" x14ac:dyDescent="0.3">
      <c r="F772" s="108"/>
      <c r="G772" s="108"/>
      <c r="H772" s="108"/>
      <c r="I772" s="109"/>
      <c r="J772" s="110"/>
      <c r="K772" s="109"/>
      <c r="L772" s="110"/>
      <c r="M772" s="109"/>
      <c r="N772" s="110"/>
      <c r="O772" s="107"/>
    </row>
    <row r="773" spans="6:15" ht="14.25" customHeight="1" x14ac:dyDescent="0.3">
      <c r="F773" s="108"/>
      <c r="G773" s="108"/>
      <c r="H773" s="108"/>
      <c r="I773" s="109"/>
      <c r="J773" s="110"/>
      <c r="K773" s="109"/>
      <c r="L773" s="110"/>
      <c r="M773" s="109"/>
      <c r="N773" s="110"/>
      <c r="O773" s="107"/>
    </row>
    <row r="774" spans="6:15" ht="14.25" customHeight="1" x14ac:dyDescent="0.3">
      <c r="F774" s="108"/>
      <c r="G774" s="108"/>
      <c r="H774" s="108"/>
      <c r="I774" s="109"/>
      <c r="J774" s="110"/>
      <c r="K774" s="109"/>
      <c r="L774" s="110"/>
      <c r="M774" s="109"/>
      <c r="N774" s="110"/>
      <c r="O774" s="107"/>
    </row>
    <row r="775" spans="6:15" ht="14.25" customHeight="1" x14ac:dyDescent="0.3">
      <c r="F775" s="108"/>
      <c r="G775" s="108"/>
      <c r="H775" s="108"/>
      <c r="I775" s="109"/>
      <c r="J775" s="110"/>
      <c r="K775" s="109"/>
      <c r="L775" s="110"/>
      <c r="M775" s="109"/>
      <c r="N775" s="110"/>
      <c r="O775" s="107"/>
    </row>
    <row r="776" spans="6:15" ht="14.25" customHeight="1" x14ac:dyDescent="0.3">
      <c r="F776" s="108"/>
      <c r="G776" s="108"/>
      <c r="H776" s="108"/>
      <c r="I776" s="109"/>
      <c r="J776" s="110"/>
      <c r="K776" s="109"/>
      <c r="L776" s="110"/>
      <c r="M776" s="109"/>
      <c r="N776" s="110"/>
      <c r="O776" s="107"/>
    </row>
    <row r="777" spans="6:15" ht="14.25" customHeight="1" x14ac:dyDescent="0.3">
      <c r="F777" s="108"/>
      <c r="G777" s="108"/>
      <c r="H777" s="108"/>
      <c r="I777" s="109"/>
      <c r="J777" s="110"/>
      <c r="K777" s="109"/>
      <c r="L777" s="110"/>
      <c r="M777" s="109"/>
      <c r="N777" s="110"/>
      <c r="O777" s="107"/>
    </row>
    <row r="778" spans="6:15" ht="14.25" customHeight="1" x14ac:dyDescent="0.3">
      <c r="F778" s="108"/>
      <c r="G778" s="108"/>
      <c r="H778" s="108"/>
      <c r="I778" s="109"/>
      <c r="J778" s="110"/>
      <c r="K778" s="109"/>
      <c r="L778" s="110"/>
      <c r="M778" s="109"/>
      <c r="N778" s="110"/>
      <c r="O778" s="107"/>
    </row>
    <row r="779" spans="6:15" ht="14.25" customHeight="1" x14ac:dyDescent="0.3">
      <c r="F779" s="108"/>
      <c r="G779" s="108"/>
      <c r="H779" s="108"/>
      <c r="I779" s="109"/>
      <c r="J779" s="110"/>
      <c r="K779" s="109"/>
      <c r="L779" s="110"/>
      <c r="M779" s="109"/>
      <c r="N779" s="110"/>
      <c r="O779" s="107"/>
    </row>
    <row r="780" spans="6:15" ht="14.25" customHeight="1" x14ac:dyDescent="0.3">
      <c r="F780" s="108"/>
      <c r="G780" s="108"/>
      <c r="H780" s="108"/>
      <c r="I780" s="109"/>
      <c r="J780" s="110"/>
      <c r="K780" s="109"/>
      <c r="L780" s="110"/>
      <c r="M780" s="109"/>
      <c r="N780" s="110"/>
      <c r="O780" s="107"/>
    </row>
    <row r="781" spans="6:15" ht="14.25" customHeight="1" x14ac:dyDescent="0.3">
      <c r="F781" s="108"/>
      <c r="G781" s="108"/>
      <c r="H781" s="108"/>
      <c r="I781" s="109"/>
      <c r="J781" s="110"/>
      <c r="K781" s="109"/>
      <c r="L781" s="110"/>
      <c r="M781" s="109"/>
      <c r="N781" s="110"/>
      <c r="O781" s="107"/>
    </row>
    <row r="782" spans="6:15" ht="14.25" customHeight="1" x14ac:dyDescent="0.3">
      <c r="F782" s="108"/>
      <c r="G782" s="108"/>
      <c r="H782" s="108"/>
      <c r="I782" s="109"/>
      <c r="J782" s="110"/>
      <c r="K782" s="109"/>
      <c r="L782" s="110"/>
      <c r="M782" s="109"/>
      <c r="N782" s="110"/>
      <c r="O782" s="107"/>
    </row>
    <row r="783" spans="6:15" ht="14.25" customHeight="1" x14ac:dyDescent="0.3">
      <c r="F783" s="108"/>
      <c r="G783" s="108"/>
      <c r="H783" s="108"/>
      <c r="I783" s="109"/>
      <c r="J783" s="110"/>
      <c r="K783" s="109"/>
      <c r="L783" s="110"/>
      <c r="M783" s="109"/>
      <c r="N783" s="110"/>
      <c r="O783" s="107"/>
    </row>
    <row r="784" spans="6:15" ht="14.25" customHeight="1" x14ac:dyDescent="0.3">
      <c r="F784" s="108"/>
      <c r="G784" s="108"/>
      <c r="H784" s="108"/>
      <c r="I784" s="109"/>
      <c r="J784" s="110"/>
      <c r="K784" s="109"/>
      <c r="L784" s="110"/>
      <c r="M784" s="109"/>
      <c r="N784" s="110"/>
      <c r="O784" s="107"/>
    </row>
    <row r="785" spans="6:15" ht="14.25" customHeight="1" x14ac:dyDescent="0.3">
      <c r="F785" s="108"/>
      <c r="G785" s="108"/>
      <c r="H785" s="108"/>
      <c r="I785" s="109"/>
      <c r="J785" s="110"/>
      <c r="K785" s="109"/>
      <c r="L785" s="110"/>
      <c r="M785" s="109"/>
      <c r="N785" s="110"/>
      <c r="O785" s="107"/>
    </row>
    <row r="786" spans="6:15" ht="14.25" customHeight="1" x14ac:dyDescent="0.3">
      <c r="F786" s="108"/>
      <c r="G786" s="108"/>
      <c r="H786" s="108"/>
      <c r="I786" s="109"/>
      <c r="J786" s="110"/>
      <c r="K786" s="109"/>
      <c r="L786" s="110"/>
      <c r="M786" s="109"/>
      <c r="N786" s="110"/>
      <c r="O786" s="107"/>
    </row>
    <row r="787" spans="6:15" ht="14.25" customHeight="1" x14ac:dyDescent="0.3">
      <c r="F787" s="108"/>
      <c r="G787" s="108"/>
      <c r="H787" s="108"/>
      <c r="I787" s="109"/>
      <c r="J787" s="110"/>
      <c r="K787" s="109"/>
      <c r="L787" s="110"/>
      <c r="M787" s="109"/>
      <c r="N787" s="110"/>
      <c r="O787" s="107"/>
    </row>
    <row r="788" spans="6:15" ht="14.25" customHeight="1" x14ac:dyDescent="0.3">
      <c r="F788" s="108"/>
      <c r="G788" s="108"/>
      <c r="H788" s="108"/>
      <c r="I788" s="109"/>
      <c r="J788" s="110"/>
      <c r="K788" s="109"/>
      <c r="L788" s="110"/>
      <c r="M788" s="109"/>
      <c r="N788" s="110"/>
      <c r="O788" s="107"/>
    </row>
    <row r="789" spans="6:15" ht="14.25" customHeight="1" x14ac:dyDescent="0.3">
      <c r="F789" s="108"/>
      <c r="G789" s="108"/>
      <c r="H789" s="108"/>
      <c r="I789" s="109"/>
      <c r="J789" s="110"/>
      <c r="K789" s="109"/>
      <c r="L789" s="110"/>
      <c r="M789" s="109"/>
      <c r="N789" s="110"/>
      <c r="O789" s="107"/>
    </row>
    <row r="790" spans="6:15" ht="14.25" customHeight="1" x14ac:dyDescent="0.3">
      <c r="F790" s="108"/>
      <c r="G790" s="108"/>
      <c r="H790" s="108"/>
      <c r="I790" s="109"/>
      <c r="J790" s="110"/>
      <c r="K790" s="109"/>
      <c r="L790" s="110"/>
      <c r="M790" s="109"/>
      <c r="N790" s="110"/>
      <c r="O790" s="107"/>
    </row>
    <row r="791" spans="6:15" ht="14.25" customHeight="1" x14ac:dyDescent="0.3">
      <c r="F791" s="108"/>
      <c r="G791" s="108"/>
      <c r="H791" s="108"/>
      <c r="I791" s="109"/>
      <c r="J791" s="110"/>
      <c r="K791" s="109"/>
      <c r="L791" s="110"/>
      <c r="M791" s="109"/>
      <c r="N791" s="110"/>
      <c r="O791" s="107"/>
    </row>
    <row r="792" spans="6:15" ht="14.25" customHeight="1" x14ac:dyDescent="0.3">
      <c r="F792" s="108"/>
      <c r="G792" s="108"/>
      <c r="H792" s="108"/>
      <c r="I792" s="109"/>
      <c r="J792" s="110"/>
      <c r="K792" s="109"/>
      <c r="L792" s="110"/>
      <c r="M792" s="109"/>
      <c r="N792" s="110"/>
      <c r="O792" s="107"/>
    </row>
    <row r="793" spans="6:15" ht="14.25" customHeight="1" x14ac:dyDescent="0.3">
      <c r="F793" s="108"/>
      <c r="G793" s="108"/>
      <c r="H793" s="108"/>
      <c r="I793" s="109"/>
      <c r="J793" s="110"/>
      <c r="K793" s="109"/>
      <c r="L793" s="110"/>
      <c r="M793" s="109"/>
      <c r="N793" s="110"/>
      <c r="O793" s="107"/>
    </row>
    <row r="794" spans="6:15" ht="14.25" customHeight="1" x14ac:dyDescent="0.3">
      <c r="F794" s="108"/>
      <c r="G794" s="108"/>
      <c r="H794" s="108"/>
      <c r="I794" s="109"/>
      <c r="J794" s="110"/>
      <c r="K794" s="109"/>
      <c r="L794" s="110"/>
      <c r="M794" s="109"/>
      <c r="N794" s="110"/>
      <c r="O794" s="107"/>
    </row>
    <row r="795" spans="6:15" ht="14.25" customHeight="1" x14ac:dyDescent="0.3">
      <c r="F795" s="108"/>
      <c r="G795" s="108"/>
      <c r="H795" s="108"/>
      <c r="I795" s="109"/>
      <c r="J795" s="110"/>
      <c r="K795" s="109"/>
      <c r="L795" s="110"/>
      <c r="M795" s="109"/>
      <c r="N795" s="110"/>
      <c r="O795" s="107"/>
    </row>
    <row r="796" spans="6:15" ht="14.25" customHeight="1" x14ac:dyDescent="0.3">
      <c r="F796" s="108"/>
      <c r="G796" s="108"/>
      <c r="H796" s="108"/>
      <c r="I796" s="109"/>
      <c r="J796" s="110"/>
      <c r="K796" s="109"/>
      <c r="L796" s="110"/>
      <c r="M796" s="109"/>
      <c r="N796" s="110"/>
      <c r="O796" s="107"/>
    </row>
    <row r="797" spans="6:15" ht="14.25" customHeight="1" x14ac:dyDescent="0.3">
      <c r="F797" s="108"/>
      <c r="G797" s="108"/>
      <c r="H797" s="108"/>
      <c r="I797" s="109"/>
      <c r="J797" s="110"/>
      <c r="K797" s="109"/>
      <c r="L797" s="110"/>
      <c r="M797" s="109"/>
      <c r="N797" s="110"/>
      <c r="O797" s="107"/>
    </row>
    <row r="798" spans="6:15" ht="14.25" customHeight="1" x14ac:dyDescent="0.3">
      <c r="F798" s="108"/>
      <c r="G798" s="108"/>
      <c r="H798" s="108"/>
      <c r="I798" s="109"/>
      <c r="J798" s="110"/>
      <c r="K798" s="109"/>
      <c r="L798" s="110"/>
      <c r="M798" s="109"/>
      <c r="N798" s="110"/>
      <c r="O798" s="107"/>
    </row>
    <row r="799" spans="6:15" ht="14.25" customHeight="1" x14ac:dyDescent="0.3">
      <c r="F799" s="108"/>
      <c r="G799" s="108"/>
      <c r="H799" s="108"/>
      <c r="I799" s="109"/>
      <c r="J799" s="110"/>
      <c r="K799" s="109"/>
      <c r="L799" s="110"/>
      <c r="M799" s="109"/>
      <c r="N799" s="110"/>
      <c r="O799" s="107"/>
    </row>
    <row r="800" spans="6:15" ht="14.25" customHeight="1" x14ac:dyDescent="0.3">
      <c r="F800" s="108"/>
      <c r="G800" s="108"/>
      <c r="H800" s="108"/>
      <c r="I800" s="109"/>
      <c r="J800" s="110"/>
      <c r="K800" s="109"/>
      <c r="L800" s="110"/>
      <c r="M800" s="109"/>
      <c r="N800" s="110"/>
      <c r="O800" s="107"/>
    </row>
    <row r="801" spans="6:15" ht="14.25" customHeight="1" x14ac:dyDescent="0.3">
      <c r="F801" s="108"/>
      <c r="G801" s="108"/>
      <c r="H801" s="108"/>
      <c r="I801" s="109"/>
      <c r="J801" s="110"/>
      <c r="K801" s="109"/>
      <c r="L801" s="110"/>
      <c r="M801" s="109"/>
      <c r="N801" s="110"/>
      <c r="O801" s="107"/>
    </row>
    <row r="802" spans="6:15" ht="14.25" customHeight="1" x14ac:dyDescent="0.3">
      <c r="F802" s="108"/>
      <c r="G802" s="108"/>
      <c r="H802" s="108"/>
      <c r="I802" s="109"/>
      <c r="J802" s="110"/>
      <c r="K802" s="109"/>
      <c r="L802" s="110"/>
      <c r="M802" s="109"/>
      <c r="N802" s="110"/>
      <c r="O802" s="107"/>
    </row>
    <row r="803" spans="6:15" ht="14.25" customHeight="1" x14ac:dyDescent="0.3">
      <c r="F803" s="108"/>
      <c r="G803" s="108"/>
      <c r="H803" s="108"/>
      <c r="I803" s="109"/>
      <c r="J803" s="110"/>
      <c r="K803" s="109"/>
      <c r="L803" s="110"/>
      <c r="M803" s="109"/>
      <c r="N803" s="110"/>
      <c r="O803" s="107"/>
    </row>
    <row r="804" spans="6:15" ht="14.25" customHeight="1" x14ac:dyDescent="0.3">
      <c r="F804" s="108"/>
      <c r="G804" s="108"/>
      <c r="H804" s="108"/>
      <c r="I804" s="109"/>
      <c r="J804" s="110"/>
      <c r="K804" s="109"/>
      <c r="L804" s="110"/>
      <c r="M804" s="109"/>
      <c r="N804" s="110"/>
      <c r="O804" s="107"/>
    </row>
    <row r="805" spans="6:15" ht="14.25" customHeight="1" x14ac:dyDescent="0.3">
      <c r="F805" s="108"/>
      <c r="G805" s="108"/>
      <c r="H805" s="108"/>
      <c r="I805" s="109"/>
      <c r="J805" s="110"/>
      <c r="K805" s="109"/>
      <c r="L805" s="110"/>
      <c r="M805" s="109"/>
      <c r="N805" s="110"/>
      <c r="O805" s="107"/>
    </row>
    <row r="806" spans="6:15" ht="14.25" customHeight="1" x14ac:dyDescent="0.3">
      <c r="F806" s="108"/>
      <c r="G806" s="108"/>
      <c r="H806" s="108"/>
      <c r="I806" s="109"/>
      <c r="J806" s="110"/>
      <c r="K806" s="109"/>
      <c r="L806" s="110"/>
      <c r="M806" s="109"/>
      <c r="N806" s="110"/>
      <c r="O806" s="107"/>
    </row>
    <row r="807" spans="6:15" ht="14.25" customHeight="1" x14ac:dyDescent="0.3">
      <c r="F807" s="108"/>
      <c r="G807" s="108"/>
      <c r="H807" s="108"/>
      <c r="I807" s="109"/>
      <c r="J807" s="110"/>
      <c r="K807" s="109"/>
      <c r="L807" s="110"/>
      <c r="M807" s="109"/>
      <c r="N807" s="110"/>
      <c r="O807" s="107"/>
    </row>
    <row r="808" spans="6:15" ht="14.25" customHeight="1" x14ac:dyDescent="0.3">
      <c r="F808" s="108"/>
      <c r="G808" s="108"/>
      <c r="H808" s="108"/>
      <c r="I808" s="109"/>
      <c r="J808" s="110"/>
      <c r="K808" s="109"/>
      <c r="L808" s="110"/>
      <c r="M808" s="109"/>
      <c r="N808" s="110"/>
      <c r="O808" s="107"/>
    </row>
    <row r="809" spans="6:15" ht="14.25" customHeight="1" x14ac:dyDescent="0.3">
      <c r="F809" s="108"/>
      <c r="G809" s="108"/>
      <c r="H809" s="108"/>
      <c r="I809" s="109"/>
      <c r="J809" s="110"/>
      <c r="K809" s="109"/>
      <c r="L809" s="110"/>
      <c r="M809" s="109"/>
      <c r="N809" s="110"/>
      <c r="O809" s="107"/>
    </row>
    <row r="810" spans="6:15" ht="14.25" customHeight="1" x14ac:dyDescent="0.3">
      <c r="F810" s="108"/>
      <c r="G810" s="108"/>
      <c r="H810" s="108"/>
      <c r="I810" s="109"/>
      <c r="J810" s="110"/>
      <c r="K810" s="109"/>
      <c r="L810" s="110"/>
      <c r="M810" s="109"/>
      <c r="N810" s="110"/>
      <c r="O810" s="107"/>
    </row>
    <row r="811" spans="6:15" ht="14.25" customHeight="1" x14ac:dyDescent="0.3">
      <c r="F811" s="108"/>
      <c r="G811" s="108"/>
      <c r="H811" s="108"/>
      <c r="I811" s="109"/>
      <c r="J811" s="110"/>
      <c r="K811" s="109"/>
      <c r="L811" s="110"/>
      <c r="M811" s="109"/>
      <c r="N811" s="110"/>
      <c r="O811" s="107"/>
    </row>
    <row r="812" spans="6:15" ht="14.25" customHeight="1" x14ac:dyDescent="0.3">
      <c r="F812" s="108"/>
      <c r="G812" s="108"/>
      <c r="H812" s="108"/>
      <c r="I812" s="109"/>
      <c r="J812" s="110"/>
      <c r="K812" s="109"/>
      <c r="L812" s="110"/>
      <c r="M812" s="109"/>
      <c r="N812" s="110"/>
      <c r="O812" s="107"/>
    </row>
    <row r="813" spans="6:15" ht="14.25" customHeight="1" x14ac:dyDescent="0.3">
      <c r="F813" s="108"/>
      <c r="G813" s="108"/>
      <c r="H813" s="108"/>
      <c r="I813" s="109"/>
      <c r="J813" s="110"/>
      <c r="K813" s="109"/>
      <c r="L813" s="110"/>
      <c r="M813" s="109"/>
      <c r="N813" s="110"/>
      <c r="O813" s="107"/>
    </row>
    <row r="814" spans="6:15" ht="14.25" customHeight="1" x14ac:dyDescent="0.3">
      <c r="F814" s="108"/>
      <c r="G814" s="108"/>
      <c r="H814" s="108"/>
      <c r="I814" s="109"/>
      <c r="J814" s="110"/>
      <c r="K814" s="109"/>
      <c r="L814" s="110"/>
      <c r="M814" s="109"/>
      <c r="N814" s="110"/>
      <c r="O814" s="107"/>
    </row>
    <row r="815" spans="6:15" ht="14.25" customHeight="1" x14ac:dyDescent="0.3">
      <c r="F815" s="108"/>
      <c r="G815" s="108"/>
      <c r="H815" s="108"/>
      <c r="I815" s="109"/>
      <c r="J815" s="110"/>
      <c r="K815" s="109"/>
      <c r="L815" s="110"/>
      <c r="M815" s="109"/>
      <c r="N815" s="110"/>
      <c r="O815" s="107"/>
    </row>
    <row r="816" spans="6:15" ht="14.25" customHeight="1" x14ac:dyDescent="0.3">
      <c r="F816" s="108"/>
      <c r="G816" s="108"/>
      <c r="H816" s="108"/>
      <c r="I816" s="109"/>
      <c r="J816" s="110"/>
      <c r="K816" s="109"/>
      <c r="L816" s="110"/>
      <c r="M816" s="109"/>
      <c r="N816" s="110"/>
      <c r="O816" s="107"/>
    </row>
    <row r="817" spans="6:15" ht="14.25" customHeight="1" x14ac:dyDescent="0.3">
      <c r="F817" s="108"/>
      <c r="G817" s="108"/>
      <c r="H817" s="108"/>
      <c r="I817" s="109"/>
      <c r="J817" s="110"/>
      <c r="K817" s="109"/>
      <c r="L817" s="110"/>
      <c r="M817" s="109"/>
      <c r="N817" s="110"/>
      <c r="O817" s="107"/>
    </row>
    <row r="818" spans="6:15" ht="14.25" customHeight="1" x14ac:dyDescent="0.3">
      <c r="F818" s="108"/>
      <c r="G818" s="108"/>
      <c r="H818" s="108"/>
      <c r="I818" s="109"/>
      <c r="J818" s="110"/>
      <c r="K818" s="109"/>
      <c r="L818" s="110"/>
      <c r="M818" s="109"/>
      <c r="N818" s="110"/>
      <c r="O818" s="107"/>
    </row>
    <row r="819" spans="6:15" ht="14.25" customHeight="1" x14ac:dyDescent="0.3">
      <c r="F819" s="108"/>
      <c r="G819" s="108"/>
      <c r="H819" s="108"/>
      <c r="I819" s="109"/>
      <c r="J819" s="110"/>
      <c r="K819" s="109"/>
      <c r="L819" s="110"/>
      <c r="M819" s="109"/>
      <c r="N819" s="110"/>
      <c r="O819" s="107"/>
    </row>
    <row r="820" spans="6:15" ht="14.25" customHeight="1" x14ac:dyDescent="0.3">
      <c r="F820" s="108"/>
      <c r="G820" s="108"/>
      <c r="H820" s="108"/>
      <c r="I820" s="109"/>
      <c r="J820" s="110"/>
      <c r="K820" s="109"/>
      <c r="L820" s="110"/>
      <c r="M820" s="109"/>
      <c r="N820" s="110"/>
      <c r="O820" s="107"/>
    </row>
    <row r="821" spans="6:15" ht="14.25" customHeight="1" x14ac:dyDescent="0.3">
      <c r="F821" s="108"/>
      <c r="G821" s="108"/>
      <c r="H821" s="108"/>
      <c r="I821" s="109"/>
      <c r="J821" s="110"/>
      <c r="K821" s="109"/>
      <c r="L821" s="110"/>
      <c r="M821" s="109"/>
      <c r="N821" s="110"/>
      <c r="O821" s="107"/>
    </row>
    <row r="822" spans="6:15" ht="14.25" customHeight="1" x14ac:dyDescent="0.3">
      <c r="F822" s="108"/>
      <c r="G822" s="108"/>
      <c r="H822" s="108"/>
      <c r="I822" s="109"/>
      <c r="J822" s="110"/>
      <c r="K822" s="109"/>
      <c r="L822" s="110"/>
      <c r="M822" s="109"/>
      <c r="N822" s="110"/>
      <c r="O822" s="107"/>
    </row>
    <row r="823" spans="6:15" ht="14.25" customHeight="1" x14ac:dyDescent="0.3">
      <c r="F823" s="108"/>
      <c r="G823" s="108"/>
      <c r="H823" s="108"/>
      <c r="I823" s="109"/>
      <c r="J823" s="110"/>
      <c r="K823" s="109"/>
      <c r="L823" s="110"/>
      <c r="M823" s="109"/>
      <c r="N823" s="110"/>
      <c r="O823" s="107"/>
    </row>
    <row r="824" spans="6:15" ht="14.25" customHeight="1" x14ac:dyDescent="0.3">
      <c r="F824" s="108"/>
      <c r="G824" s="108"/>
      <c r="H824" s="108"/>
      <c r="I824" s="109"/>
      <c r="J824" s="110"/>
      <c r="K824" s="109"/>
      <c r="L824" s="110"/>
      <c r="M824" s="109"/>
      <c r="N824" s="110"/>
      <c r="O824" s="107"/>
    </row>
    <row r="825" spans="6:15" ht="14.25" customHeight="1" x14ac:dyDescent="0.3">
      <c r="F825" s="108"/>
      <c r="G825" s="108"/>
      <c r="H825" s="108"/>
      <c r="I825" s="109"/>
      <c r="J825" s="110"/>
      <c r="K825" s="109"/>
      <c r="L825" s="110"/>
      <c r="M825" s="109"/>
      <c r="N825" s="110"/>
      <c r="O825" s="107"/>
    </row>
    <row r="826" spans="6:15" ht="14.25" customHeight="1" x14ac:dyDescent="0.3">
      <c r="F826" s="108"/>
      <c r="G826" s="108"/>
      <c r="H826" s="108"/>
      <c r="I826" s="109"/>
      <c r="J826" s="110"/>
      <c r="K826" s="109"/>
      <c r="L826" s="110"/>
      <c r="M826" s="109"/>
      <c r="N826" s="110"/>
      <c r="O826" s="107"/>
    </row>
    <row r="827" spans="6:15" ht="14.25" customHeight="1" x14ac:dyDescent="0.3">
      <c r="F827" s="108"/>
      <c r="G827" s="108"/>
      <c r="H827" s="108"/>
      <c r="I827" s="109"/>
      <c r="J827" s="110"/>
      <c r="K827" s="109"/>
      <c r="L827" s="110"/>
      <c r="M827" s="109"/>
      <c r="N827" s="110"/>
      <c r="O827" s="107"/>
    </row>
    <row r="828" spans="6:15" ht="14.25" customHeight="1" x14ac:dyDescent="0.3">
      <c r="F828" s="108"/>
      <c r="G828" s="108"/>
      <c r="H828" s="108"/>
      <c r="I828" s="109"/>
      <c r="J828" s="110"/>
      <c r="K828" s="109"/>
      <c r="L828" s="110"/>
      <c r="M828" s="109"/>
      <c r="N828" s="110"/>
      <c r="O828" s="107"/>
    </row>
    <row r="829" spans="6:15" ht="14.25" customHeight="1" x14ac:dyDescent="0.3">
      <c r="F829" s="108"/>
      <c r="G829" s="108"/>
      <c r="H829" s="108"/>
      <c r="I829" s="109"/>
      <c r="J829" s="110"/>
      <c r="K829" s="109"/>
      <c r="L829" s="110"/>
      <c r="M829" s="109"/>
      <c r="N829" s="110"/>
      <c r="O829" s="107"/>
    </row>
    <row r="830" spans="6:15" ht="14.25" customHeight="1" x14ac:dyDescent="0.3">
      <c r="F830" s="108"/>
      <c r="G830" s="108"/>
      <c r="H830" s="108"/>
      <c r="I830" s="109"/>
      <c r="J830" s="110"/>
      <c r="K830" s="109"/>
      <c r="L830" s="110"/>
      <c r="M830" s="109"/>
      <c r="N830" s="110"/>
      <c r="O830" s="107"/>
    </row>
    <row r="831" spans="6:15" ht="14.25" customHeight="1" x14ac:dyDescent="0.3">
      <c r="F831" s="108"/>
      <c r="G831" s="108"/>
      <c r="H831" s="108"/>
      <c r="I831" s="109"/>
      <c r="J831" s="110"/>
      <c r="K831" s="109"/>
      <c r="L831" s="110"/>
      <c r="M831" s="109"/>
      <c r="N831" s="110"/>
      <c r="O831" s="107"/>
    </row>
    <row r="832" spans="6:15" ht="14.25" customHeight="1" x14ac:dyDescent="0.3">
      <c r="F832" s="108"/>
      <c r="G832" s="108"/>
      <c r="H832" s="108"/>
      <c r="I832" s="109"/>
      <c r="J832" s="110"/>
      <c r="K832" s="109"/>
      <c r="L832" s="110"/>
      <c r="M832" s="109"/>
      <c r="N832" s="110"/>
      <c r="O832" s="107"/>
    </row>
    <row r="833" spans="6:15" ht="14.25" customHeight="1" x14ac:dyDescent="0.3">
      <c r="F833" s="108"/>
      <c r="G833" s="108"/>
      <c r="H833" s="108"/>
      <c r="I833" s="109"/>
      <c r="J833" s="110"/>
      <c r="K833" s="109"/>
      <c r="L833" s="110"/>
      <c r="M833" s="109"/>
      <c r="N833" s="110"/>
      <c r="O833" s="107"/>
    </row>
    <row r="834" spans="6:15" ht="14.25" customHeight="1" x14ac:dyDescent="0.3">
      <c r="F834" s="108"/>
      <c r="G834" s="108"/>
      <c r="H834" s="108"/>
      <c r="I834" s="109"/>
      <c r="J834" s="110"/>
      <c r="K834" s="109"/>
      <c r="L834" s="110"/>
      <c r="M834" s="109"/>
      <c r="N834" s="110"/>
      <c r="O834" s="107"/>
    </row>
    <row r="835" spans="6:15" ht="14.25" customHeight="1" x14ac:dyDescent="0.3">
      <c r="F835" s="108"/>
      <c r="G835" s="108"/>
      <c r="H835" s="108"/>
      <c r="I835" s="109"/>
      <c r="J835" s="110"/>
      <c r="K835" s="109"/>
      <c r="L835" s="110"/>
      <c r="M835" s="109"/>
      <c r="N835" s="110"/>
      <c r="O835" s="107"/>
    </row>
    <row r="836" spans="6:15" ht="14.25" customHeight="1" x14ac:dyDescent="0.3">
      <c r="F836" s="108"/>
      <c r="G836" s="108"/>
      <c r="H836" s="108"/>
      <c r="I836" s="109"/>
      <c r="J836" s="110"/>
      <c r="K836" s="109"/>
      <c r="L836" s="110"/>
      <c r="M836" s="109"/>
      <c r="N836" s="110"/>
      <c r="O836" s="107"/>
    </row>
    <row r="837" spans="6:15" ht="14.25" customHeight="1" x14ac:dyDescent="0.3">
      <c r="F837" s="108"/>
      <c r="G837" s="108"/>
      <c r="H837" s="108"/>
      <c r="I837" s="109"/>
      <c r="J837" s="110"/>
      <c r="K837" s="109"/>
      <c r="L837" s="110"/>
      <c r="M837" s="109"/>
      <c r="N837" s="110"/>
      <c r="O837" s="107"/>
    </row>
    <row r="838" spans="6:15" ht="14.25" customHeight="1" x14ac:dyDescent="0.3">
      <c r="F838" s="108"/>
      <c r="G838" s="108"/>
      <c r="H838" s="108"/>
      <c r="I838" s="109"/>
      <c r="J838" s="110"/>
      <c r="K838" s="109"/>
      <c r="L838" s="110"/>
      <c r="M838" s="109"/>
      <c r="N838" s="110"/>
      <c r="O838" s="107"/>
    </row>
    <row r="839" spans="6:15" ht="14.25" customHeight="1" x14ac:dyDescent="0.3">
      <c r="F839" s="108"/>
      <c r="G839" s="108"/>
      <c r="H839" s="108"/>
      <c r="I839" s="109"/>
      <c r="J839" s="110"/>
      <c r="K839" s="109"/>
      <c r="L839" s="110"/>
      <c r="M839" s="109"/>
      <c r="N839" s="110"/>
      <c r="O839" s="107"/>
    </row>
    <row r="840" spans="6:15" ht="14.25" customHeight="1" x14ac:dyDescent="0.3">
      <c r="F840" s="108"/>
      <c r="G840" s="108"/>
      <c r="H840" s="108"/>
      <c r="I840" s="109"/>
      <c r="J840" s="110"/>
      <c r="K840" s="109"/>
      <c r="L840" s="110"/>
      <c r="M840" s="109"/>
      <c r="N840" s="110"/>
      <c r="O840" s="107"/>
    </row>
    <row r="841" spans="6:15" ht="14.25" customHeight="1" x14ac:dyDescent="0.3">
      <c r="F841" s="108"/>
      <c r="G841" s="108"/>
      <c r="H841" s="108"/>
      <c r="I841" s="109"/>
      <c r="J841" s="110"/>
      <c r="K841" s="109"/>
      <c r="L841" s="110"/>
      <c r="M841" s="109"/>
      <c r="N841" s="110"/>
      <c r="O841" s="107"/>
    </row>
    <row r="842" spans="6:15" ht="14.25" customHeight="1" x14ac:dyDescent="0.3">
      <c r="F842" s="108"/>
      <c r="G842" s="108"/>
      <c r="H842" s="108"/>
      <c r="I842" s="109"/>
      <c r="J842" s="110"/>
      <c r="K842" s="109"/>
      <c r="L842" s="110"/>
      <c r="M842" s="109"/>
      <c r="N842" s="110"/>
      <c r="O842" s="107"/>
    </row>
    <row r="843" spans="6:15" ht="14.25" customHeight="1" x14ac:dyDescent="0.3">
      <c r="F843" s="108"/>
      <c r="G843" s="108"/>
      <c r="H843" s="108"/>
      <c r="I843" s="109"/>
      <c r="J843" s="110"/>
      <c r="K843" s="109"/>
      <c r="L843" s="110"/>
      <c r="M843" s="109"/>
      <c r="N843" s="110"/>
      <c r="O843" s="107"/>
    </row>
    <row r="844" spans="6:15" ht="14.25" customHeight="1" x14ac:dyDescent="0.3">
      <c r="F844" s="108"/>
      <c r="G844" s="108"/>
      <c r="H844" s="108"/>
      <c r="I844" s="109"/>
      <c r="J844" s="110"/>
      <c r="K844" s="109"/>
      <c r="L844" s="110"/>
      <c r="M844" s="109"/>
      <c r="N844" s="110"/>
      <c r="O844" s="107"/>
    </row>
    <row r="845" spans="6:15" ht="14.25" customHeight="1" x14ac:dyDescent="0.3">
      <c r="F845" s="108"/>
      <c r="G845" s="108"/>
      <c r="H845" s="108"/>
      <c r="I845" s="109"/>
      <c r="J845" s="110"/>
      <c r="K845" s="109"/>
      <c r="L845" s="110"/>
      <c r="M845" s="109"/>
      <c r="N845" s="110"/>
      <c r="O845" s="107"/>
    </row>
    <row r="846" spans="6:15" ht="14.25" customHeight="1" x14ac:dyDescent="0.3">
      <c r="F846" s="108"/>
      <c r="G846" s="108"/>
      <c r="H846" s="108"/>
      <c r="I846" s="109"/>
      <c r="J846" s="110"/>
      <c r="K846" s="109"/>
      <c r="L846" s="110"/>
      <c r="M846" s="109"/>
      <c r="N846" s="110"/>
      <c r="O846" s="107"/>
    </row>
    <row r="847" spans="6:15" ht="14.25" customHeight="1" x14ac:dyDescent="0.3">
      <c r="F847" s="108"/>
      <c r="G847" s="108"/>
      <c r="H847" s="108"/>
      <c r="I847" s="109"/>
      <c r="J847" s="110"/>
      <c r="K847" s="109"/>
      <c r="L847" s="110"/>
      <c r="M847" s="109"/>
      <c r="N847" s="110"/>
      <c r="O847" s="107"/>
    </row>
    <row r="848" spans="6:15" ht="14.25" customHeight="1" x14ac:dyDescent="0.3">
      <c r="F848" s="108"/>
      <c r="G848" s="108"/>
      <c r="H848" s="108"/>
      <c r="I848" s="109"/>
      <c r="J848" s="110"/>
      <c r="K848" s="109"/>
      <c r="L848" s="110"/>
      <c r="M848" s="109"/>
      <c r="N848" s="110"/>
      <c r="O848" s="107"/>
    </row>
    <row r="849" spans="6:15" ht="14.25" customHeight="1" x14ac:dyDescent="0.3">
      <c r="F849" s="108"/>
      <c r="G849" s="108"/>
      <c r="H849" s="108"/>
      <c r="I849" s="109"/>
      <c r="J849" s="110"/>
      <c r="K849" s="109"/>
      <c r="L849" s="110"/>
      <c r="M849" s="109"/>
      <c r="N849" s="110"/>
      <c r="O849" s="107"/>
    </row>
    <row r="850" spans="6:15" ht="14.25" customHeight="1" x14ac:dyDescent="0.3">
      <c r="F850" s="108"/>
      <c r="G850" s="108"/>
      <c r="H850" s="108"/>
      <c r="I850" s="109"/>
      <c r="J850" s="110"/>
      <c r="K850" s="109"/>
      <c r="L850" s="110"/>
      <c r="M850" s="109"/>
      <c r="N850" s="110"/>
      <c r="O850" s="107"/>
    </row>
    <row r="851" spans="6:15" ht="14.25" customHeight="1" x14ac:dyDescent="0.3">
      <c r="F851" s="108"/>
      <c r="G851" s="108"/>
      <c r="H851" s="108"/>
      <c r="I851" s="109"/>
      <c r="J851" s="110"/>
      <c r="K851" s="109"/>
      <c r="L851" s="110"/>
      <c r="M851" s="109"/>
      <c r="N851" s="110"/>
      <c r="O851" s="107"/>
    </row>
    <row r="852" spans="6:15" ht="14.25" customHeight="1" x14ac:dyDescent="0.3">
      <c r="F852" s="108"/>
      <c r="G852" s="108"/>
      <c r="H852" s="108"/>
      <c r="I852" s="109"/>
      <c r="J852" s="110"/>
      <c r="K852" s="109"/>
      <c r="L852" s="110"/>
      <c r="M852" s="109"/>
      <c r="N852" s="110"/>
      <c r="O852" s="107"/>
    </row>
    <row r="853" spans="6:15" ht="14.25" customHeight="1" x14ac:dyDescent="0.3">
      <c r="F853" s="108"/>
      <c r="G853" s="108"/>
      <c r="H853" s="108"/>
      <c r="I853" s="109"/>
      <c r="J853" s="110"/>
      <c r="K853" s="109"/>
      <c r="L853" s="110"/>
      <c r="M853" s="109"/>
      <c r="N853" s="110"/>
      <c r="O853" s="107"/>
    </row>
    <row r="854" spans="6:15" ht="14.25" customHeight="1" x14ac:dyDescent="0.3">
      <c r="F854" s="108"/>
      <c r="G854" s="108"/>
      <c r="H854" s="108"/>
      <c r="I854" s="109"/>
      <c r="J854" s="110"/>
      <c r="K854" s="109"/>
      <c r="L854" s="110"/>
      <c r="M854" s="109"/>
      <c r="N854" s="110"/>
      <c r="O854" s="107"/>
    </row>
    <row r="855" spans="6:15" ht="14.25" customHeight="1" x14ac:dyDescent="0.3">
      <c r="F855" s="108"/>
      <c r="G855" s="108"/>
      <c r="H855" s="108"/>
      <c r="I855" s="109"/>
      <c r="J855" s="110"/>
      <c r="K855" s="109"/>
      <c r="L855" s="110"/>
      <c r="M855" s="109"/>
      <c r="N855" s="110"/>
      <c r="O855" s="107"/>
    </row>
    <row r="856" spans="6:15" ht="14.25" customHeight="1" x14ac:dyDescent="0.3">
      <c r="F856" s="108"/>
      <c r="G856" s="108"/>
      <c r="H856" s="108"/>
      <c r="I856" s="109"/>
      <c r="J856" s="110"/>
      <c r="K856" s="109"/>
      <c r="L856" s="110"/>
      <c r="M856" s="109"/>
      <c r="N856" s="110"/>
      <c r="O856" s="107"/>
    </row>
    <row r="857" spans="6:15" ht="14.25" customHeight="1" x14ac:dyDescent="0.3">
      <c r="F857" s="108"/>
      <c r="G857" s="108"/>
      <c r="H857" s="108"/>
      <c r="I857" s="109"/>
      <c r="J857" s="110"/>
      <c r="K857" s="109"/>
      <c r="L857" s="110"/>
      <c r="M857" s="109"/>
      <c r="N857" s="110"/>
      <c r="O857" s="107"/>
    </row>
    <row r="858" spans="6:15" ht="14.25" customHeight="1" x14ac:dyDescent="0.3">
      <c r="F858" s="108"/>
      <c r="G858" s="108"/>
      <c r="H858" s="108"/>
      <c r="I858" s="109"/>
      <c r="J858" s="110"/>
      <c r="K858" s="109"/>
      <c r="L858" s="110"/>
      <c r="M858" s="109"/>
      <c r="N858" s="110"/>
      <c r="O858" s="107"/>
    </row>
    <row r="859" spans="6:15" ht="14.25" customHeight="1" x14ac:dyDescent="0.3">
      <c r="F859" s="108"/>
      <c r="G859" s="108"/>
      <c r="H859" s="108"/>
      <c r="I859" s="109"/>
      <c r="J859" s="110"/>
      <c r="K859" s="109"/>
      <c r="L859" s="110"/>
      <c r="M859" s="109"/>
      <c r="N859" s="110"/>
      <c r="O859" s="107"/>
    </row>
    <row r="860" spans="6:15" ht="14.25" customHeight="1" x14ac:dyDescent="0.3">
      <c r="F860" s="108"/>
      <c r="G860" s="108"/>
      <c r="H860" s="108"/>
      <c r="I860" s="109"/>
      <c r="J860" s="110"/>
      <c r="K860" s="109"/>
      <c r="L860" s="110"/>
      <c r="M860" s="109"/>
      <c r="N860" s="110"/>
      <c r="O860" s="107"/>
    </row>
    <row r="861" spans="6:15" ht="14.25" customHeight="1" x14ac:dyDescent="0.3">
      <c r="F861" s="108"/>
      <c r="G861" s="108"/>
      <c r="H861" s="108"/>
      <c r="I861" s="109"/>
      <c r="J861" s="110"/>
      <c r="K861" s="109"/>
      <c r="L861" s="110"/>
      <c r="M861" s="109"/>
      <c r="N861" s="110"/>
      <c r="O861" s="107"/>
    </row>
    <row r="862" spans="6:15" ht="14.25" customHeight="1" x14ac:dyDescent="0.3">
      <c r="F862" s="108"/>
      <c r="G862" s="108"/>
      <c r="H862" s="108"/>
      <c r="I862" s="109"/>
      <c r="J862" s="110"/>
      <c r="K862" s="109"/>
      <c r="L862" s="110"/>
      <c r="M862" s="109"/>
      <c r="N862" s="110"/>
      <c r="O862" s="107"/>
    </row>
    <row r="863" spans="6:15" ht="14.25" customHeight="1" x14ac:dyDescent="0.3">
      <c r="F863" s="108"/>
      <c r="G863" s="108"/>
      <c r="H863" s="108"/>
      <c r="I863" s="109"/>
      <c r="J863" s="110"/>
      <c r="K863" s="109"/>
      <c r="L863" s="110"/>
      <c r="M863" s="109"/>
      <c r="N863" s="110"/>
      <c r="O863" s="107"/>
    </row>
    <row r="864" spans="6:15" ht="14.25" customHeight="1" x14ac:dyDescent="0.3">
      <c r="F864" s="108"/>
      <c r="G864" s="108"/>
      <c r="H864" s="108"/>
      <c r="I864" s="109"/>
      <c r="J864" s="110"/>
      <c r="K864" s="109"/>
      <c r="L864" s="110"/>
      <c r="M864" s="109"/>
      <c r="N864" s="110"/>
      <c r="O864" s="107"/>
    </row>
    <row r="865" spans="6:15" ht="14.25" customHeight="1" x14ac:dyDescent="0.3">
      <c r="F865" s="108"/>
      <c r="G865" s="108"/>
      <c r="H865" s="108"/>
      <c r="I865" s="109"/>
      <c r="J865" s="110"/>
      <c r="K865" s="109"/>
      <c r="L865" s="110"/>
      <c r="M865" s="109"/>
      <c r="N865" s="110"/>
      <c r="O865" s="107"/>
    </row>
    <row r="866" spans="6:15" ht="14.25" customHeight="1" x14ac:dyDescent="0.3">
      <c r="F866" s="108"/>
      <c r="G866" s="108"/>
      <c r="H866" s="108"/>
      <c r="I866" s="109"/>
      <c r="J866" s="110"/>
      <c r="K866" s="109"/>
      <c r="L866" s="110"/>
      <c r="M866" s="109"/>
      <c r="N866" s="110"/>
      <c r="O866" s="107"/>
    </row>
    <row r="867" spans="6:15" ht="14.25" customHeight="1" x14ac:dyDescent="0.3">
      <c r="F867" s="108"/>
      <c r="G867" s="108"/>
      <c r="H867" s="108"/>
      <c r="I867" s="109"/>
      <c r="J867" s="110"/>
      <c r="K867" s="109"/>
      <c r="L867" s="110"/>
      <c r="M867" s="109"/>
      <c r="N867" s="110"/>
      <c r="O867" s="107"/>
    </row>
    <row r="868" spans="6:15" ht="14.25" customHeight="1" x14ac:dyDescent="0.3">
      <c r="F868" s="108"/>
      <c r="G868" s="108"/>
      <c r="H868" s="108"/>
      <c r="I868" s="109"/>
      <c r="J868" s="110"/>
      <c r="K868" s="109"/>
      <c r="L868" s="110"/>
      <c r="M868" s="109"/>
      <c r="N868" s="110"/>
      <c r="O868" s="107"/>
    </row>
    <row r="869" spans="6:15" ht="14.25" customHeight="1" x14ac:dyDescent="0.3">
      <c r="F869" s="108"/>
      <c r="G869" s="108"/>
      <c r="H869" s="108"/>
      <c r="I869" s="109"/>
      <c r="J869" s="110"/>
      <c r="K869" s="109"/>
      <c r="L869" s="110"/>
      <c r="M869" s="109"/>
      <c r="N869" s="110"/>
      <c r="O869" s="107"/>
    </row>
    <row r="870" spans="6:15" ht="14.25" customHeight="1" x14ac:dyDescent="0.3">
      <c r="F870" s="108"/>
      <c r="G870" s="108"/>
      <c r="H870" s="108"/>
      <c r="I870" s="109"/>
      <c r="J870" s="110"/>
      <c r="K870" s="109"/>
      <c r="L870" s="110"/>
      <c r="M870" s="109"/>
      <c r="N870" s="110"/>
      <c r="O870" s="107"/>
    </row>
    <row r="871" spans="6:15" ht="14.25" customHeight="1" x14ac:dyDescent="0.3">
      <c r="F871" s="108"/>
      <c r="G871" s="108"/>
      <c r="H871" s="108"/>
      <c r="I871" s="109"/>
      <c r="J871" s="110"/>
      <c r="K871" s="109"/>
      <c r="L871" s="110"/>
      <c r="M871" s="109"/>
      <c r="N871" s="110"/>
      <c r="O871" s="107"/>
    </row>
    <row r="872" spans="6:15" ht="14.25" customHeight="1" x14ac:dyDescent="0.3">
      <c r="F872" s="108"/>
      <c r="G872" s="108"/>
      <c r="H872" s="108"/>
      <c r="I872" s="109"/>
      <c r="J872" s="110"/>
      <c r="K872" s="109"/>
      <c r="L872" s="110"/>
      <c r="M872" s="109"/>
      <c r="N872" s="110"/>
      <c r="O872" s="107"/>
    </row>
    <row r="873" spans="6:15" ht="14.25" customHeight="1" x14ac:dyDescent="0.3">
      <c r="F873" s="108"/>
      <c r="G873" s="108"/>
      <c r="H873" s="108"/>
      <c r="I873" s="109"/>
      <c r="J873" s="110"/>
      <c r="K873" s="109"/>
      <c r="L873" s="110"/>
      <c r="M873" s="109"/>
      <c r="N873" s="110"/>
      <c r="O873" s="107"/>
    </row>
    <row r="874" spans="6:15" ht="14.25" customHeight="1" x14ac:dyDescent="0.3">
      <c r="F874" s="108"/>
      <c r="G874" s="108"/>
      <c r="H874" s="108"/>
      <c r="I874" s="109"/>
      <c r="J874" s="110"/>
      <c r="K874" s="109"/>
      <c r="L874" s="110"/>
      <c r="M874" s="109"/>
      <c r="N874" s="110"/>
      <c r="O874" s="107"/>
    </row>
    <row r="875" spans="6:15" ht="14.25" customHeight="1" x14ac:dyDescent="0.3">
      <c r="F875" s="108"/>
      <c r="G875" s="108"/>
      <c r="H875" s="108"/>
      <c r="I875" s="109"/>
      <c r="J875" s="110"/>
      <c r="K875" s="109"/>
      <c r="L875" s="110"/>
      <c r="M875" s="109"/>
      <c r="N875" s="110"/>
      <c r="O875" s="107"/>
    </row>
    <row r="876" spans="6:15" ht="14.25" customHeight="1" x14ac:dyDescent="0.3">
      <c r="F876" s="108"/>
      <c r="G876" s="108"/>
      <c r="H876" s="108"/>
      <c r="I876" s="109"/>
      <c r="J876" s="110"/>
      <c r="K876" s="109"/>
      <c r="L876" s="110"/>
      <c r="M876" s="109"/>
      <c r="N876" s="110"/>
      <c r="O876" s="107"/>
    </row>
    <row r="877" spans="6:15" ht="14.25" customHeight="1" x14ac:dyDescent="0.3">
      <c r="F877" s="108"/>
      <c r="G877" s="108"/>
      <c r="H877" s="108"/>
      <c r="I877" s="109"/>
      <c r="J877" s="110"/>
      <c r="K877" s="109"/>
      <c r="L877" s="110"/>
      <c r="M877" s="109"/>
      <c r="N877" s="110"/>
      <c r="O877" s="107"/>
    </row>
    <row r="878" spans="6:15" ht="14.25" customHeight="1" x14ac:dyDescent="0.3">
      <c r="F878" s="108"/>
      <c r="G878" s="108"/>
      <c r="H878" s="108"/>
      <c r="I878" s="109"/>
      <c r="J878" s="110"/>
      <c r="K878" s="109"/>
      <c r="L878" s="110"/>
      <c r="M878" s="109"/>
      <c r="N878" s="110"/>
      <c r="O878" s="107"/>
    </row>
    <row r="879" spans="6:15" ht="14.25" customHeight="1" x14ac:dyDescent="0.3">
      <c r="F879" s="108"/>
      <c r="G879" s="108"/>
      <c r="H879" s="108"/>
      <c r="I879" s="109"/>
      <c r="J879" s="110"/>
      <c r="K879" s="109"/>
      <c r="L879" s="110"/>
      <c r="M879" s="109"/>
      <c r="N879" s="110"/>
      <c r="O879" s="107"/>
    </row>
    <row r="880" spans="6:15" ht="14.25" customHeight="1" x14ac:dyDescent="0.3">
      <c r="F880" s="108"/>
      <c r="G880" s="108"/>
      <c r="H880" s="108"/>
      <c r="I880" s="109"/>
      <c r="J880" s="110"/>
      <c r="K880" s="109"/>
      <c r="L880" s="110"/>
      <c r="M880" s="109"/>
      <c r="N880" s="110"/>
      <c r="O880" s="107"/>
    </row>
    <row r="881" spans="6:15" ht="14.25" customHeight="1" x14ac:dyDescent="0.3">
      <c r="F881" s="108"/>
      <c r="G881" s="108"/>
      <c r="H881" s="108"/>
      <c r="I881" s="109"/>
      <c r="J881" s="110"/>
      <c r="K881" s="109"/>
      <c r="L881" s="110"/>
      <c r="M881" s="109"/>
      <c r="N881" s="110"/>
      <c r="O881" s="107"/>
    </row>
    <row r="882" spans="6:15" ht="14.25" customHeight="1" x14ac:dyDescent="0.3">
      <c r="F882" s="108"/>
      <c r="G882" s="108"/>
      <c r="H882" s="108"/>
      <c r="I882" s="109"/>
      <c r="J882" s="110"/>
      <c r="K882" s="109"/>
      <c r="L882" s="110"/>
      <c r="M882" s="109"/>
      <c r="N882" s="110"/>
      <c r="O882" s="107"/>
    </row>
    <row r="883" spans="6:15" ht="14.25" customHeight="1" x14ac:dyDescent="0.3">
      <c r="F883" s="108"/>
      <c r="G883" s="108"/>
      <c r="H883" s="108"/>
      <c r="I883" s="109"/>
      <c r="J883" s="110"/>
      <c r="K883" s="109"/>
      <c r="L883" s="110"/>
      <c r="M883" s="109"/>
      <c r="N883" s="110"/>
      <c r="O883" s="107"/>
    </row>
    <row r="884" spans="6:15" ht="14.25" customHeight="1" x14ac:dyDescent="0.3">
      <c r="F884" s="108"/>
      <c r="G884" s="108"/>
      <c r="H884" s="108"/>
      <c r="I884" s="109"/>
      <c r="J884" s="110"/>
      <c r="K884" s="109"/>
      <c r="L884" s="110"/>
      <c r="M884" s="109"/>
      <c r="N884" s="110"/>
      <c r="O884" s="107"/>
    </row>
    <row r="885" spans="6:15" ht="14.25" customHeight="1" x14ac:dyDescent="0.3">
      <c r="F885" s="108"/>
      <c r="G885" s="108"/>
      <c r="H885" s="108"/>
      <c r="I885" s="109"/>
      <c r="J885" s="110"/>
      <c r="K885" s="109"/>
      <c r="L885" s="110"/>
      <c r="M885" s="109"/>
      <c r="N885" s="110"/>
      <c r="O885" s="107"/>
    </row>
    <row r="886" spans="6:15" ht="14.25" customHeight="1" x14ac:dyDescent="0.3">
      <c r="F886" s="108"/>
      <c r="G886" s="108"/>
      <c r="H886" s="108"/>
      <c r="I886" s="109"/>
      <c r="J886" s="110"/>
      <c r="K886" s="109"/>
      <c r="L886" s="110"/>
      <c r="M886" s="109"/>
      <c r="N886" s="110"/>
      <c r="O886" s="107"/>
    </row>
    <row r="887" spans="6:15" ht="14.25" customHeight="1" x14ac:dyDescent="0.3">
      <c r="F887" s="108"/>
      <c r="G887" s="108"/>
      <c r="H887" s="108"/>
      <c r="I887" s="109"/>
      <c r="J887" s="110"/>
      <c r="K887" s="109"/>
      <c r="L887" s="110"/>
      <c r="M887" s="109"/>
      <c r="N887" s="110"/>
      <c r="O887" s="107"/>
    </row>
    <row r="888" spans="6:15" ht="14.25" customHeight="1" x14ac:dyDescent="0.3">
      <c r="F888" s="108"/>
      <c r="G888" s="108"/>
      <c r="H888" s="108"/>
      <c r="I888" s="109"/>
      <c r="J888" s="110"/>
      <c r="K888" s="109"/>
      <c r="L888" s="110"/>
      <c r="M888" s="109"/>
      <c r="N888" s="110"/>
      <c r="O888" s="107"/>
    </row>
    <row r="889" spans="6:15" ht="14.25" customHeight="1" x14ac:dyDescent="0.3">
      <c r="F889" s="108"/>
      <c r="G889" s="108"/>
      <c r="H889" s="108"/>
      <c r="I889" s="109"/>
      <c r="J889" s="110"/>
      <c r="K889" s="109"/>
      <c r="L889" s="110"/>
      <c r="M889" s="109"/>
      <c r="N889" s="110"/>
      <c r="O889" s="107"/>
    </row>
    <row r="890" spans="6:15" ht="14.25" customHeight="1" x14ac:dyDescent="0.3">
      <c r="F890" s="108"/>
      <c r="G890" s="108"/>
      <c r="H890" s="108"/>
      <c r="I890" s="109"/>
      <c r="J890" s="110"/>
      <c r="K890" s="109"/>
      <c r="L890" s="110"/>
      <c r="M890" s="109"/>
      <c r="N890" s="110"/>
      <c r="O890" s="107"/>
    </row>
    <row r="891" spans="6:15" ht="14.25" customHeight="1" x14ac:dyDescent="0.3">
      <c r="F891" s="108"/>
      <c r="G891" s="108"/>
      <c r="H891" s="108"/>
      <c r="I891" s="109"/>
      <c r="J891" s="110"/>
      <c r="K891" s="109"/>
      <c r="L891" s="110"/>
      <c r="M891" s="109"/>
      <c r="N891" s="110"/>
      <c r="O891" s="107"/>
    </row>
    <row r="892" spans="6:15" ht="14.25" customHeight="1" x14ac:dyDescent="0.3">
      <c r="F892" s="108"/>
      <c r="G892" s="108"/>
      <c r="H892" s="108"/>
      <c r="I892" s="109"/>
      <c r="J892" s="110"/>
      <c r="K892" s="109"/>
      <c r="L892" s="110"/>
      <c r="M892" s="109"/>
      <c r="N892" s="110"/>
      <c r="O892" s="107"/>
    </row>
    <row r="893" spans="6:15" ht="14.25" customHeight="1" x14ac:dyDescent="0.3">
      <c r="F893" s="108"/>
      <c r="G893" s="108"/>
      <c r="H893" s="108"/>
      <c r="I893" s="109"/>
      <c r="J893" s="110"/>
      <c r="K893" s="109"/>
      <c r="L893" s="110"/>
      <c r="M893" s="109"/>
      <c r="N893" s="110"/>
      <c r="O893" s="107"/>
    </row>
    <row r="894" spans="6:15" ht="14.25" customHeight="1" x14ac:dyDescent="0.3">
      <c r="F894" s="108"/>
      <c r="G894" s="108"/>
      <c r="H894" s="108"/>
      <c r="I894" s="109"/>
      <c r="J894" s="110"/>
      <c r="K894" s="109"/>
      <c r="L894" s="110"/>
      <c r="M894" s="109"/>
      <c r="N894" s="110"/>
      <c r="O894" s="107"/>
    </row>
    <row r="895" spans="6:15" ht="14.25" customHeight="1" x14ac:dyDescent="0.3">
      <c r="F895" s="108"/>
      <c r="G895" s="108"/>
      <c r="H895" s="108"/>
      <c r="I895" s="109"/>
      <c r="J895" s="110"/>
      <c r="K895" s="109"/>
      <c r="L895" s="110"/>
      <c r="M895" s="109"/>
      <c r="N895" s="110"/>
      <c r="O895" s="107"/>
    </row>
    <row r="896" spans="6:15" ht="14.25" customHeight="1" x14ac:dyDescent="0.3">
      <c r="F896" s="108"/>
      <c r="G896" s="108"/>
      <c r="H896" s="108"/>
      <c r="I896" s="109"/>
      <c r="J896" s="110"/>
      <c r="K896" s="109"/>
      <c r="L896" s="110"/>
      <c r="M896" s="109"/>
      <c r="N896" s="110"/>
      <c r="O896" s="107"/>
    </row>
    <row r="897" spans="6:15" ht="14.25" customHeight="1" x14ac:dyDescent="0.3">
      <c r="F897" s="108"/>
      <c r="G897" s="108"/>
      <c r="H897" s="108"/>
      <c r="I897" s="109"/>
      <c r="J897" s="110"/>
      <c r="K897" s="109"/>
      <c r="L897" s="110"/>
      <c r="M897" s="109"/>
      <c r="N897" s="110"/>
      <c r="O897" s="107"/>
    </row>
    <row r="898" spans="6:15" ht="14.25" customHeight="1" x14ac:dyDescent="0.3">
      <c r="F898" s="108"/>
      <c r="G898" s="108"/>
      <c r="H898" s="108"/>
      <c r="I898" s="109"/>
      <c r="J898" s="110"/>
      <c r="K898" s="109"/>
      <c r="L898" s="110"/>
      <c r="M898" s="109"/>
      <c r="N898" s="110"/>
      <c r="O898" s="107"/>
    </row>
    <row r="899" spans="6:15" ht="14.25" customHeight="1" x14ac:dyDescent="0.3">
      <c r="F899" s="108"/>
      <c r="G899" s="108"/>
      <c r="H899" s="108"/>
      <c r="I899" s="109"/>
      <c r="J899" s="110"/>
      <c r="K899" s="109"/>
      <c r="L899" s="110"/>
      <c r="M899" s="109"/>
      <c r="N899" s="110"/>
      <c r="O899" s="107"/>
    </row>
    <row r="900" spans="6:15" ht="14.25" customHeight="1" x14ac:dyDescent="0.3">
      <c r="F900" s="108"/>
      <c r="G900" s="108"/>
      <c r="H900" s="108"/>
      <c r="I900" s="109"/>
      <c r="J900" s="110"/>
      <c r="K900" s="109"/>
      <c r="L900" s="110"/>
      <c r="M900" s="109"/>
      <c r="N900" s="110"/>
      <c r="O900" s="107"/>
    </row>
    <row r="901" spans="6:15" ht="14.25" customHeight="1" x14ac:dyDescent="0.3">
      <c r="F901" s="108"/>
      <c r="G901" s="108"/>
      <c r="H901" s="108"/>
      <c r="I901" s="109"/>
      <c r="J901" s="110"/>
      <c r="K901" s="109"/>
      <c r="L901" s="110"/>
      <c r="M901" s="109"/>
      <c r="N901" s="110"/>
      <c r="O901" s="107"/>
    </row>
    <row r="902" spans="6:15" ht="14.25" customHeight="1" x14ac:dyDescent="0.3">
      <c r="F902" s="108"/>
      <c r="G902" s="108"/>
      <c r="H902" s="108"/>
      <c r="I902" s="109"/>
      <c r="J902" s="110"/>
      <c r="K902" s="109"/>
      <c r="L902" s="110"/>
      <c r="M902" s="109"/>
      <c r="N902" s="110"/>
      <c r="O902" s="107"/>
    </row>
    <row r="903" spans="6:15" ht="14.25" customHeight="1" x14ac:dyDescent="0.3">
      <c r="F903" s="108"/>
      <c r="G903" s="108"/>
      <c r="H903" s="108"/>
      <c r="I903" s="109"/>
      <c r="J903" s="110"/>
      <c r="K903" s="109"/>
      <c r="L903" s="110"/>
      <c r="M903" s="109"/>
      <c r="N903" s="110"/>
      <c r="O903" s="107"/>
    </row>
    <row r="904" spans="6:15" ht="14.25" customHeight="1" x14ac:dyDescent="0.3">
      <c r="F904" s="108"/>
      <c r="G904" s="108"/>
      <c r="H904" s="108"/>
      <c r="I904" s="109"/>
      <c r="J904" s="110"/>
      <c r="K904" s="109"/>
      <c r="L904" s="110"/>
      <c r="M904" s="109"/>
      <c r="N904" s="110"/>
      <c r="O904" s="107"/>
    </row>
    <row r="905" spans="6:15" ht="14.25" customHeight="1" x14ac:dyDescent="0.3">
      <c r="F905" s="108"/>
      <c r="G905" s="108"/>
      <c r="H905" s="108"/>
      <c r="I905" s="109"/>
      <c r="J905" s="110"/>
      <c r="K905" s="109"/>
      <c r="L905" s="110"/>
      <c r="M905" s="109"/>
      <c r="N905" s="110"/>
      <c r="O905" s="107"/>
    </row>
    <row r="906" spans="6:15" ht="14.25" customHeight="1" x14ac:dyDescent="0.3">
      <c r="F906" s="108"/>
      <c r="G906" s="108"/>
      <c r="H906" s="108"/>
      <c r="I906" s="109"/>
      <c r="J906" s="110"/>
      <c r="K906" s="109"/>
      <c r="L906" s="110"/>
      <c r="M906" s="109"/>
      <c r="N906" s="110"/>
      <c r="O906" s="107"/>
    </row>
    <row r="907" spans="6:15" ht="14.25" customHeight="1" x14ac:dyDescent="0.3">
      <c r="F907" s="108"/>
      <c r="G907" s="108"/>
      <c r="H907" s="108"/>
      <c r="I907" s="109"/>
      <c r="J907" s="110"/>
      <c r="K907" s="109"/>
      <c r="L907" s="110"/>
      <c r="M907" s="109"/>
      <c r="N907" s="110"/>
      <c r="O907" s="107"/>
    </row>
    <row r="908" spans="6:15" ht="14.25" customHeight="1" x14ac:dyDescent="0.3">
      <c r="F908" s="108"/>
      <c r="G908" s="108"/>
      <c r="H908" s="108"/>
      <c r="I908" s="109"/>
      <c r="J908" s="110"/>
      <c r="K908" s="109"/>
      <c r="L908" s="110"/>
      <c r="M908" s="109"/>
      <c r="N908" s="110"/>
      <c r="O908" s="107"/>
    </row>
    <row r="909" spans="6:15" ht="14.25" customHeight="1" x14ac:dyDescent="0.3">
      <c r="F909" s="108"/>
      <c r="G909" s="108"/>
      <c r="H909" s="108"/>
      <c r="I909" s="109"/>
      <c r="J909" s="110"/>
      <c r="K909" s="109"/>
      <c r="L909" s="110"/>
      <c r="M909" s="109"/>
      <c r="N909" s="110"/>
      <c r="O909" s="107"/>
    </row>
    <row r="910" spans="6:15" ht="14.25" customHeight="1" x14ac:dyDescent="0.3">
      <c r="F910" s="108"/>
      <c r="G910" s="108"/>
      <c r="H910" s="108"/>
      <c r="I910" s="109"/>
      <c r="J910" s="110"/>
      <c r="K910" s="109"/>
      <c r="L910" s="110"/>
      <c r="M910" s="109"/>
      <c r="N910" s="110"/>
      <c r="O910" s="107"/>
    </row>
    <row r="911" spans="6:15" ht="14.25" customHeight="1" x14ac:dyDescent="0.3">
      <c r="F911" s="108"/>
      <c r="G911" s="108"/>
      <c r="H911" s="108"/>
      <c r="I911" s="109"/>
      <c r="J911" s="110"/>
      <c r="K911" s="109"/>
      <c r="L911" s="110"/>
      <c r="M911" s="109"/>
      <c r="N911" s="110"/>
      <c r="O911" s="107"/>
    </row>
    <row r="912" spans="6:15" ht="14.25" customHeight="1" x14ac:dyDescent="0.3">
      <c r="F912" s="108"/>
      <c r="G912" s="108"/>
      <c r="H912" s="108"/>
      <c r="I912" s="109"/>
      <c r="J912" s="110"/>
      <c r="K912" s="109"/>
      <c r="L912" s="110"/>
      <c r="M912" s="109"/>
      <c r="N912" s="110"/>
      <c r="O912" s="107"/>
    </row>
    <row r="913" spans="6:15" ht="14.25" customHeight="1" x14ac:dyDescent="0.3">
      <c r="F913" s="108"/>
      <c r="G913" s="108"/>
      <c r="H913" s="108"/>
      <c r="I913" s="109"/>
      <c r="J913" s="110"/>
      <c r="K913" s="109"/>
      <c r="L913" s="110"/>
      <c r="M913" s="109"/>
      <c r="N913" s="110"/>
      <c r="O913" s="107"/>
    </row>
    <row r="914" spans="6:15" ht="14.25" customHeight="1" x14ac:dyDescent="0.3">
      <c r="F914" s="108"/>
      <c r="G914" s="108"/>
      <c r="H914" s="108"/>
      <c r="I914" s="109"/>
      <c r="J914" s="110"/>
      <c r="K914" s="109"/>
      <c r="L914" s="110"/>
      <c r="M914" s="109"/>
      <c r="N914" s="110"/>
      <c r="O914" s="107"/>
    </row>
    <row r="915" spans="6:15" ht="14.25" customHeight="1" x14ac:dyDescent="0.3">
      <c r="F915" s="108"/>
      <c r="G915" s="108"/>
      <c r="H915" s="108"/>
      <c r="I915" s="109"/>
      <c r="J915" s="110"/>
      <c r="K915" s="109"/>
      <c r="L915" s="110"/>
      <c r="M915" s="109"/>
      <c r="N915" s="110"/>
      <c r="O915" s="107"/>
    </row>
    <row r="916" spans="6:15" ht="14.25" customHeight="1" x14ac:dyDescent="0.3">
      <c r="F916" s="108"/>
      <c r="G916" s="108"/>
      <c r="H916" s="108"/>
      <c r="I916" s="109"/>
      <c r="J916" s="110"/>
      <c r="K916" s="109"/>
      <c r="L916" s="110"/>
      <c r="M916" s="109"/>
      <c r="N916" s="110"/>
      <c r="O916" s="107"/>
    </row>
    <row r="917" spans="6:15" ht="14.25" customHeight="1" x14ac:dyDescent="0.3">
      <c r="F917" s="108"/>
      <c r="G917" s="108"/>
      <c r="H917" s="108"/>
      <c r="I917" s="109"/>
      <c r="J917" s="110"/>
      <c r="K917" s="109"/>
      <c r="L917" s="110"/>
      <c r="M917" s="109"/>
      <c r="N917" s="110"/>
      <c r="O917" s="107"/>
    </row>
    <row r="918" spans="6:15" ht="14.25" customHeight="1" x14ac:dyDescent="0.3">
      <c r="F918" s="108"/>
      <c r="G918" s="108"/>
      <c r="H918" s="108"/>
      <c r="I918" s="109"/>
      <c r="J918" s="110"/>
      <c r="K918" s="109"/>
      <c r="L918" s="110"/>
      <c r="M918" s="109"/>
      <c r="N918" s="110"/>
      <c r="O918" s="107"/>
    </row>
    <row r="919" spans="6:15" ht="14.25" customHeight="1" x14ac:dyDescent="0.3">
      <c r="F919" s="108"/>
      <c r="G919" s="108"/>
      <c r="H919" s="108"/>
      <c r="I919" s="109"/>
      <c r="J919" s="110"/>
      <c r="K919" s="109"/>
      <c r="L919" s="110"/>
      <c r="M919" s="109"/>
      <c r="N919" s="110"/>
      <c r="O919" s="107"/>
    </row>
    <row r="920" spans="6:15" ht="14.25" customHeight="1" x14ac:dyDescent="0.3">
      <c r="F920" s="108"/>
      <c r="G920" s="108"/>
      <c r="H920" s="108"/>
      <c r="I920" s="109"/>
      <c r="J920" s="110"/>
      <c r="K920" s="109"/>
      <c r="L920" s="110"/>
      <c r="M920" s="109"/>
      <c r="N920" s="110"/>
      <c r="O920" s="107"/>
    </row>
    <row r="921" spans="6:15" ht="14.25" customHeight="1" x14ac:dyDescent="0.3">
      <c r="F921" s="108"/>
      <c r="G921" s="108"/>
      <c r="H921" s="108"/>
      <c r="I921" s="109"/>
      <c r="J921" s="110"/>
      <c r="K921" s="109"/>
      <c r="L921" s="110"/>
      <c r="M921" s="109"/>
      <c r="N921" s="110"/>
      <c r="O921" s="107"/>
    </row>
    <row r="922" spans="6:15" ht="14.25" customHeight="1" x14ac:dyDescent="0.3">
      <c r="F922" s="108"/>
      <c r="G922" s="108"/>
      <c r="H922" s="108"/>
      <c r="I922" s="109"/>
      <c r="J922" s="110"/>
      <c r="K922" s="109"/>
      <c r="L922" s="110"/>
      <c r="M922" s="109"/>
      <c r="N922" s="110"/>
      <c r="O922" s="107"/>
    </row>
    <row r="923" spans="6:15" ht="14.25" customHeight="1" x14ac:dyDescent="0.3">
      <c r="F923" s="108"/>
      <c r="G923" s="108"/>
      <c r="H923" s="108"/>
      <c r="I923" s="109"/>
      <c r="J923" s="110"/>
      <c r="K923" s="109"/>
      <c r="L923" s="110"/>
      <c r="M923" s="109"/>
      <c r="N923" s="110"/>
      <c r="O923" s="107"/>
    </row>
    <row r="924" spans="6:15" ht="14.25" customHeight="1" x14ac:dyDescent="0.3">
      <c r="F924" s="108"/>
      <c r="G924" s="108"/>
      <c r="H924" s="108"/>
      <c r="I924" s="109"/>
      <c r="J924" s="110"/>
      <c r="K924" s="109"/>
      <c r="L924" s="110"/>
      <c r="M924" s="109"/>
      <c r="N924" s="110"/>
      <c r="O924" s="107"/>
    </row>
    <row r="925" spans="6:15" ht="14.25" customHeight="1" x14ac:dyDescent="0.3">
      <c r="F925" s="108"/>
      <c r="G925" s="108"/>
      <c r="H925" s="108"/>
      <c r="I925" s="109"/>
      <c r="J925" s="110"/>
      <c r="K925" s="109"/>
      <c r="L925" s="110"/>
      <c r="M925" s="109"/>
      <c r="N925" s="110"/>
      <c r="O925" s="107"/>
    </row>
    <row r="926" spans="6:15" ht="14.25" customHeight="1" x14ac:dyDescent="0.3">
      <c r="F926" s="108"/>
      <c r="G926" s="108"/>
      <c r="H926" s="108"/>
      <c r="I926" s="109"/>
      <c r="J926" s="110"/>
      <c r="K926" s="109"/>
      <c r="L926" s="110"/>
      <c r="M926" s="109"/>
      <c r="N926" s="110"/>
      <c r="O926" s="107"/>
    </row>
    <row r="927" spans="6:15" ht="14.25" customHeight="1" x14ac:dyDescent="0.3">
      <c r="F927" s="108"/>
      <c r="G927" s="108"/>
      <c r="H927" s="108"/>
      <c r="I927" s="109"/>
      <c r="J927" s="110"/>
      <c r="K927" s="109"/>
      <c r="L927" s="110"/>
      <c r="M927" s="109"/>
      <c r="N927" s="110"/>
      <c r="O927" s="107"/>
    </row>
    <row r="928" spans="6:15" ht="14.25" customHeight="1" x14ac:dyDescent="0.3">
      <c r="F928" s="108"/>
      <c r="G928" s="108"/>
      <c r="H928" s="108"/>
      <c r="I928" s="109"/>
      <c r="J928" s="110"/>
      <c r="K928" s="109"/>
      <c r="L928" s="110"/>
      <c r="M928" s="109"/>
      <c r="N928" s="110"/>
      <c r="O928" s="107"/>
    </row>
    <row r="929" spans="6:15" ht="14.25" customHeight="1" x14ac:dyDescent="0.3">
      <c r="F929" s="108"/>
      <c r="G929" s="108"/>
      <c r="H929" s="108"/>
      <c r="I929" s="109"/>
      <c r="J929" s="110"/>
      <c r="K929" s="109"/>
      <c r="L929" s="110"/>
      <c r="M929" s="109"/>
      <c r="N929" s="110"/>
      <c r="O929" s="107"/>
    </row>
    <row r="930" spans="6:15" ht="14.25" customHeight="1" x14ac:dyDescent="0.3">
      <c r="F930" s="108"/>
      <c r="G930" s="108"/>
      <c r="H930" s="108"/>
      <c r="I930" s="109"/>
      <c r="J930" s="110"/>
      <c r="K930" s="109"/>
      <c r="L930" s="110"/>
      <c r="M930" s="109"/>
      <c r="N930" s="110"/>
      <c r="O930" s="107"/>
    </row>
    <row r="931" spans="6:15" ht="14.25" customHeight="1" x14ac:dyDescent="0.3">
      <c r="F931" s="108"/>
      <c r="G931" s="108"/>
      <c r="H931" s="108"/>
      <c r="I931" s="109"/>
      <c r="J931" s="110"/>
      <c r="K931" s="109"/>
      <c r="L931" s="110"/>
      <c r="M931" s="109"/>
      <c r="N931" s="110"/>
      <c r="O931" s="107"/>
    </row>
    <row r="932" spans="6:15" ht="14.25" customHeight="1" x14ac:dyDescent="0.3">
      <c r="F932" s="108"/>
      <c r="G932" s="108"/>
      <c r="H932" s="108"/>
      <c r="I932" s="109"/>
      <c r="J932" s="110"/>
      <c r="K932" s="109"/>
      <c r="L932" s="110"/>
      <c r="M932" s="109"/>
      <c r="N932" s="110"/>
      <c r="O932" s="107"/>
    </row>
    <row r="933" spans="6:15" ht="14.25" customHeight="1" x14ac:dyDescent="0.3">
      <c r="F933" s="108"/>
      <c r="G933" s="108"/>
      <c r="H933" s="108"/>
      <c r="I933" s="109"/>
      <c r="J933" s="110"/>
      <c r="K933" s="109"/>
      <c r="L933" s="110"/>
      <c r="M933" s="109"/>
      <c r="N933" s="110"/>
      <c r="O933" s="107"/>
    </row>
    <row r="934" spans="6:15" ht="14.25" customHeight="1" x14ac:dyDescent="0.3">
      <c r="F934" s="108"/>
      <c r="G934" s="108"/>
      <c r="H934" s="108"/>
      <c r="I934" s="109"/>
      <c r="J934" s="110"/>
      <c r="K934" s="109"/>
      <c r="L934" s="110"/>
      <c r="M934" s="109"/>
      <c r="N934" s="110"/>
      <c r="O934" s="107"/>
    </row>
    <row r="935" spans="6:15" ht="14.25" customHeight="1" x14ac:dyDescent="0.3">
      <c r="F935" s="108"/>
      <c r="G935" s="108"/>
      <c r="H935" s="108"/>
      <c r="I935" s="109"/>
      <c r="J935" s="110"/>
      <c r="K935" s="109"/>
      <c r="L935" s="110"/>
      <c r="M935" s="109"/>
      <c r="N935" s="110"/>
      <c r="O935" s="107"/>
    </row>
    <row r="936" spans="6:15" ht="14.25" customHeight="1" x14ac:dyDescent="0.3">
      <c r="F936" s="108"/>
      <c r="G936" s="108"/>
      <c r="H936" s="108"/>
      <c r="I936" s="109"/>
      <c r="J936" s="110"/>
      <c r="K936" s="109"/>
      <c r="L936" s="110"/>
      <c r="M936" s="109"/>
      <c r="N936" s="110"/>
      <c r="O936" s="107"/>
    </row>
    <row r="937" spans="6:15" ht="14.25" customHeight="1" x14ac:dyDescent="0.3">
      <c r="F937" s="108"/>
      <c r="G937" s="108"/>
      <c r="H937" s="108"/>
      <c r="I937" s="109"/>
      <c r="J937" s="110"/>
      <c r="K937" s="109"/>
      <c r="L937" s="110"/>
      <c r="M937" s="109"/>
      <c r="N937" s="110"/>
      <c r="O937" s="107"/>
    </row>
    <row r="938" spans="6:15" ht="14.25" customHeight="1" x14ac:dyDescent="0.3">
      <c r="F938" s="108"/>
      <c r="G938" s="108"/>
      <c r="H938" s="108"/>
      <c r="I938" s="109"/>
      <c r="J938" s="110"/>
      <c r="K938" s="109"/>
      <c r="L938" s="110"/>
      <c r="M938" s="109"/>
      <c r="N938" s="110"/>
      <c r="O938" s="107"/>
    </row>
    <row r="939" spans="6:15" ht="14.25" customHeight="1" x14ac:dyDescent="0.3">
      <c r="F939" s="108"/>
      <c r="G939" s="108"/>
      <c r="H939" s="108"/>
      <c r="I939" s="109"/>
      <c r="J939" s="110"/>
      <c r="K939" s="109"/>
      <c r="L939" s="110"/>
      <c r="M939" s="109"/>
      <c r="N939" s="110"/>
      <c r="O939" s="107"/>
    </row>
    <row r="940" spans="6:15" ht="14.25" customHeight="1" x14ac:dyDescent="0.3">
      <c r="F940" s="108"/>
      <c r="G940" s="108"/>
      <c r="H940" s="108"/>
      <c r="I940" s="109"/>
      <c r="J940" s="110"/>
      <c r="K940" s="109"/>
      <c r="L940" s="110"/>
      <c r="M940" s="109"/>
      <c r="N940" s="110"/>
      <c r="O940" s="107"/>
    </row>
    <row r="941" spans="6:15" ht="14.25" customHeight="1" x14ac:dyDescent="0.3">
      <c r="F941" s="108"/>
      <c r="G941" s="108"/>
      <c r="H941" s="108"/>
      <c r="I941" s="109"/>
      <c r="J941" s="110"/>
      <c r="K941" s="109"/>
      <c r="L941" s="110"/>
      <c r="M941" s="109"/>
      <c r="N941" s="110"/>
      <c r="O941" s="107"/>
    </row>
    <row r="942" spans="6:15" ht="14.25" customHeight="1" x14ac:dyDescent="0.3">
      <c r="F942" s="108"/>
      <c r="G942" s="108"/>
      <c r="H942" s="108"/>
      <c r="I942" s="109"/>
      <c r="J942" s="110"/>
      <c r="K942" s="109"/>
      <c r="L942" s="110"/>
      <c r="M942" s="109"/>
      <c r="N942" s="110"/>
      <c r="O942" s="107"/>
    </row>
    <row r="943" spans="6:15" ht="14.25" customHeight="1" x14ac:dyDescent="0.3">
      <c r="F943" s="108"/>
      <c r="G943" s="108"/>
      <c r="H943" s="108"/>
      <c r="I943" s="109"/>
      <c r="J943" s="110"/>
      <c r="K943" s="109"/>
      <c r="L943" s="110"/>
      <c r="M943" s="109"/>
      <c r="N943" s="110"/>
      <c r="O943" s="107"/>
    </row>
    <row r="944" spans="6:15" ht="14.25" customHeight="1" x14ac:dyDescent="0.3">
      <c r="F944" s="108"/>
      <c r="G944" s="108"/>
      <c r="H944" s="108"/>
      <c r="I944" s="109"/>
      <c r="J944" s="110"/>
      <c r="K944" s="109"/>
      <c r="L944" s="110"/>
      <c r="M944" s="109"/>
      <c r="N944" s="110"/>
      <c r="O944" s="107"/>
    </row>
    <row r="945" spans="6:15" ht="14.25" customHeight="1" x14ac:dyDescent="0.3">
      <c r="F945" s="108"/>
      <c r="G945" s="108"/>
      <c r="H945" s="108"/>
      <c r="I945" s="109"/>
      <c r="J945" s="110"/>
      <c r="K945" s="109"/>
      <c r="L945" s="110"/>
      <c r="M945" s="109"/>
      <c r="N945" s="110"/>
      <c r="O945" s="107"/>
    </row>
    <row r="946" spans="6:15" ht="14.25" customHeight="1" x14ac:dyDescent="0.3">
      <c r="F946" s="108"/>
      <c r="G946" s="108"/>
      <c r="H946" s="108"/>
      <c r="I946" s="109"/>
      <c r="J946" s="110"/>
      <c r="K946" s="109"/>
      <c r="L946" s="110"/>
      <c r="M946" s="109"/>
      <c r="N946" s="110"/>
      <c r="O946" s="107"/>
    </row>
    <row r="947" spans="6:15" ht="14.25" customHeight="1" x14ac:dyDescent="0.3">
      <c r="F947" s="108"/>
      <c r="G947" s="108"/>
      <c r="H947" s="108"/>
      <c r="I947" s="109"/>
      <c r="J947" s="110"/>
      <c r="K947" s="109"/>
      <c r="L947" s="110"/>
      <c r="M947" s="109"/>
      <c r="N947" s="110"/>
      <c r="O947" s="107"/>
    </row>
    <row r="948" spans="6:15" ht="14.25" customHeight="1" x14ac:dyDescent="0.3">
      <c r="F948" s="108"/>
      <c r="G948" s="108"/>
      <c r="H948" s="108"/>
      <c r="I948" s="109"/>
      <c r="J948" s="110"/>
      <c r="K948" s="109"/>
      <c r="L948" s="110"/>
      <c r="M948" s="109"/>
      <c r="N948" s="110"/>
      <c r="O948" s="107"/>
    </row>
    <row r="949" spans="6:15" ht="14.25" customHeight="1" x14ac:dyDescent="0.3">
      <c r="F949" s="108"/>
      <c r="G949" s="108"/>
      <c r="H949" s="108"/>
      <c r="I949" s="109"/>
      <c r="J949" s="110"/>
      <c r="K949" s="109"/>
      <c r="L949" s="110"/>
      <c r="M949" s="109"/>
      <c r="N949" s="110"/>
      <c r="O949" s="107"/>
    </row>
    <row r="950" spans="6:15" ht="14.25" customHeight="1" x14ac:dyDescent="0.3">
      <c r="F950" s="108"/>
      <c r="G950" s="108"/>
      <c r="H950" s="108"/>
      <c r="I950" s="109"/>
      <c r="J950" s="110"/>
      <c r="K950" s="109"/>
      <c r="L950" s="110"/>
      <c r="M950" s="109"/>
      <c r="N950" s="110"/>
      <c r="O950" s="107"/>
    </row>
    <row r="951" spans="6:15" ht="14.25" customHeight="1" x14ac:dyDescent="0.3">
      <c r="F951" s="108"/>
      <c r="G951" s="108"/>
      <c r="H951" s="108"/>
      <c r="I951" s="109"/>
      <c r="J951" s="110"/>
      <c r="K951" s="109"/>
      <c r="L951" s="110"/>
      <c r="M951" s="109"/>
      <c r="N951" s="110"/>
      <c r="O951" s="107"/>
    </row>
    <row r="952" spans="6:15" ht="14.25" customHeight="1" x14ac:dyDescent="0.3">
      <c r="F952" s="108"/>
      <c r="G952" s="108"/>
      <c r="H952" s="108"/>
      <c r="I952" s="109"/>
      <c r="J952" s="110"/>
      <c r="K952" s="109"/>
      <c r="L952" s="110"/>
      <c r="M952" s="109"/>
      <c r="N952" s="110"/>
      <c r="O952" s="107"/>
    </row>
    <row r="953" spans="6:15" ht="14.25" customHeight="1" x14ac:dyDescent="0.3">
      <c r="F953" s="108"/>
      <c r="G953" s="108"/>
      <c r="H953" s="108"/>
      <c r="I953" s="109"/>
      <c r="J953" s="110"/>
      <c r="K953" s="109"/>
      <c r="L953" s="110"/>
      <c r="M953" s="109"/>
      <c r="N953" s="110"/>
      <c r="O953" s="107"/>
    </row>
    <row r="954" spans="6:15" ht="14.25" customHeight="1" x14ac:dyDescent="0.3">
      <c r="F954" s="108"/>
      <c r="G954" s="108"/>
      <c r="H954" s="108"/>
      <c r="I954" s="109"/>
      <c r="J954" s="110"/>
      <c r="K954" s="109"/>
      <c r="L954" s="110"/>
      <c r="M954" s="109"/>
      <c r="N954" s="110"/>
      <c r="O954" s="107"/>
    </row>
    <row r="955" spans="6:15" ht="14.25" customHeight="1" x14ac:dyDescent="0.3">
      <c r="F955" s="108"/>
      <c r="G955" s="108"/>
      <c r="H955" s="108"/>
      <c r="I955" s="109"/>
      <c r="J955" s="110"/>
      <c r="K955" s="109"/>
      <c r="L955" s="110"/>
      <c r="M955" s="109"/>
      <c r="N955" s="110"/>
      <c r="O955" s="107"/>
    </row>
    <row r="956" spans="6:15" ht="14.25" customHeight="1" x14ac:dyDescent="0.3">
      <c r="F956" s="108"/>
      <c r="G956" s="108"/>
      <c r="H956" s="108"/>
      <c r="I956" s="109"/>
      <c r="J956" s="110"/>
      <c r="K956" s="109"/>
      <c r="L956" s="110"/>
      <c r="M956" s="109"/>
      <c r="N956" s="110"/>
      <c r="O956" s="107"/>
    </row>
    <row r="957" spans="6:15" ht="14.25" customHeight="1" x14ac:dyDescent="0.3">
      <c r="F957" s="108"/>
      <c r="G957" s="108"/>
      <c r="H957" s="108"/>
      <c r="I957" s="109"/>
      <c r="J957" s="110"/>
      <c r="K957" s="109"/>
      <c r="L957" s="110"/>
      <c r="M957" s="109"/>
      <c r="N957" s="110"/>
    </row>
    <row r="958" spans="6:15" ht="14.25" customHeight="1" x14ac:dyDescent="0.3">
      <c r="F958" s="108"/>
      <c r="G958" s="108"/>
      <c r="H958" s="108"/>
      <c r="I958" s="109"/>
      <c r="J958" s="110"/>
      <c r="K958" s="109"/>
      <c r="L958" s="110"/>
      <c r="M958" s="109"/>
      <c r="N958" s="110"/>
    </row>
    <row r="959" spans="6:15" ht="14.25" customHeight="1" x14ac:dyDescent="0.3">
      <c r="F959" s="108"/>
      <c r="G959" s="108"/>
      <c r="H959" s="108"/>
      <c r="I959" s="109"/>
      <c r="J959" s="110"/>
      <c r="K959" s="109"/>
      <c r="L959" s="110"/>
      <c r="M959" s="109"/>
      <c r="N959" s="110"/>
    </row>
    <row r="960" spans="6:15" ht="14.25" customHeight="1" x14ac:dyDescent="0.3">
      <c r="F960" s="108"/>
      <c r="G960" s="108"/>
      <c r="H960" s="108"/>
      <c r="I960" s="109"/>
      <c r="J960" s="110"/>
      <c r="K960" s="109"/>
      <c r="L960" s="110"/>
      <c r="M960" s="109"/>
      <c r="N960" s="110"/>
    </row>
    <row r="961" spans="6:14" ht="14.25" customHeight="1" x14ac:dyDescent="0.3">
      <c r="F961" s="108"/>
      <c r="G961" s="108"/>
      <c r="H961" s="108"/>
      <c r="I961" s="109"/>
      <c r="J961" s="110"/>
      <c r="K961" s="109"/>
      <c r="L961" s="110"/>
      <c r="M961" s="109"/>
      <c r="N961" s="110"/>
    </row>
    <row r="962" spans="6:14" ht="14.25" customHeight="1" x14ac:dyDescent="0.3">
      <c r="F962" s="108"/>
      <c r="G962" s="108"/>
      <c r="H962" s="108"/>
      <c r="I962" s="109"/>
      <c r="J962" s="110"/>
      <c r="K962" s="109"/>
      <c r="L962" s="110"/>
      <c r="M962" s="109"/>
      <c r="N962" s="110"/>
    </row>
    <row r="963" spans="6:14" ht="14.25" customHeight="1" x14ac:dyDescent="0.3">
      <c r="F963" s="108"/>
      <c r="G963" s="108"/>
      <c r="H963" s="108"/>
      <c r="I963" s="109"/>
      <c r="J963" s="110"/>
      <c r="K963" s="109"/>
      <c r="L963" s="110"/>
      <c r="M963" s="109"/>
      <c r="N963" s="110"/>
    </row>
    <row r="964" spans="6:14" ht="14.25" customHeight="1" x14ac:dyDescent="0.3">
      <c r="F964" s="108"/>
      <c r="G964" s="108"/>
      <c r="H964" s="108"/>
      <c r="I964" s="109"/>
      <c r="J964" s="110"/>
      <c r="K964" s="109"/>
      <c r="L964" s="110"/>
      <c r="M964" s="109"/>
      <c r="N964" s="110"/>
    </row>
    <row r="965" spans="6:14" ht="14.25" customHeight="1" x14ac:dyDescent="0.3">
      <c r="F965" s="108"/>
      <c r="G965" s="108"/>
      <c r="H965" s="108"/>
      <c r="I965" s="109"/>
      <c r="J965" s="110"/>
      <c r="K965" s="109"/>
      <c r="L965" s="110"/>
      <c r="M965" s="109"/>
      <c r="N965" s="110"/>
    </row>
    <row r="966" spans="6:14" ht="14.25" customHeight="1" x14ac:dyDescent="0.3">
      <c r="F966" s="108"/>
      <c r="G966" s="108"/>
      <c r="H966" s="108"/>
      <c r="I966" s="109"/>
      <c r="J966" s="110"/>
      <c r="K966" s="109"/>
      <c r="L966" s="110"/>
      <c r="M966" s="109"/>
      <c r="N966" s="110"/>
    </row>
    <row r="967" spans="6:14" ht="14.25" customHeight="1" x14ac:dyDescent="0.3">
      <c r="F967" s="108"/>
      <c r="G967" s="108"/>
      <c r="H967" s="108"/>
      <c r="I967" s="109"/>
      <c r="J967" s="110"/>
      <c r="K967" s="109"/>
      <c r="L967" s="110"/>
      <c r="M967" s="109"/>
      <c r="N967" s="110"/>
    </row>
    <row r="968" spans="6:14" ht="14.25" customHeight="1" x14ac:dyDescent="0.3">
      <c r="F968" s="108"/>
      <c r="G968" s="108"/>
      <c r="H968" s="108"/>
      <c r="I968" s="109"/>
      <c r="J968" s="110"/>
      <c r="K968" s="109"/>
      <c r="L968" s="110"/>
      <c r="M968" s="109"/>
      <c r="N968" s="110"/>
    </row>
    <row r="969" spans="6:14" ht="14.25" customHeight="1" x14ac:dyDescent="0.3">
      <c r="F969" s="108"/>
      <c r="G969" s="108"/>
      <c r="H969" s="108"/>
      <c r="I969" s="109"/>
      <c r="J969" s="110"/>
      <c r="K969" s="109"/>
      <c r="L969" s="110"/>
      <c r="M969" s="109"/>
      <c r="N969" s="110"/>
    </row>
    <row r="970" spans="6:14" ht="14.25" customHeight="1" x14ac:dyDescent="0.3">
      <c r="F970" s="108"/>
      <c r="G970" s="108"/>
      <c r="H970" s="108"/>
      <c r="I970" s="109"/>
      <c r="J970" s="110"/>
      <c r="K970" s="109"/>
      <c r="L970" s="110"/>
      <c r="M970" s="109"/>
      <c r="N970" s="110"/>
    </row>
    <row r="971" spans="6:14" ht="14.25" customHeight="1" x14ac:dyDescent="0.3">
      <c r="F971" s="108"/>
      <c r="G971" s="108"/>
      <c r="H971" s="108"/>
      <c r="I971" s="109"/>
      <c r="J971" s="110"/>
      <c r="K971" s="109"/>
      <c r="L971" s="110"/>
      <c r="M971" s="109"/>
      <c r="N971" s="110"/>
    </row>
    <row r="972" spans="6:14" ht="14.25" customHeight="1" x14ac:dyDescent="0.3">
      <c r="F972" s="108"/>
      <c r="G972" s="108"/>
      <c r="H972" s="108"/>
      <c r="I972" s="109"/>
      <c r="J972" s="110"/>
      <c r="K972" s="109"/>
      <c r="L972" s="110"/>
      <c r="M972" s="109"/>
      <c r="N972" s="110"/>
    </row>
    <row r="973" spans="6:14" ht="14.25" customHeight="1" x14ac:dyDescent="0.3">
      <c r="F973" s="108"/>
      <c r="G973" s="108"/>
      <c r="H973" s="108"/>
      <c r="I973" s="109"/>
      <c r="J973" s="110"/>
      <c r="K973" s="109"/>
      <c r="L973" s="110"/>
      <c r="M973" s="109"/>
      <c r="N973" s="110"/>
    </row>
    <row r="974" spans="6:14" ht="14.25" customHeight="1" x14ac:dyDescent="0.3">
      <c r="F974" s="108"/>
      <c r="G974" s="108"/>
      <c r="H974" s="108"/>
      <c r="I974" s="109"/>
      <c r="J974" s="110"/>
      <c r="K974" s="109"/>
      <c r="L974" s="110"/>
      <c r="M974" s="109"/>
      <c r="N974" s="110"/>
    </row>
    <row r="975" spans="6:14" ht="14.25" customHeight="1" x14ac:dyDescent="0.3">
      <c r="F975" s="108"/>
      <c r="G975" s="108"/>
      <c r="H975" s="108"/>
      <c r="I975" s="109"/>
      <c r="J975" s="110"/>
      <c r="K975" s="109"/>
      <c r="L975" s="110"/>
      <c r="M975" s="109"/>
      <c r="N975" s="110"/>
    </row>
    <row r="976" spans="6:14" ht="14.25" customHeight="1" x14ac:dyDescent="0.3">
      <c r="F976" s="108"/>
      <c r="G976" s="108"/>
      <c r="H976" s="108"/>
      <c r="I976" s="109"/>
      <c r="J976" s="110"/>
      <c r="K976" s="109"/>
      <c r="L976" s="110"/>
      <c r="M976" s="109"/>
      <c r="N976" s="110"/>
    </row>
    <row r="977" spans="6:14" ht="14.25" customHeight="1" x14ac:dyDescent="0.3">
      <c r="F977" s="108"/>
      <c r="G977" s="108"/>
      <c r="H977" s="108"/>
      <c r="I977" s="109"/>
      <c r="J977" s="110"/>
      <c r="K977" s="109"/>
      <c r="L977" s="110"/>
      <c r="M977" s="109"/>
      <c r="N977" s="110"/>
    </row>
    <row r="978" spans="6:14" ht="14.25" customHeight="1" x14ac:dyDescent="0.3">
      <c r="F978" s="108"/>
      <c r="G978" s="108"/>
      <c r="H978" s="108"/>
      <c r="I978" s="109"/>
      <c r="J978" s="110"/>
      <c r="K978" s="109"/>
      <c r="L978" s="110"/>
      <c r="M978" s="109"/>
      <c r="N978" s="110"/>
    </row>
    <row r="979" spans="6:14" ht="14.25" customHeight="1" x14ac:dyDescent="0.3">
      <c r="F979" s="108"/>
      <c r="G979" s="108"/>
      <c r="H979" s="108"/>
      <c r="I979" s="109"/>
      <c r="J979" s="110"/>
      <c r="K979" s="109"/>
      <c r="L979" s="110"/>
      <c r="M979" s="109"/>
      <c r="N979" s="110"/>
    </row>
    <row r="980" spans="6:14" ht="14.25" customHeight="1" x14ac:dyDescent="0.3">
      <c r="F980" s="108"/>
      <c r="G980" s="108"/>
      <c r="H980" s="108"/>
      <c r="I980" s="109"/>
      <c r="J980" s="110"/>
      <c r="K980" s="109"/>
      <c r="L980" s="110"/>
      <c r="M980" s="109"/>
      <c r="N980" s="110"/>
    </row>
    <row r="981" spans="6:14" ht="14.25" customHeight="1" x14ac:dyDescent="0.3">
      <c r="F981" s="108"/>
      <c r="G981" s="108"/>
      <c r="H981" s="108"/>
      <c r="I981" s="109"/>
      <c r="J981" s="110"/>
      <c r="K981" s="109"/>
      <c r="L981" s="110"/>
      <c r="M981" s="109"/>
      <c r="N981" s="110"/>
    </row>
    <row r="982" spans="6:14" ht="14.25" customHeight="1" x14ac:dyDescent="0.3">
      <c r="F982" s="108"/>
      <c r="G982" s="108"/>
      <c r="H982" s="108"/>
      <c r="I982" s="109"/>
      <c r="J982" s="110"/>
      <c r="K982" s="109"/>
      <c r="L982" s="110"/>
      <c r="M982" s="109"/>
      <c r="N982" s="110"/>
    </row>
    <row r="983" spans="6:14" ht="14.25" customHeight="1" x14ac:dyDescent="0.3">
      <c r="F983" s="108"/>
      <c r="G983" s="108"/>
      <c r="H983" s="108"/>
      <c r="I983" s="109"/>
      <c r="J983" s="110"/>
      <c r="K983" s="109"/>
      <c r="L983" s="110"/>
      <c r="M983" s="109"/>
      <c r="N983" s="110"/>
    </row>
    <row r="984" spans="6:14" ht="14.25" customHeight="1" x14ac:dyDescent="0.3">
      <c r="F984" s="108"/>
      <c r="G984" s="108"/>
      <c r="H984" s="108"/>
      <c r="I984" s="109"/>
      <c r="J984" s="110"/>
      <c r="K984" s="109"/>
      <c r="L984" s="110"/>
      <c r="M984" s="109"/>
      <c r="N984" s="110"/>
    </row>
    <row r="985" spans="6:14" ht="14.25" customHeight="1" x14ac:dyDescent="0.3">
      <c r="F985" s="108"/>
      <c r="G985" s="108"/>
      <c r="H985" s="108"/>
      <c r="I985" s="109"/>
      <c r="J985" s="110"/>
      <c r="K985" s="109"/>
      <c r="L985" s="110"/>
      <c r="M985" s="109"/>
      <c r="N985" s="110"/>
    </row>
    <row r="986" spans="6:14" ht="14.25" customHeight="1" x14ac:dyDescent="0.3">
      <c r="F986" s="108"/>
      <c r="G986" s="108"/>
      <c r="H986" s="108"/>
      <c r="I986" s="109"/>
      <c r="J986" s="110"/>
      <c r="K986" s="109"/>
      <c r="L986" s="110"/>
      <c r="M986" s="109"/>
      <c r="N986" s="110"/>
    </row>
    <row r="987" spans="6:14" ht="14.25" customHeight="1" x14ac:dyDescent="0.3">
      <c r="F987" s="108"/>
      <c r="G987" s="108"/>
      <c r="H987" s="108"/>
      <c r="I987" s="109"/>
      <c r="J987" s="110"/>
      <c r="K987" s="109"/>
      <c r="L987" s="110"/>
      <c r="M987" s="109"/>
      <c r="N987" s="110"/>
    </row>
  </sheetData>
  <mergeCells count="3">
    <mergeCell ref="A1:S1"/>
    <mergeCell ref="F2:G2"/>
    <mergeCell ref="A3:A16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7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:G15"/>
    </sheetView>
  </sheetViews>
  <sheetFormatPr defaultColWidth="14.44140625" defaultRowHeight="15" customHeight="1" x14ac:dyDescent="0.3"/>
  <cols>
    <col min="1" max="1" width="14.5546875" style="104" customWidth="1"/>
    <col min="2" max="2" width="11" style="104" bestFit="1" customWidth="1"/>
    <col min="3" max="3" width="27.44140625" style="104" customWidth="1"/>
    <col min="4" max="4" width="23.21875" style="104" bestFit="1" customWidth="1"/>
    <col min="5" max="5" width="12.21875" style="104" customWidth="1"/>
    <col min="6" max="6" width="8.77734375" style="104" customWidth="1"/>
    <col min="7" max="7" width="8.88671875" style="104" customWidth="1"/>
    <col min="8" max="8" width="11.109375" style="104" bestFit="1" customWidth="1"/>
    <col min="9" max="9" width="10.5546875" style="112" customWidth="1"/>
    <col min="10" max="12" width="10.5546875" style="104" customWidth="1"/>
    <col min="13" max="13" width="10.44140625" style="112" bestFit="1" customWidth="1"/>
    <col min="14" max="14" width="9.77734375" style="104" customWidth="1"/>
    <col min="15" max="15" width="13.21875" style="104" customWidth="1"/>
    <col min="16" max="16" width="11.109375" style="104" customWidth="1"/>
    <col min="17" max="17" width="10.44140625" style="104" bestFit="1" customWidth="1"/>
    <col min="18" max="18" width="10.88671875" style="104" customWidth="1"/>
    <col min="19" max="31" width="8.77734375" style="104" customWidth="1"/>
    <col min="32" max="16384" width="14.44140625" style="104"/>
  </cols>
  <sheetData>
    <row r="1" spans="1:18" ht="45.75" customHeight="1" thickBot="1" x14ac:dyDescent="0.35">
      <c r="A1" s="562" t="s">
        <v>31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1"/>
    </row>
    <row r="2" spans="1:18" ht="27" customHeight="1" thickBot="1" x14ac:dyDescent="0.35">
      <c r="A2" s="148" t="s">
        <v>0</v>
      </c>
      <c r="B2" s="149" t="s">
        <v>29</v>
      </c>
      <c r="C2" s="150" t="s">
        <v>28</v>
      </c>
      <c r="D2" s="150" t="s">
        <v>30</v>
      </c>
      <c r="E2" s="151" t="s">
        <v>2</v>
      </c>
      <c r="F2" s="572" t="s">
        <v>8</v>
      </c>
      <c r="G2" s="573"/>
      <c r="H2" s="151" t="s">
        <v>22</v>
      </c>
      <c r="I2" s="152" t="s">
        <v>3</v>
      </c>
      <c r="J2" s="153" t="s">
        <v>4</v>
      </c>
      <c r="K2" s="151" t="s">
        <v>3</v>
      </c>
      <c r="L2" s="153" t="s">
        <v>4</v>
      </c>
      <c r="M2" s="152" t="s">
        <v>5</v>
      </c>
      <c r="N2" s="153" t="s">
        <v>4</v>
      </c>
      <c r="O2" s="155" t="s">
        <v>6</v>
      </c>
      <c r="P2" s="156" t="s">
        <v>25</v>
      </c>
      <c r="Q2" s="157" t="s">
        <v>24</v>
      </c>
      <c r="R2" s="158" t="s">
        <v>7</v>
      </c>
    </row>
    <row r="3" spans="1:18" ht="14.4" x14ac:dyDescent="0.3">
      <c r="A3" s="574"/>
      <c r="B3" s="163"/>
      <c r="C3" s="411"/>
      <c r="D3" s="412"/>
      <c r="E3" s="143"/>
      <c r="F3" s="122"/>
      <c r="G3" s="122"/>
      <c r="H3" s="122">
        <f>SUM(F3*G3*E3)</f>
        <v>0</v>
      </c>
      <c r="I3" s="123"/>
      <c r="J3" s="144"/>
      <c r="K3" s="123"/>
      <c r="L3" s="144"/>
      <c r="M3" s="123"/>
      <c r="N3" s="144"/>
      <c r="O3" s="145">
        <f t="shared" ref="O3:O15" si="0">E3-J3-L3-N3</f>
        <v>0</v>
      </c>
      <c r="P3" s="106"/>
      <c r="Q3" s="146">
        <f t="shared" ref="Q3:Q15" si="1">SUM(F3*G3*(P3))</f>
        <v>0</v>
      </c>
      <c r="R3" s="147">
        <f t="shared" ref="R3:R15" si="2">J3+L3+N3-P3</f>
        <v>0</v>
      </c>
    </row>
    <row r="4" spans="1:18" ht="14.4" x14ac:dyDescent="0.3">
      <c r="A4" s="575"/>
      <c r="B4" s="140"/>
      <c r="C4" s="116"/>
      <c r="D4" s="412"/>
      <c r="E4" s="121"/>
      <c r="F4" s="124"/>
      <c r="G4" s="124"/>
      <c r="H4" s="124">
        <f t="shared" ref="H4:H15" si="3">SUM(F4*G4*E4)</f>
        <v>0</v>
      </c>
      <c r="I4" s="123"/>
      <c r="J4" s="127"/>
      <c r="K4" s="126"/>
      <c r="L4" s="127"/>
      <c r="M4" s="126"/>
      <c r="N4" s="127"/>
      <c r="O4" s="118">
        <f t="shared" si="0"/>
        <v>0</v>
      </c>
      <c r="P4" s="82"/>
      <c r="Q4" s="105">
        <f t="shared" si="1"/>
        <v>0</v>
      </c>
      <c r="R4" s="113">
        <f t="shared" si="2"/>
        <v>0</v>
      </c>
    </row>
    <row r="5" spans="1:18" ht="14.25" customHeight="1" x14ac:dyDescent="0.3">
      <c r="A5" s="575"/>
      <c r="B5" s="140"/>
      <c r="C5" s="116"/>
      <c r="D5" s="412"/>
      <c r="E5" s="121"/>
      <c r="F5" s="124"/>
      <c r="G5" s="124"/>
      <c r="H5" s="124">
        <f t="shared" si="3"/>
        <v>0</v>
      </c>
      <c r="I5" s="123"/>
      <c r="J5" s="127"/>
      <c r="K5" s="126"/>
      <c r="L5" s="127"/>
      <c r="M5" s="126"/>
      <c r="N5" s="127"/>
      <c r="O5" s="118">
        <f t="shared" si="0"/>
        <v>0</v>
      </c>
      <c r="P5" s="82"/>
      <c r="Q5" s="105">
        <f t="shared" si="1"/>
        <v>0</v>
      </c>
      <c r="R5" s="113">
        <f t="shared" si="2"/>
        <v>0</v>
      </c>
    </row>
    <row r="6" spans="1:18" ht="14.25" customHeight="1" x14ac:dyDescent="0.3">
      <c r="A6" s="575"/>
      <c r="B6" s="414"/>
      <c r="C6" s="415"/>
      <c r="D6" s="416"/>
      <c r="E6" s="417"/>
      <c r="F6" s="418"/>
      <c r="G6" s="418"/>
      <c r="H6" s="418">
        <f t="shared" si="3"/>
        <v>0</v>
      </c>
      <c r="I6" s="419"/>
      <c r="J6" s="187"/>
      <c r="K6" s="186"/>
      <c r="L6" s="187"/>
      <c r="M6" s="186"/>
      <c r="N6" s="187"/>
      <c r="O6" s="420">
        <f t="shared" si="0"/>
        <v>0</v>
      </c>
      <c r="P6" s="421"/>
      <c r="Q6" s="422">
        <f t="shared" si="1"/>
        <v>0</v>
      </c>
      <c r="R6" s="423">
        <f t="shared" si="2"/>
        <v>0</v>
      </c>
    </row>
    <row r="7" spans="1:18" ht="14.55" customHeight="1" x14ac:dyDescent="0.3">
      <c r="A7" s="575"/>
      <c r="B7" s="414"/>
      <c r="C7" s="415"/>
      <c r="D7" s="416"/>
      <c r="E7" s="417"/>
      <c r="F7" s="418"/>
      <c r="G7" s="418"/>
      <c r="H7" s="418">
        <f t="shared" si="3"/>
        <v>0</v>
      </c>
      <c r="I7" s="419"/>
      <c r="J7" s="187"/>
      <c r="K7" s="186"/>
      <c r="L7" s="187"/>
      <c r="M7" s="186"/>
      <c r="N7" s="187"/>
      <c r="O7" s="420">
        <f t="shared" si="0"/>
        <v>0</v>
      </c>
      <c r="P7" s="421"/>
      <c r="Q7" s="422">
        <f t="shared" si="1"/>
        <v>0</v>
      </c>
      <c r="R7" s="423">
        <f t="shared" si="2"/>
        <v>0</v>
      </c>
    </row>
    <row r="8" spans="1:18" ht="14.25" customHeight="1" x14ac:dyDescent="0.3">
      <c r="A8" s="575"/>
      <c r="B8" s="414"/>
      <c r="C8" s="415"/>
      <c r="D8" s="424"/>
      <c r="E8" s="417"/>
      <c r="F8" s="418"/>
      <c r="G8" s="418"/>
      <c r="H8" s="418">
        <f t="shared" si="3"/>
        <v>0</v>
      </c>
      <c r="I8" s="186"/>
      <c r="J8" s="187"/>
      <c r="K8" s="186"/>
      <c r="L8" s="187"/>
      <c r="M8" s="186"/>
      <c r="N8" s="187"/>
      <c r="O8" s="420">
        <f t="shared" si="0"/>
        <v>0</v>
      </c>
      <c r="P8" s="421"/>
      <c r="Q8" s="422">
        <f t="shared" si="1"/>
        <v>0</v>
      </c>
      <c r="R8" s="423">
        <f t="shared" si="2"/>
        <v>0</v>
      </c>
    </row>
    <row r="9" spans="1:18" ht="14.4" x14ac:dyDescent="0.3">
      <c r="A9" s="575"/>
      <c r="B9" s="414"/>
      <c r="C9" s="415"/>
      <c r="D9" s="424"/>
      <c r="E9" s="417"/>
      <c r="F9" s="418"/>
      <c r="G9" s="418"/>
      <c r="H9" s="418">
        <f t="shared" si="3"/>
        <v>0</v>
      </c>
      <c r="I9" s="186"/>
      <c r="J9" s="187"/>
      <c r="K9" s="186"/>
      <c r="L9" s="187"/>
      <c r="M9" s="186"/>
      <c r="N9" s="187"/>
      <c r="O9" s="420">
        <f t="shared" si="0"/>
        <v>0</v>
      </c>
      <c r="P9" s="421"/>
      <c r="Q9" s="422">
        <f t="shared" si="1"/>
        <v>0</v>
      </c>
      <c r="R9" s="423">
        <f t="shared" si="2"/>
        <v>0</v>
      </c>
    </row>
    <row r="10" spans="1:18" ht="14.4" x14ac:dyDescent="0.3">
      <c r="A10" s="575"/>
      <c r="B10" s="414"/>
      <c r="C10" s="415"/>
      <c r="D10" s="424"/>
      <c r="E10" s="417"/>
      <c r="F10" s="418"/>
      <c r="G10" s="418"/>
      <c r="H10" s="418">
        <f t="shared" si="3"/>
        <v>0</v>
      </c>
      <c r="I10" s="186"/>
      <c r="J10" s="187"/>
      <c r="K10" s="186"/>
      <c r="L10" s="187"/>
      <c r="M10" s="186"/>
      <c r="N10" s="187"/>
      <c r="O10" s="420">
        <f t="shared" si="0"/>
        <v>0</v>
      </c>
      <c r="P10" s="421"/>
      <c r="Q10" s="422">
        <f t="shared" si="1"/>
        <v>0</v>
      </c>
      <c r="R10" s="423">
        <f t="shared" si="2"/>
        <v>0</v>
      </c>
    </row>
    <row r="11" spans="1:18" ht="14.4" x14ac:dyDescent="0.3">
      <c r="A11" s="575"/>
      <c r="B11" s="414"/>
      <c r="C11" s="415"/>
      <c r="D11" s="424"/>
      <c r="E11" s="417"/>
      <c r="F11" s="418"/>
      <c r="G11" s="418"/>
      <c r="H11" s="418">
        <f t="shared" si="3"/>
        <v>0</v>
      </c>
      <c r="I11" s="186"/>
      <c r="J11" s="187"/>
      <c r="K11" s="186"/>
      <c r="L11" s="187"/>
      <c r="M11" s="186"/>
      <c r="N11" s="187"/>
      <c r="O11" s="420">
        <f t="shared" si="0"/>
        <v>0</v>
      </c>
      <c r="P11" s="421"/>
      <c r="Q11" s="422">
        <f t="shared" si="1"/>
        <v>0</v>
      </c>
      <c r="R11" s="423">
        <f t="shared" si="2"/>
        <v>0</v>
      </c>
    </row>
    <row r="12" spans="1:18" ht="14.4" x14ac:dyDescent="0.3">
      <c r="A12" s="575"/>
      <c r="B12" s="414"/>
      <c r="C12" s="415"/>
      <c r="D12" s="424"/>
      <c r="E12" s="417"/>
      <c r="F12" s="418"/>
      <c r="G12" s="418"/>
      <c r="H12" s="418">
        <f t="shared" si="3"/>
        <v>0</v>
      </c>
      <c r="I12" s="186"/>
      <c r="J12" s="187"/>
      <c r="K12" s="186"/>
      <c r="L12" s="187"/>
      <c r="M12" s="186"/>
      <c r="N12" s="187"/>
      <c r="O12" s="420">
        <f t="shared" si="0"/>
        <v>0</v>
      </c>
      <c r="P12" s="421"/>
      <c r="Q12" s="422">
        <f t="shared" si="1"/>
        <v>0</v>
      </c>
      <c r="R12" s="423">
        <f t="shared" si="2"/>
        <v>0</v>
      </c>
    </row>
    <row r="13" spans="1:18" ht="14.4" x14ac:dyDescent="0.3">
      <c r="A13" s="575"/>
      <c r="B13" s="414"/>
      <c r="C13" s="415"/>
      <c r="D13" s="424"/>
      <c r="E13" s="417"/>
      <c r="F13" s="418"/>
      <c r="G13" s="418"/>
      <c r="H13" s="418">
        <f t="shared" si="3"/>
        <v>0</v>
      </c>
      <c r="I13" s="186"/>
      <c r="J13" s="187"/>
      <c r="K13" s="186"/>
      <c r="L13" s="187"/>
      <c r="M13" s="186"/>
      <c r="N13" s="187"/>
      <c r="O13" s="420">
        <f t="shared" si="0"/>
        <v>0</v>
      </c>
      <c r="P13" s="421"/>
      <c r="Q13" s="422">
        <f t="shared" si="1"/>
        <v>0</v>
      </c>
      <c r="R13" s="423">
        <f t="shared" si="2"/>
        <v>0</v>
      </c>
    </row>
    <row r="14" spans="1:18" ht="14.4" x14ac:dyDescent="0.3">
      <c r="A14" s="575"/>
      <c r="B14" s="414"/>
      <c r="C14" s="415"/>
      <c r="D14" s="424"/>
      <c r="E14" s="417"/>
      <c r="F14" s="418"/>
      <c r="G14" s="418"/>
      <c r="H14" s="418">
        <f t="shared" si="3"/>
        <v>0</v>
      </c>
      <c r="I14" s="186"/>
      <c r="J14" s="187"/>
      <c r="K14" s="186"/>
      <c r="L14" s="187"/>
      <c r="M14" s="186"/>
      <c r="N14" s="187"/>
      <c r="O14" s="420">
        <f t="shared" si="0"/>
        <v>0</v>
      </c>
      <c r="P14" s="421"/>
      <c r="Q14" s="422">
        <f t="shared" si="1"/>
        <v>0</v>
      </c>
      <c r="R14" s="423">
        <f t="shared" si="2"/>
        <v>0</v>
      </c>
    </row>
    <row r="15" spans="1:18" ht="14.4" x14ac:dyDescent="0.3">
      <c r="A15" s="575"/>
      <c r="B15" s="414"/>
      <c r="C15" s="415"/>
      <c r="D15" s="424"/>
      <c r="E15" s="417"/>
      <c r="F15" s="418"/>
      <c r="G15" s="418"/>
      <c r="H15" s="418">
        <f t="shared" si="3"/>
        <v>0</v>
      </c>
      <c r="I15" s="186"/>
      <c r="J15" s="187"/>
      <c r="K15" s="186"/>
      <c r="L15" s="187"/>
      <c r="M15" s="186"/>
      <c r="N15" s="187"/>
      <c r="O15" s="420">
        <f t="shared" si="0"/>
        <v>0</v>
      </c>
      <c r="P15" s="421"/>
      <c r="Q15" s="422">
        <f t="shared" si="1"/>
        <v>0</v>
      </c>
      <c r="R15" s="423">
        <f t="shared" si="2"/>
        <v>0</v>
      </c>
    </row>
    <row r="16" spans="1:18" ht="14.25" customHeight="1" thickBot="1" x14ac:dyDescent="0.35">
      <c r="A16" s="576"/>
      <c r="B16" s="425"/>
      <c r="C16" s="426"/>
      <c r="D16" s="427"/>
      <c r="E16" s="428"/>
      <c r="F16" s="429"/>
      <c r="G16" s="429"/>
      <c r="H16" s="430"/>
      <c r="I16" s="431"/>
      <c r="J16" s="432"/>
      <c r="K16" s="431"/>
      <c r="L16" s="432"/>
      <c r="M16" s="431"/>
      <c r="N16" s="432"/>
      <c r="O16" s="433"/>
      <c r="P16" s="434"/>
      <c r="Q16" s="434"/>
      <c r="R16" s="435"/>
    </row>
    <row r="17" spans="6:14" ht="14.25" customHeight="1" x14ac:dyDescent="0.3">
      <c r="F17" s="108"/>
      <c r="G17" s="108"/>
      <c r="H17" s="108"/>
      <c r="I17" s="109"/>
      <c r="J17" s="110"/>
      <c r="K17" s="109"/>
      <c r="L17" s="110"/>
      <c r="M17" s="109"/>
      <c r="N17" s="110"/>
    </row>
    <row r="18" spans="6:14" ht="14.25" customHeight="1" x14ac:dyDescent="0.3">
      <c r="F18" s="108"/>
      <c r="G18" s="108"/>
      <c r="H18" s="108"/>
      <c r="I18" s="109"/>
      <c r="J18" s="110"/>
      <c r="K18" s="109"/>
      <c r="L18" s="110"/>
      <c r="M18" s="109"/>
      <c r="N18" s="110"/>
    </row>
    <row r="19" spans="6:14" ht="14.25" customHeight="1" x14ac:dyDescent="0.3">
      <c r="F19" s="108"/>
      <c r="G19" s="108"/>
      <c r="H19" s="108"/>
      <c r="I19" s="109"/>
      <c r="J19" s="110"/>
      <c r="K19" s="109"/>
      <c r="L19" s="110"/>
      <c r="M19" s="109"/>
      <c r="N19" s="110"/>
    </row>
    <row r="20" spans="6:14" ht="14.25" customHeight="1" x14ac:dyDescent="0.3">
      <c r="F20" s="108"/>
      <c r="G20" s="108"/>
      <c r="H20" s="108"/>
      <c r="I20" s="109"/>
      <c r="J20" s="110"/>
      <c r="K20" s="109"/>
      <c r="L20" s="110"/>
      <c r="M20" s="109"/>
      <c r="N20" s="110"/>
    </row>
    <row r="21" spans="6:14" ht="14.25" customHeight="1" x14ac:dyDescent="0.3">
      <c r="F21" s="108"/>
      <c r="G21" s="108"/>
      <c r="H21" s="108"/>
      <c r="I21" s="109"/>
      <c r="J21" s="110"/>
      <c r="K21" s="109"/>
      <c r="L21" s="110"/>
      <c r="M21" s="109"/>
      <c r="N21" s="110"/>
    </row>
    <row r="22" spans="6:14" ht="14.25" customHeight="1" x14ac:dyDescent="0.3">
      <c r="F22" s="108"/>
      <c r="G22" s="108"/>
      <c r="H22" s="108"/>
      <c r="I22" s="109"/>
      <c r="J22" s="110"/>
      <c r="K22" s="109"/>
      <c r="L22" s="110"/>
      <c r="M22" s="109"/>
      <c r="N22" s="110"/>
    </row>
    <row r="23" spans="6:14" ht="14.25" customHeight="1" x14ac:dyDescent="0.3">
      <c r="F23" s="108"/>
      <c r="G23" s="108"/>
      <c r="H23" s="108"/>
      <c r="I23" s="109"/>
      <c r="J23" s="110"/>
      <c r="K23" s="109"/>
      <c r="L23" s="110"/>
      <c r="M23" s="109"/>
      <c r="N23" s="110"/>
    </row>
    <row r="24" spans="6:14" ht="14.25" customHeight="1" x14ac:dyDescent="0.3">
      <c r="F24" s="108"/>
      <c r="G24" s="108"/>
      <c r="H24" s="108"/>
      <c r="I24" s="109"/>
      <c r="J24" s="110"/>
      <c r="K24" s="109"/>
      <c r="L24" s="110"/>
      <c r="M24" s="109"/>
      <c r="N24" s="110"/>
    </row>
    <row r="25" spans="6:14" ht="14.25" customHeight="1" x14ac:dyDescent="0.3">
      <c r="F25" s="108"/>
      <c r="G25" s="108"/>
      <c r="H25" s="108"/>
      <c r="I25" s="109"/>
      <c r="J25" s="110"/>
      <c r="K25" s="109"/>
      <c r="L25" s="110"/>
      <c r="M25" s="109"/>
      <c r="N25" s="110"/>
    </row>
    <row r="26" spans="6:14" ht="14.25" customHeight="1" x14ac:dyDescent="0.3">
      <c r="F26" s="108"/>
      <c r="G26" s="108"/>
      <c r="H26" s="108"/>
      <c r="I26" s="109"/>
      <c r="J26" s="110"/>
      <c r="K26" s="109"/>
      <c r="L26" s="110"/>
      <c r="M26" s="109"/>
      <c r="N26" s="110"/>
    </row>
    <row r="27" spans="6:14" ht="14.25" customHeight="1" x14ac:dyDescent="0.3">
      <c r="F27" s="108"/>
      <c r="G27" s="108"/>
      <c r="H27" s="108"/>
      <c r="I27" s="109"/>
      <c r="J27" s="110"/>
      <c r="K27" s="109"/>
      <c r="L27" s="110"/>
      <c r="M27" s="109"/>
      <c r="N27" s="110"/>
    </row>
    <row r="28" spans="6:14" ht="14.25" customHeight="1" x14ac:dyDescent="0.3">
      <c r="F28" s="108"/>
      <c r="G28" s="108"/>
      <c r="H28" s="108"/>
      <c r="I28" s="109"/>
      <c r="J28" s="110"/>
      <c r="K28" s="109"/>
      <c r="L28" s="110"/>
      <c r="M28" s="109"/>
      <c r="N28" s="110"/>
    </row>
    <row r="29" spans="6:14" ht="14.25" customHeight="1" x14ac:dyDescent="0.3">
      <c r="F29" s="108"/>
      <c r="G29" s="108"/>
      <c r="H29" s="108"/>
      <c r="I29" s="109"/>
      <c r="J29" s="110"/>
      <c r="K29" s="109"/>
      <c r="L29" s="110"/>
      <c r="M29" s="109"/>
      <c r="N29" s="110"/>
    </row>
    <row r="30" spans="6:14" ht="14.25" customHeight="1" x14ac:dyDescent="0.3">
      <c r="F30" s="108"/>
      <c r="G30" s="108"/>
      <c r="H30" s="108"/>
      <c r="I30" s="109"/>
      <c r="J30" s="110"/>
      <c r="K30" s="109"/>
      <c r="L30" s="110"/>
      <c r="M30" s="109"/>
      <c r="N30" s="110"/>
    </row>
    <row r="31" spans="6:14" ht="14.25" customHeight="1" x14ac:dyDescent="0.3">
      <c r="F31" s="108"/>
      <c r="G31" s="108"/>
      <c r="H31" s="108"/>
      <c r="I31" s="109"/>
      <c r="J31" s="110"/>
      <c r="K31" s="109"/>
      <c r="L31" s="110"/>
      <c r="M31" s="109"/>
      <c r="N31" s="110"/>
    </row>
    <row r="32" spans="6:14" ht="14.25" customHeight="1" x14ac:dyDescent="0.3">
      <c r="F32" s="108"/>
      <c r="G32" s="108"/>
      <c r="H32" s="108"/>
      <c r="I32" s="109"/>
      <c r="J32" s="110"/>
      <c r="K32" s="109"/>
      <c r="L32" s="110"/>
      <c r="M32" s="109"/>
      <c r="N32" s="110"/>
    </row>
    <row r="33" spans="6:14" ht="14.25" customHeight="1" x14ac:dyDescent="0.3">
      <c r="F33" s="108"/>
      <c r="G33" s="108"/>
      <c r="H33" s="108"/>
      <c r="I33" s="109"/>
      <c r="J33" s="110"/>
      <c r="K33" s="109"/>
      <c r="L33" s="110"/>
      <c r="M33" s="109"/>
      <c r="N33" s="110"/>
    </row>
    <row r="34" spans="6:14" ht="14.25" customHeight="1" x14ac:dyDescent="0.3">
      <c r="F34" s="108"/>
      <c r="G34" s="108"/>
      <c r="H34" s="108"/>
      <c r="I34" s="109"/>
      <c r="J34" s="110"/>
      <c r="K34" s="109"/>
      <c r="L34" s="110"/>
      <c r="M34" s="109"/>
      <c r="N34" s="110"/>
    </row>
    <row r="35" spans="6:14" ht="14.25" customHeight="1" x14ac:dyDescent="0.3">
      <c r="F35" s="108"/>
      <c r="G35" s="108"/>
      <c r="H35" s="108"/>
      <c r="I35" s="109"/>
      <c r="J35" s="110"/>
      <c r="K35" s="109"/>
      <c r="L35" s="110"/>
      <c r="M35" s="109"/>
      <c r="N35" s="110"/>
    </row>
    <row r="36" spans="6:14" ht="14.25" customHeight="1" x14ac:dyDescent="0.3">
      <c r="F36" s="108"/>
      <c r="G36" s="108"/>
      <c r="H36" s="108"/>
      <c r="I36" s="109"/>
      <c r="J36" s="110"/>
      <c r="K36" s="109"/>
      <c r="L36" s="110"/>
      <c r="M36" s="109"/>
      <c r="N36" s="110"/>
    </row>
    <row r="37" spans="6:14" ht="14.25" customHeight="1" x14ac:dyDescent="0.3">
      <c r="F37" s="108"/>
      <c r="G37" s="108"/>
      <c r="H37" s="108"/>
      <c r="I37" s="109"/>
      <c r="J37" s="110"/>
      <c r="K37" s="109"/>
      <c r="L37" s="110"/>
      <c r="M37" s="109"/>
      <c r="N37" s="110"/>
    </row>
    <row r="38" spans="6:14" ht="14.25" customHeight="1" x14ac:dyDescent="0.3">
      <c r="F38" s="108"/>
      <c r="G38" s="108"/>
      <c r="H38" s="108"/>
      <c r="I38" s="109"/>
      <c r="J38" s="110"/>
      <c r="K38" s="109"/>
      <c r="L38" s="110"/>
      <c r="M38" s="109"/>
      <c r="N38" s="110"/>
    </row>
    <row r="39" spans="6:14" ht="14.25" customHeight="1" x14ac:dyDescent="0.3">
      <c r="F39" s="108"/>
      <c r="G39" s="108"/>
      <c r="H39" s="108"/>
      <c r="I39" s="109"/>
      <c r="J39" s="110"/>
      <c r="K39" s="109"/>
      <c r="L39" s="110"/>
      <c r="M39" s="109"/>
      <c r="N39" s="110"/>
    </row>
    <row r="40" spans="6:14" ht="14.25" customHeight="1" x14ac:dyDescent="0.3">
      <c r="F40" s="108"/>
      <c r="G40" s="108"/>
      <c r="H40" s="108"/>
      <c r="I40" s="109"/>
      <c r="J40" s="110"/>
      <c r="K40" s="109"/>
      <c r="L40" s="110"/>
      <c r="M40" s="109"/>
      <c r="N40" s="110"/>
    </row>
    <row r="41" spans="6:14" ht="14.25" customHeight="1" x14ac:dyDescent="0.3">
      <c r="F41" s="108"/>
      <c r="G41" s="108"/>
      <c r="H41" s="108"/>
      <c r="I41" s="109"/>
      <c r="J41" s="110"/>
      <c r="K41" s="109"/>
      <c r="L41" s="110"/>
      <c r="M41" s="109"/>
      <c r="N41" s="110"/>
    </row>
    <row r="42" spans="6:14" ht="14.25" customHeight="1" x14ac:dyDescent="0.3">
      <c r="F42" s="108"/>
      <c r="G42" s="108"/>
      <c r="H42" s="108"/>
      <c r="I42" s="109"/>
      <c r="J42" s="110"/>
      <c r="K42" s="109"/>
      <c r="L42" s="110"/>
      <c r="M42" s="109"/>
      <c r="N42" s="110"/>
    </row>
    <row r="43" spans="6:14" ht="14.25" customHeight="1" x14ac:dyDescent="0.3">
      <c r="F43" s="108"/>
      <c r="G43" s="108"/>
      <c r="H43" s="108"/>
      <c r="I43" s="109"/>
      <c r="J43" s="110"/>
      <c r="K43" s="109"/>
      <c r="L43" s="110"/>
      <c r="M43" s="109"/>
      <c r="N43" s="110"/>
    </row>
    <row r="44" spans="6:14" ht="14.25" customHeight="1" x14ac:dyDescent="0.3">
      <c r="F44" s="108"/>
      <c r="G44" s="108"/>
      <c r="H44" s="108"/>
      <c r="I44" s="109"/>
      <c r="J44" s="110"/>
      <c r="K44" s="109"/>
      <c r="L44" s="110"/>
      <c r="M44" s="109"/>
      <c r="N44" s="110"/>
    </row>
    <row r="45" spans="6:14" ht="14.25" customHeight="1" x14ac:dyDescent="0.3">
      <c r="F45" s="108"/>
      <c r="G45" s="108"/>
      <c r="H45" s="108"/>
      <c r="I45" s="109"/>
      <c r="J45" s="110"/>
      <c r="K45" s="109"/>
      <c r="L45" s="110"/>
      <c r="M45" s="109"/>
      <c r="N45" s="110"/>
    </row>
    <row r="46" spans="6:14" ht="14.25" customHeight="1" x14ac:dyDescent="0.3">
      <c r="F46" s="108"/>
      <c r="G46" s="108"/>
      <c r="H46" s="108"/>
      <c r="I46" s="109"/>
      <c r="J46" s="110"/>
      <c r="K46" s="109"/>
      <c r="L46" s="110"/>
      <c r="M46" s="109"/>
      <c r="N46" s="110"/>
    </row>
    <row r="47" spans="6:14" ht="14.25" customHeight="1" x14ac:dyDescent="0.3">
      <c r="F47" s="108"/>
      <c r="G47" s="108"/>
      <c r="H47" s="108"/>
      <c r="I47" s="109"/>
      <c r="J47" s="110"/>
      <c r="K47" s="109"/>
      <c r="L47" s="110"/>
      <c r="M47" s="109"/>
      <c r="N47" s="110"/>
    </row>
    <row r="48" spans="6:14" ht="14.25" customHeight="1" x14ac:dyDescent="0.3">
      <c r="F48" s="108"/>
      <c r="G48" s="108"/>
      <c r="H48" s="108"/>
      <c r="I48" s="109"/>
      <c r="J48" s="110"/>
      <c r="K48" s="109"/>
      <c r="L48" s="110"/>
      <c r="M48" s="109"/>
      <c r="N48" s="110"/>
    </row>
    <row r="49" spans="6:14" ht="14.25" customHeight="1" x14ac:dyDescent="0.3">
      <c r="F49" s="108"/>
      <c r="G49" s="108"/>
      <c r="H49" s="108"/>
      <c r="I49" s="109"/>
      <c r="J49" s="110"/>
      <c r="K49" s="109"/>
      <c r="L49" s="110"/>
      <c r="M49" s="109"/>
      <c r="N49" s="110"/>
    </row>
    <row r="50" spans="6:14" ht="14.25" customHeight="1" x14ac:dyDescent="0.3">
      <c r="F50" s="108"/>
      <c r="G50" s="108"/>
      <c r="H50" s="108"/>
      <c r="I50" s="109"/>
      <c r="J50" s="110"/>
      <c r="K50" s="109"/>
      <c r="L50" s="110"/>
      <c r="M50" s="109"/>
      <c r="N50" s="110"/>
    </row>
    <row r="51" spans="6:14" ht="14.25" customHeight="1" x14ac:dyDescent="0.3">
      <c r="F51" s="108"/>
      <c r="G51" s="108"/>
      <c r="H51" s="108"/>
      <c r="I51" s="109"/>
      <c r="J51" s="110"/>
      <c r="K51" s="109"/>
      <c r="L51" s="110"/>
      <c r="M51" s="109"/>
      <c r="N51" s="110"/>
    </row>
    <row r="52" spans="6:14" ht="14.25" customHeight="1" x14ac:dyDescent="0.3">
      <c r="F52" s="108"/>
      <c r="G52" s="108"/>
      <c r="H52" s="108"/>
      <c r="I52" s="109"/>
      <c r="J52" s="110"/>
      <c r="K52" s="109"/>
      <c r="L52" s="110"/>
      <c r="M52" s="109"/>
      <c r="N52" s="110"/>
    </row>
    <row r="53" spans="6:14" ht="14.25" customHeight="1" x14ac:dyDescent="0.3">
      <c r="F53" s="108"/>
      <c r="G53" s="108"/>
      <c r="H53" s="108"/>
      <c r="I53" s="109"/>
      <c r="J53" s="110"/>
      <c r="K53" s="109"/>
      <c r="L53" s="110"/>
      <c r="M53" s="109"/>
      <c r="N53" s="110"/>
    </row>
    <row r="54" spans="6:14" ht="14.25" customHeight="1" x14ac:dyDescent="0.3">
      <c r="F54" s="108"/>
      <c r="G54" s="108"/>
      <c r="H54" s="108"/>
      <c r="I54" s="109"/>
      <c r="J54" s="110"/>
      <c r="K54" s="109"/>
      <c r="L54" s="110"/>
      <c r="M54" s="109"/>
      <c r="N54" s="110"/>
    </row>
    <row r="55" spans="6:14" ht="14.25" customHeight="1" x14ac:dyDescent="0.3">
      <c r="F55" s="108"/>
      <c r="G55" s="108"/>
      <c r="H55" s="108"/>
      <c r="I55" s="109"/>
      <c r="J55" s="110"/>
      <c r="K55" s="109"/>
      <c r="L55" s="110"/>
      <c r="M55" s="109"/>
      <c r="N55" s="110"/>
    </row>
    <row r="56" spans="6:14" ht="14.25" customHeight="1" x14ac:dyDescent="0.3">
      <c r="F56" s="108"/>
      <c r="G56" s="108"/>
      <c r="H56" s="108"/>
      <c r="I56" s="109"/>
      <c r="J56" s="110"/>
      <c r="K56" s="109"/>
      <c r="L56" s="110"/>
      <c r="M56" s="109"/>
      <c r="N56" s="110"/>
    </row>
    <row r="57" spans="6:14" ht="14.25" customHeight="1" x14ac:dyDescent="0.3">
      <c r="F57" s="108"/>
      <c r="G57" s="108"/>
      <c r="H57" s="108"/>
      <c r="I57" s="109"/>
      <c r="J57" s="110"/>
      <c r="K57" s="109"/>
      <c r="L57" s="110"/>
      <c r="M57" s="109"/>
      <c r="N57" s="110"/>
    </row>
    <row r="58" spans="6:14" ht="14.25" customHeight="1" x14ac:dyDescent="0.3">
      <c r="F58" s="108"/>
      <c r="G58" s="108"/>
      <c r="H58" s="108"/>
      <c r="I58" s="109"/>
      <c r="J58" s="110"/>
      <c r="K58" s="109"/>
      <c r="L58" s="110"/>
      <c r="M58" s="109"/>
      <c r="N58" s="110"/>
    </row>
    <row r="59" spans="6:14" ht="14.25" customHeight="1" x14ac:dyDescent="0.3">
      <c r="F59" s="108"/>
      <c r="G59" s="108"/>
      <c r="H59" s="108"/>
      <c r="I59" s="109"/>
      <c r="J59" s="110"/>
      <c r="K59" s="109"/>
      <c r="L59" s="110"/>
      <c r="M59" s="109"/>
      <c r="N59" s="110"/>
    </row>
    <row r="60" spans="6:14" ht="14.25" customHeight="1" x14ac:dyDescent="0.3">
      <c r="F60" s="108"/>
      <c r="G60" s="108"/>
      <c r="H60" s="108"/>
      <c r="I60" s="109"/>
      <c r="J60" s="110"/>
      <c r="K60" s="109"/>
      <c r="L60" s="110"/>
      <c r="M60" s="109"/>
      <c r="N60" s="110"/>
    </row>
    <row r="61" spans="6:14" ht="14.25" customHeight="1" x14ac:dyDescent="0.3">
      <c r="F61" s="108"/>
      <c r="G61" s="108"/>
      <c r="H61" s="108"/>
      <c r="I61" s="109"/>
      <c r="J61" s="110"/>
      <c r="K61" s="109"/>
      <c r="L61" s="110"/>
      <c r="M61" s="109"/>
      <c r="N61" s="110"/>
    </row>
    <row r="62" spans="6:14" ht="14.25" customHeight="1" x14ac:dyDescent="0.3">
      <c r="F62" s="108"/>
      <c r="G62" s="108"/>
      <c r="H62" s="108"/>
      <c r="I62" s="109"/>
      <c r="J62" s="110"/>
      <c r="K62" s="109"/>
      <c r="L62" s="110"/>
      <c r="M62" s="109"/>
      <c r="N62" s="110"/>
    </row>
    <row r="63" spans="6:14" ht="14.25" customHeight="1" x14ac:dyDescent="0.3">
      <c r="F63" s="108"/>
      <c r="G63" s="108"/>
      <c r="H63" s="108"/>
      <c r="I63" s="109"/>
      <c r="J63" s="110"/>
      <c r="K63" s="109"/>
      <c r="L63" s="110"/>
      <c r="M63" s="109"/>
      <c r="N63" s="110"/>
    </row>
    <row r="64" spans="6:14" ht="14.25" customHeight="1" x14ac:dyDescent="0.3">
      <c r="F64" s="108"/>
      <c r="G64" s="108"/>
      <c r="H64" s="108"/>
      <c r="I64" s="109"/>
      <c r="J64" s="110"/>
      <c r="K64" s="109"/>
      <c r="L64" s="110"/>
      <c r="M64" s="109"/>
      <c r="N64" s="110"/>
    </row>
    <row r="65" spans="6:14" ht="14.25" customHeight="1" x14ac:dyDescent="0.3">
      <c r="F65" s="108"/>
      <c r="G65" s="108"/>
      <c r="H65" s="108"/>
      <c r="I65" s="109"/>
      <c r="J65" s="110"/>
      <c r="K65" s="109"/>
      <c r="L65" s="110"/>
      <c r="M65" s="109"/>
      <c r="N65" s="110"/>
    </row>
    <row r="66" spans="6:14" ht="14.25" customHeight="1" x14ac:dyDescent="0.3">
      <c r="F66" s="108"/>
      <c r="G66" s="108"/>
      <c r="H66" s="108"/>
      <c r="I66" s="109"/>
      <c r="J66" s="110"/>
      <c r="K66" s="109"/>
      <c r="L66" s="110"/>
      <c r="M66" s="109"/>
      <c r="N66" s="110"/>
    </row>
    <row r="67" spans="6:14" ht="14.25" customHeight="1" x14ac:dyDescent="0.3">
      <c r="F67" s="108"/>
      <c r="G67" s="108"/>
      <c r="H67" s="108"/>
      <c r="I67" s="109"/>
      <c r="J67" s="110"/>
      <c r="K67" s="109"/>
      <c r="L67" s="110"/>
      <c r="M67" s="109"/>
      <c r="N67" s="110"/>
    </row>
    <row r="68" spans="6:14" ht="14.25" customHeight="1" x14ac:dyDescent="0.3">
      <c r="F68" s="108"/>
      <c r="G68" s="108"/>
      <c r="H68" s="108"/>
      <c r="I68" s="109"/>
      <c r="J68" s="110"/>
      <c r="K68" s="109"/>
      <c r="L68" s="110"/>
      <c r="M68" s="109"/>
      <c r="N68" s="110"/>
    </row>
    <row r="69" spans="6:14" ht="14.25" customHeight="1" x14ac:dyDescent="0.3">
      <c r="F69" s="108"/>
      <c r="G69" s="108"/>
      <c r="H69" s="108"/>
      <c r="I69" s="109"/>
      <c r="J69" s="110"/>
      <c r="K69" s="109"/>
      <c r="L69" s="110"/>
      <c r="M69" s="109"/>
      <c r="N69" s="110"/>
    </row>
    <row r="70" spans="6:14" ht="14.25" customHeight="1" x14ac:dyDescent="0.3">
      <c r="F70" s="108"/>
      <c r="G70" s="108"/>
      <c r="H70" s="108"/>
      <c r="I70" s="109"/>
      <c r="J70" s="110"/>
      <c r="K70" s="109"/>
      <c r="L70" s="110"/>
      <c r="M70" s="109"/>
      <c r="N70" s="110"/>
    </row>
    <row r="71" spans="6:14" ht="14.25" customHeight="1" x14ac:dyDescent="0.3">
      <c r="F71" s="108"/>
      <c r="G71" s="108"/>
      <c r="H71" s="108"/>
      <c r="I71" s="109"/>
      <c r="J71" s="110"/>
      <c r="K71" s="109"/>
      <c r="L71" s="110"/>
      <c r="M71" s="109"/>
      <c r="N71" s="110"/>
    </row>
    <row r="72" spans="6:14" ht="14.25" customHeight="1" x14ac:dyDescent="0.3">
      <c r="F72" s="108"/>
      <c r="G72" s="108"/>
      <c r="H72" s="108"/>
      <c r="I72" s="109"/>
      <c r="J72" s="110"/>
      <c r="K72" s="109"/>
      <c r="L72" s="110"/>
      <c r="M72" s="109"/>
      <c r="N72" s="110"/>
    </row>
    <row r="73" spans="6:14" ht="14.25" customHeight="1" x14ac:dyDescent="0.3">
      <c r="F73" s="108"/>
      <c r="G73" s="108"/>
      <c r="H73" s="108"/>
      <c r="I73" s="109"/>
      <c r="J73" s="110"/>
      <c r="K73" s="109"/>
      <c r="L73" s="110"/>
      <c r="M73" s="109"/>
      <c r="N73" s="110"/>
    </row>
    <row r="74" spans="6:14" ht="14.25" customHeight="1" x14ac:dyDescent="0.3">
      <c r="F74" s="108"/>
      <c r="G74" s="108"/>
      <c r="H74" s="108"/>
      <c r="I74" s="109"/>
      <c r="J74" s="110"/>
      <c r="K74" s="109"/>
      <c r="L74" s="110"/>
      <c r="M74" s="109"/>
      <c r="N74" s="110"/>
    </row>
    <row r="75" spans="6:14" ht="14.25" customHeight="1" x14ac:dyDescent="0.3">
      <c r="F75" s="108"/>
      <c r="G75" s="108"/>
      <c r="H75" s="108"/>
      <c r="I75" s="109"/>
      <c r="J75" s="110"/>
      <c r="K75" s="109"/>
      <c r="L75" s="110"/>
      <c r="M75" s="109"/>
      <c r="N75" s="110"/>
    </row>
    <row r="76" spans="6:14" ht="14.25" customHeight="1" x14ac:dyDescent="0.3">
      <c r="F76" s="108"/>
      <c r="G76" s="108"/>
      <c r="H76" s="108"/>
      <c r="I76" s="109"/>
      <c r="J76" s="110"/>
      <c r="K76" s="109"/>
      <c r="L76" s="110"/>
      <c r="M76" s="109"/>
      <c r="N76" s="110"/>
    </row>
    <row r="77" spans="6:14" ht="14.25" customHeight="1" x14ac:dyDescent="0.3">
      <c r="F77" s="108"/>
      <c r="G77" s="108"/>
      <c r="H77" s="108"/>
      <c r="I77" s="109"/>
      <c r="J77" s="110"/>
      <c r="K77" s="109"/>
      <c r="L77" s="110"/>
      <c r="M77" s="109"/>
      <c r="N77" s="110"/>
    </row>
    <row r="78" spans="6:14" ht="14.25" customHeight="1" x14ac:dyDescent="0.3">
      <c r="F78" s="108"/>
      <c r="G78" s="108"/>
      <c r="H78" s="108"/>
      <c r="I78" s="109"/>
      <c r="J78" s="110"/>
      <c r="K78" s="109"/>
      <c r="L78" s="110"/>
      <c r="M78" s="109"/>
      <c r="N78" s="110"/>
    </row>
    <row r="79" spans="6:14" ht="14.25" customHeight="1" x14ac:dyDescent="0.3">
      <c r="F79" s="108"/>
      <c r="G79" s="108"/>
      <c r="H79" s="108"/>
      <c r="I79" s="109"/>
      <c r="J79" s="110"/>
      <c r="K79" s="109"/>
      <c r="L79" s="110"/>
      <c r="M79" s="109"/>
      <c r="N79" s="110"/>
    </row>
    <row r="80" spans="6:14" ht="14.25" customHeight="1" x14ac:dyDescent="0.3">
      <c r="F80" s="108"/>
      <c r="G80" s="108"/>
      <c r="H80" s="108"/>
      <c r="I80" s="109"/>
      <c r="J80" s="110"/>
      <c r="K80" s="109"/>
      <c r="L80" s="110"/>
      <c r="M80" s="109"/>
      <c r="N80" s="110"/>
    </row>
    <row r="81" spans="6:14" ht="14.25" customHeight="1" x14ac:dyDescent="0.3">
      <c r="F81" s="108"/>
      <c r="G81" s="108"/>
      <c r="H81" s="108"/>
      <c r="I81" s="109"/>
      <c r="J81" s="110"/>
      <c r="K81" s="109"/>
      <c r="L81" s="110"/>
      <c r="M81" s="109"/>
      <c r="N81" s="110"/>
    </row>
    <row r="82" spans="6:14" ht="14.25" customHeight="1" x14ac:dyDescent="0.3">
      <c r="F82" s="108"/>
      <c r="G82" s="108"/>
      <c r="H82" s="108"/>
      <c r="I82" s="109"/>
      <c r="J82" s="110"/>
      <c r="K82" s="109"/>
      <c r="L82" s="110"/>
      <c r="M82" s="109"/>
      <c r="N82" s="110"/>
    </row>
    <row r="83" spans="6:14" ht="14.25" customHeight="1" x14ac:dyDescent="0.3">
      <c r="F83" s="108"/>
      <c r="G83" s="108"/>
      <c r="H83" s="108"/>
      <c r="I83" s="109"/>
      <c r="J83" s="110"/>
      <c r="K83" s="109"/>
      <c r="L83" s="110"/>
      <c r="M83" s="109"/>
      <c r="N83" s="110"/>
    </row>
    <row r="84" spans="6:14" ht="14.25" customHeight="1" x14ac:dyDescent="0.3">
      <c r="F84" s="108"/>
      <c r="G84" s="108"/>
      <c r="H84" s="108"/>
      <c r="I84" s="109"/>
      <c r="J84" s="110"/>
      <c r="K84" s="109"/>
      <c r="L84" s="110"/>
      <c r="M84" s="109"/>
      <c r="N84" s="110"/>
    </row>
    <row r="85" spans="6:14" ht="14.25" customHeight="1" x14ac:dyDescent="0.3">
      <c r="F85" s="108"/>
      <c r="G85" s="108"/>
      <c r="H85" s="108"/>
      <c r="I85" s="109"/>
      <c r="J85" s="110"/>
      <c r="K85" s="109"/>
      <c r="L85" s="110"/>
      <c r="M85" s="109"/>
      <c r="N85" s="110"/>
    </row>
    <row r="86" spans="6:14" ht="14.25" customHeight="1" x14ac:dyDescent="0.3">
      <c r="F86" s="108"/>
      <c r="G86" s="108"/>
      <c r="H86" s="108"/>
      <c r="I86" s="109"/>
      <c r="J86" s="110"/>
      <c r="K86" s="109"/>
      <c r="L86" s="110"/>
      <c r="M86" s="109"/>
      <c r="N86" s="110"/>
    </row>
    <row r="87" spans="6:14" ht="14.25" customHeight="1" x14ac:dyDescent="0.3">
      <c r="F87" s="108"/>
      <c r="G87" s="108"/>
      <c r="H87" s="108"/>
      <c r="I87" s="109"/>
      <c r="J87" s="110"/>
      <c r="K87" s="109"/>
      <c r="L87" s="110"/>
      <c r="M87" s="109"/>
      <c r="N87" s="110"/>
    </row>
    <row r="88" spans="6:14" ht="14.25" customHeight="1" x14ac:dyDescent="0.3">
      <c r="F88" s="108"/>
      <c r="G88" s="108"/>
      <c r="H88" s="108"/>
      <c r="I88" s="109"/>
      <c r="J88" s="110"/>
      <c r="K88" s="109"/>
      <c r="L88" s="110"/>
      <c r="M88" s="109"/>
      <c r="N88" s="110"/>
    </row>
    <row r="89" spans="6:14" ht="14.25" customHeight="1" x14ac:dyDescent="0.3">
      <c r="F89" s="108"/>
      <c r="G89" s="108"/>
      <c r="H89" s="108"/>
      <c r="I89" s="109"/>
      <c r="J89" s="110"/>
      <c r="K89" s="109"/>
      <c r="L89" s="110"/>
      <c r="M89" s="109"/>
      <c r="N89" s="110"/>
    </row>
    <row r="90" spans="6:14" ht="14.25" customHeight="1" x14ac:dyDescent="0.3">
      <c r="F90" s="108"/>
      <c r="G90" s="108"/>
      <c r="H90" s="108"/>
      <c r="I90" s="109"/>
      <c r="J90" s="110"/>
      <c r="K90" s="109"/>
      <c r="L90" s="110"/>
      <c r="M90" s="109"/>
      <c r="N90" s="110"/>
    </row>
    <row r="91" spans="6:14" ht="14.25" customHeight="1" x14ac:dyDescent="0.3">
      <c r="F91" s="108"/>
      <c r="G91" s="108"/>
      <c r="H91" s="108"/>
      <c r="I91" s="109"/>
      <c r="J91" s="110"/>
      <c r="K91" s="109"/>
      <c r="L91" s="110"/>
      <c r="M91" s="109"/>
      <c r="N91" s="110"/>
    </row>
    <row r="92" spans="6:14" ht="14.25" customHeight="1" x14ac:dyDescent="0.3">
      <c r="F92" s="108"/>
      <c r="G92" s="108"/>
      <c r="H92" s="108"/>
      <c r="I92" s="109"/>
      <c r="J92" s="110"/>
      <c r="K92" s="109"/>
      <c r="L92" s="110"/>
      <c r="M92" s="109"/>
      <c r="N92" s="110"/>
    </row>
    <row r="93" spans="6:14" ht="14.25" customHeight="1" x14ac:dyDescent="0.3">
      <c r="F93" s="108"/>
      <c r="G93" s="108"/>
      <c r="H93" s="108"/>
      <c r="I93" s="109"/>
      <c r="J93" s="110"/>
      <c r="K93" s="109"/>
      <c r="L93" s="110"/>
      <c r="M93" s="109"/>
      <c r="N93" s="110"/>
    </row>
    <row r="94" spans="6:14" ht="14.25" customHeight="1" x14ac:dyDescent="0.3">
      <c r="F94" s="108"/>
      <c r="G94" s="108"/>
      <c r="H94" s="108"/>
      <c r="I94" s="109"/>
      <c r="J94" s="110"/>
      <c r="K94" s="109"/>
      <c r="L94" s="110"/>
      <c r="M94" s="109"/>
      <c r="N94" s="110"/>
    </row>
    <row r="95" spans="6:14" ht="14.25" customHeight="1" x14ac:dyDescent="0.3">
      <c r="F95" s="108"/>
      <c r="G95" s="108"/>
      <c r="H95" s="108"/>
      <c r="I95" s="109"/>
      <c r="J95" s="110"/>
      <c r="K95" s="109"/>
      <c r="L95" s="110"/>
      <c r="M95" s="109"/>
      <c r="N95" s="110"/>
    </row>
    <row r="96" spans="6:14" ht="14.25" customHeight="1" x14ac:dyDescent="0.3">
      <c r="F96" s="108"/>
      <c r="G96" s="108"/>
      <c r="H96" s="108"/>
      <c r="I96" s="109"/>
      <c r="J96" s="110"/>
      <c r="K96" s="109"/>
      <c r="L96" s="110"/>
      <c r="M96" s="109"/>
      <c r="N96" s="110"/>
    </row>
    <row r="97" spans="6:14" ht="14.25" customHeight="1" x14ac:dyDescent="0.3">
      <c r="F97" s="108"/>
      <c r="G97" s="108"/>
      <c r="H97" s="108"/>
      <c r="I97" s="109"/>
      <c r="J97" s="110"/>
      <c r="K97" s="109"/>
      <c r="L97" s="110"/>
      <c r="M97" s="109"/>
      <c r="N97" s="110"/>
    </row>
    <row r="98" spans="6:14" ht="14.25" customHeight="1" x14ac:dyDescent="0.3">
      <c r="F98" s="108"/>
      <c r="G98" s="108"/>
      <c r="H98" s="108"/>
      <c r="I98" s="109"/>
      <c r="J98" s="110"/>
      <c r="K98" s="109"/>
      <c r="L98" s="110"/>
      <c r="M98" s="109"/>
      <c r="N98" s="110"/>
    </row>
    <row r="99" spans="6:14" ht="14.25" customHeight="1" x14ac:dyDescent="0.3">
      <c r="F99" s="108"/>
      <c r="G99" s="108"/>
      <c r="H99" s="108"/>
      <c r="I99" s="109"/>
      <c r="J99" s="110"/>
      <c r="K99" s="109"/>
      <c r="L99" s="110"/>
      <c r="M99" s="109"/>
      <c r="N99" s="110"/>
    </row>
    <row r="100" spans="6:14" ht="14.25" customHeight="1" x14ac:dyDescent="0.3">
      <c r="F100" s="108"/>
      <c r="G100" s="108"/>
      <c r="H100" s="108"/>
      <c r="I100" s="109"/>
      <c r="J100" s="110"/>
      <c r="K100" s="109"/>
      <c r="L100" s="110"/>
      <c r="M100" s="109"/>
      <c r="N100" s="110"/>
    </row>
    <row r="101" spans="6:14" ht="14.25" customHeight="1" x14ac:dyDescent="0.3">
      <c r="F101" s="108"/>
      <c r="G101" s="108"/>
      <c r="H101" s="108"/>
      <c r="I101" s="109"/>
      <c r="J101" s="110"/>
      <c r="K101" s="109"/>
      <c r="L101" s="110"/>
      <c r="M101" s="109"/>
      <c r="N101" s="110"/>
    </row>
    <row r="102" spans="6:14" ht="14.25" customHeight="1" x14ac:dyDescent="0.3">
      <c r="F102" s="108"/>
      <c r="G102" s="108"/>
      <c r="H102" s="108"/>
      <c r="I102" s="109"/>
      <c r="J102" s="110"/>
      <c r="K102" s="109"/>
      <c r="L102" s="110"/>
      <c r="M102" s="109"/>
      <c r="N102" s="110"/>
    </row>
    <row r="103" spans="6:14" ht="14.25" customHeight="1" x14ac:dyDescent="0.3">
      <c r="F103" s="108"/>
      <c r="G103" s="108"/>
      <c r="H103" s="108"/>
      <c r="I103" s="109"/>
      <c r="J103" s="110"/>
      <c r="K103" s="109"/>
      <c r="L103" s="110"/>
      <c r="M103" s="109"/>
      <c r="N103" s="110"/>
    </row>
    <row r="104" spans="6:14" ht="14.25" customHeight="1" x14ac:dyDescent="0.3">
      <c r="F104" s="108"/>
      <c r="G104" s="108"/>
      <c r="H104" s="108"/>
      <c r="I104" s="109"/>
      <c r="J104" s="110"/>
      <c r="K104" s="109"/>
      <c r="L104" s="110"/>
      <c r="M104" s="109"/>
      <c r="N104" s="110"/>
    </row>
    <row r="105" spans="6:14" ht="14.25" customHeight="1" x14ac:dyDescent="0.3">
      <c r="F105" s="108"/>
      <c r="G105" s="108"/>
      <c r="H105" s="108"/>
      <c r="I105" s="109"/>
      <c r="J105" s="110"/>
      <c r="K105" s="109"/>
      <c r="L105" s="110"/>
      <c r="M105" s="109"/>
      <c r="N105" s="110"/>
    </row>
    <row r="106" spans="6:14" ht="14.25" customHeight="1" x14ac:dyDescent="0.3">
      <c r="F106" s="108"/>
      <c r="G106" s="108"/>
      <c r="H106" s="108"/>
      <c r="I106" s="109"/>
      <c r="J106" s="110"/>
      <c r="K106" s="109"/>
      <c r="L106" s="110"/>
      <c r="M106" s="109"/>
      <c r="N106" s="110"/>
    </row>
    <row r="107" spans="6:14" ht="14.25" customHeight="1" x14ac:dyDescent="0.3">
      <c r="F107" s="108"/>
      <c r="G107" s="108"/>
      <c r="H107" s="108"/>
      <c r="I107" s="109"/>
      <c r="J107" s="110"/>
      <c r="K107" s="109"/>
      <c r="L107" s="110"/>
      <c r="M107" s="109"/>
      <c r="N107" s="110"/>
    </row>
    <row r="108" spans="6:14" ht="14.25" customHeight="1" x14ac:dyDescent="0.3">
      <c r="F108" s="108"/>
      <c r="G108" s="108"/>
      <c r="H108" s="108"/>
      <c r="I108" s="109"/>
      <c r="J108" s="110"/>
      <c r="K108" s="109"/>
      <c r="L108" s="110"/>
      <c r="M108" s="109"/>
      <c r="N108" s="110"/>
    </row>
    <row r="109" spans="6:14" ht="14.25" customHeight="1" x14ac:dyDescent="0.3">
      <c r="F109" s="108"/>
      <c r="G109" s="108"/>
      <c r="H109" s="108"/>
      <c r="I109" s="109"/>
      <c r="J109" s="110"/>
      <c r="K109" s="109"/>
      <c r="L109" s="110"/>
      <c r="M109" s="109"/>
      <c r="N109" s="110"/>
    </row>
    <row r="110" spans="6:14" ht="14.25" customHeight="1" x14ac:dyDescent="0.3">
      <c r="F110" s="108"/>
      <c r="G110" s="108"/>
      <c r="H110" s="108"/>
      <c r="I110" s="109"/>
      <c r="J110" s="110"/>
      <c r="K110" s="109"/>
      <c r="L110" s="110"/>
      <c r="M110" s="109"/>
      <c r="N110" s="110"/>
    </row>
    <row r="111" spans="6:14" ht="14.25" customHeight="1" x14ac:dyDescent="0.3">
      <c r="F111" s="108"/>
      <c r="G111" s="108"/>
      <c r="H111" s="108"/>
      <c r="I111" s="109"/>
      <c r="J111" s="110"/>
      <c r="K111" s="109"/>
      <c r="L111" s="110"/>
      <c r="M111" s="109"/>
      <c r="N111" s="110"/>
    </row>
    <row r="112" spans="6:14" ht="14.25" customHeight="1" x14ac:dyDescent="0.3">
      <c r="F112" s="108"/>
      <c r="G112" s="108"/>
      <c r="H112" s="108"/>
      <c r="I112" s="109"/>
      <c r="J112" s="110"/>
      <c r="K112" s="109"/>
      <c r="L112" s="110"/>
      <c r="M112" s="109"/>
      <c r="N112" s="110"/>
    </row>
    <row r="113" spans="6:14" ht="14.25" customHeight="1" x14ac:dyDescent="0.3">
      <c r="F113" s="108"/>
      <c r="G113" s="108"/>
      <c r="H113" s="108"/>
      <c r="I113" s="109"/>
      <c r="J113" s="110"/>
      <c r="K113" s="109"/>
      <c r="L113" s="110"/>
      <c r="M113" s="109"/>
      <c r="N113" s="110"/>
    </row>
    <row r="114" spans="6:14" ht="14.25" customHeight="1" x14ac:dyDescent="0.3">
      <c r="F114" s="108"/>
      <c r="G114" s="108"/>
      <c r="H114" s="108"/>
      <c r="I114" s="109"/>
      <c r="J114" s="110"/>
      <c r="K114" s="109"/>
      <c r="L114" s="110"/>
      <c r="M114" s="109"/>
      <c r="N114" s="110"/>
    </row>
    <row r="115" spans="6:14" ht="14.25" customHeight="1" x14ac:dyDescent="0.3">
      <c r="F115" s="108"/>
      <c r="G115" s="108"/>
      <c r="H115" s="108"/>
      <c r="I115" s="109"/>
      <c r="J115" s="110"/>
      <c r="K115" s="109"/>
      <c r="L115" s="110"/>
      <c r="M115" s="109"/>
      <c r="N115" s="110"/>
    </row>
    <row r="116" spans="6:14" ht="14.25" customHeight="1" x14ac:dyDescent="0.3">
      <c r="F116" s="108"/>
      <c r="G116" s="108"/>
      <c r="H116" s="108"/>
      <c r="I116" s="109"/>
      <c r="J116" s="110"/>
      <c r="K116" s="109"/>
      <c r="L116" s="110"/>
      <c r="M116" s="109"/>
      <c r="N116" s="110"/>
    </row>
    <row r="117" spans="6:14" ht="14.25" customHeight="1" x14ac:dyDescent="0.3">
      <c r="F117" s="108"/>
      <c r="G117" s="108"/>
      <c r="H117" s="108"/>
      <c r="I117" s="109"/>
      <c r="J117" s="110"/>
      <c r="K117" s="109"/>
      <c r="L117" s="110"/>
      <c r="M117" s="109"/>
      <c r="N117" s="110"/>
    </row>
    <row r="118" spans="6:14" ht="14.25" customHeight="1" x14ac:dyDescent="0.3">
      <c r="F118" s="108"/>
      <c r="G118" s="108"/>
      <c r="H118" s="108"/>
      <c r="I118" s="109"/>
      <c r="J118" s="110"/>
      <c r="K118" s="109"/>
      <c r="L118" s="110"/>
      <c r="M118" s="109"/>
      <c r="N118" s="110"/>
    </row>
    <row r="119" spans="6:14" ht="14.25" customHeight="1" x14ac:dyDescent="0.3">
      <c r="F119" s="108"/>
      <c r="G119" s="108"/>
      <c r="H119" s="108"/>
      <c r="I119" s="109"/>
      <c r="J119" s="110"/>
      <c r="K119" s="109"/>
      <c r="L119" s="110"/>
      <c r="M119" s="109"/>
      <c r="N119" s="110"/>
    </row>
    <row r="120" spans="6:14" ht="14.25" customHeight="1" x14ac:dyDescent="0.3">
      <c r="F120" s="108"/>
      <c r="G120" s="108"/>
      <c r="H120" s="108"/>
      <c r="I120" s="109"/>
      <c r="J120" s="110"/>
      <c r="K120" s="109"/>
      <c r="L120" s="110"/>
      <c r="M120" s="109"/>
      <c r="N120" s="110"/>
    </row>
    <row r="121" spans="6:14" ht="14.25" customHeight="1" x14ac:dyDescent="0.3">
      <c r="F121" s="108"/>
      <c r="G121" s="108"/>
      <c r="H121" s="108"/>
      <c r="I121" s="109"/>
      <c r="J121" s="110"/>
      <c r="K121" s="109"/>
      <c r="L121" s="110"/>
      <c r="M121" s="109"/>
      <c r="N121" s="110"/>
    </row>
    <row r="122" spans="6:14" ht="14.25" customHeight="1" x14ac:dyDescent="0.3">
      <c r="F122" s="108"/>
      <c r="G122" s="108"/>
      <c r="H122" s="108"/>
      <c r="I122" s="109"/>
      <c r="J122" s="110"/>
      <c r="K122" s="109"/>
      <c r="L122" s="110"/>
      <c r="M122" s="109"/>
      <c r="N122" s="110"/>
    </row>
    <row r="123" spans="6:14" ht="14.25" customHeight="1" x14ac:dyDescent="0.3">
      <c r="F123" s="108"/>
      <c r="G123" s="108"/>
      <c r="H123" s="108"/>
      <c r="I123" s="109"/>
      <c r="J123" s="110"/>
      <c r="K123" s="109"/>
      <c r="L123" s="110"/>
      <c r="M123" s="109"/>
      <c r="N123" s="110"/>
    </row>
    <row r="124" spans="6:14" ht="14.25" customHeight="1" x14ac:dyDescent="0.3">
      <c r="F124" s="108"/>
      <c r="G124" s="108"/>
      <c r="H124" s="108"/>
      <c r="I124" s="109"/>
      <c r="J124" s="110"/>
      <c r="K124" s="109"/>
      <c r="L124" s="110"/>
      <c r="M124" s="109"/>
      <c r="N124" s="110"/>
    </row>
    <row r="125" spans="6:14" ht="14.25" customHeight="1" x14ac:dyDescent="0.3">
      <c r="F125" s="108"/>
      <c r="G125" s="108"/>
      <c r="H125" s="108"/>
      <c r="I125" s="109"/>
      <c r="J125" s="110"/>
      <c r="K125" s="109"/>
      <c r="L125" s="110"/>
      <c r="M125" s="109"/>
      <c r="N125" s="110"/>
    </row>
    <row r="126" spans="6:14" ht="14.25" customHeight="1" x14ac:dyDescent="0.3">
      <c r="F126" s="108"/>
      <c r="G126" s="108"/>
      <c r="H126" s="108"/>
      <c r="I126" s="109"/>
      <c r="J126" s="110"/>
      <c r="K126" s="109"/>
      <c r="L126" s="110"/>
      <c r="M126" s="109"/>
      <c r="N126" s="110"/>
    </row>
    <row r="127" spans="6:14" ht="14.25" customHeight="1" x14ac:dyDescent="0.3">
      <c r="F127" s="108"/>
      <c r="G127" s="108"/>
      <c r="H127" s="108"/>
      <c r="I127" s="109"/>
      <c r="J127" s="110"/>
      <c r="K127" s="109"/>
      <c r="L127" s="110"/>
      <c r="M127" s="109"/>
      <c r="N127" s="110"/>
    </row>
    <row r="128" spans="6:14" ht="14.25" customHeight="1" x14ac:dyDescent="0.3">
      <c r="F128" s="108"/>
      <c r="G128" s="108"/>
      <c r="H128" s="108"/>
      <c r="I128" s="109"/>
      <c r="J128" s="110"/>
      <c r="K128" s="109"/>
      <c r="L128" s="110"/>
      <c r="M128" s="109"/>
      <c r="N128" s="110"/>
    </row>
    <row r="129" spans="6:14" ht="14.25" customHeight="1" x14ac:dyDescent="0.3">
      <c r="F129" s="108"/>
      <c r="G129" s="108"/>
      <c r="H129" s="108"/>
      <c r="I129" s="109"/>
      <c r="J129" s="110"/>
      <c r="K129" s="109"/>
      <c r="L129" s="110"/>
      <c r="M129" s="109"/>
      <c r="N129" s="110"/>
    </row>
    <row r="130" spans="6:14" ht="14.25" customHeight="1" x14ac:dyDescent="0.3">
      <c r="F130" s="108"/>
      <c r="G130" s="108"/>
      <c r="H130" s="108"/>
      <c r="I130" s="109"/>
      <c r="J130" s="110"/>
      <c r="K130" s="109"/>
      <c r="L130" s="110"/>
      <c r="M130" s="109"/>
      <c r="N130" s="110"/>
    </row>
    <row r="131" spans="6:14" ht="14.25" customHeight="1" x14ac:dyDescent="0.3">
      <c r="F131" s="108"/>
      <c r="G131" s="108"/>
      <c r="H131" s="108"/>
      <c r="I131" s="109"/>
      <c r="J131" s="110"/>
      <c r="K131" s="109"/>
      <c r="L131" s="110"/>
      <c r="M131" s="109"/>
      <c r="N131" s="110"/>
    </row>
    <row r="132" spans="6:14" ht="14.25" customHeight="1" x14ac:dyDescent="0.3">
      <c r="F132" s="108"/>
      <c r="G132" s="108"/>
      <c r="H132" s="108"/>
      <c r="I132" s="109"/>
      <c r="J132" s="110"/>
      <c r="K132" s="109"/>
      <c r="L132" s="110"/>
      <c r="M132" s="109"/>
      <c r="N132" s="110"/>
    </row>
    <row r="133" spans="6:14" ht="14.25" customHeight="1" x14ac:dyDescent="0.3">
      <c r="F133" s="108"/>
      <c r="G133" s="108"/>
      <c r="H133" s="108"/>
      <c r="I133" s="109"/>
      <c r="J133" s="110"/>
      <c r="K133" s="109"/>
      <c r="L133" s="110"/>
      <c r="M133" s="109"/>
      <c r="N133" s="110"/>
    </row>
    <row r="134" spans="6:14" ht="14.25" customHeight="1" x14ac:dyDescent="0.3">
      <c r="F134" s="108"/>
      <c r="G134" s="108"/>
      <c r="H134" s="108"/>
      <c r="I134" s="109"/>
      <c r="J134" s="110"/>
      <c r="K134" s="109"/>
      <c r="L134" s="110"/>
      <c r="M134" s="109"/>
      <c r="N134" s="110"/>
    </row>
    <row r="135" spans="6:14" ht="14.25" customHeight="1" x14ac:dyDescent="0.3">
      <c r="F135" s="108"/>
      <c r="G135" s="108"/>
      <c r="H135" s="108"/>
      <c r="I135" s="109"/>
      <c r="J135" s="110"/>
      <c r="K135" s="109"/>
      <c r="L135" s="110"/>
      <c r="M135" s="109"/>
      <c r="N135" s="110"/>
    </row>
    <row r="136" spans="6:14" ht="14.25" customHeight="1" x14ac:dyDescent="0.3">
      <c r="F136" s="108"/>
      <c r="G136" s="108"/>
      <c r="H136" s="108"/>
      <c r="I136" s="109"/>
      <c r="J136" s="110"/>
      <c r="K136" s="109"/>
      <c r="L136" s="110"/>
      <c r="M136" s="109"/>
      <c r="N136" s="110"/>
    </row>
    <row r="137" spans="6:14" ht="14.25" customHeight="1" x14ac:dyDescent="0.3">
      <c r="F137" s="108"/>
      <c r="G137" s="108"/>
      <c r="H137" s="108"/>
      <c r="I137" s="109"/>
      <c r="J137" s="110"/>
      <c r="K137" s="109"/>
      <c r="L137" s="110"/>
      <c r="M137" s="109"/>
      <c r="N137" s="110"/>
    </row>
    <row r="138" spans="6:14" ht="14.25" customHeight="1" x14ac:dyDescent="0.3">
      <c r="F138" s="108"/>
      <c r="G138" s="108"/>
      <c r="H138" s="108"/>
      <c r="I138" s="109"/>
      <c r="J138" s="110"/>
      <c r="K138" s="109"/>
      <c r="L138" s="110"/>
      <c r="M138" s="109"/>
      <c r="N138" s="110"/>
    </row>
    <row r="139" spans="6:14" ht="14.25" customHeight="1" x14ac:dyDescent="0.3">
      <c r="F139" s="108"/>
      <c r="G139" s="108"/>
      <c r="H139" s="108"/>
      <c r="I139" s="109"/>
      <c r="J139" s="110"/>
      <c r="K139" s="109"/>
      <c r="L139" s="110"/>
      <c r="M139" s="109"/>
      <c r="N139" s="110"/>
    </row>
    <row r="140" spans="6:14" ht="14.25" customHeight="1" x14ac:dyDescent="0.3">
      <c r="F140" s="108"/>
      <c r="G140" s="108"/>
      <c r="H140" s="108"/>
      <c r="I140" s="109"/>
      <c r="J140" s="110"/>
      <c r="K140" s="109"/>
      <c r="L140" s="110"/>
      <c r="M140" s="109"/>
      <c r="N140" s="110"/>
    </row>
    <row r="141" spans="6:14" ht="14.25" customHeight="1" x14ac:dyDescent="0.3">
      <c r="F141" s="108"/>
      <c r="G141" s="108"/>
      <c r="H141" s="108"/>
      <c r="I141" s="109"/>
      <c r="J141" s="110"/>
      <c r="K141" s="109"/>
      <c r="L141" s="110"/>
      <c r="M141" s="109"/>
      <c r="N141" s="110"/>
    </row>
    <row r="142" spans="6:14" ht="14.25" customHeight="1" x14ac:dyDescent="0.3">
      <c r="F142" s="108"/>
      <c r="G142" s="108"/>
      <c r="H142" s="108"/>
      <c r="I142" s="109"/>
      <c r="J142" s="110"/>
      <c r="K142" s="109"/>
      <c r="L142" s="110"/>
      <c r="M142" s="109"/>
      <c r="N142" s="110"/>
    </row>
    <row r="143" spans="6:14" ht="14.25" customHeight="1" x14ac:dyDescent="0.3">
      <c r="F143" s="108"/>
      <c r="G143" s="108"/>
      <c r="H143" s="108"/>
      <c r="I143" s="109"/>
      <c r="J143" s="110"/>
      <c r="K143" s="109"/>
      <c r="L143" s="110"/>
      <c r="M143" s="109"/>
      <c r="N143" s="110"/>
    </row>
    <row r="144" spans="6:14" ht="14.25" customHeight="1" x14ac:dyDescent="0.3">
      <c r="F144" s="108"/>
      <c r="G144" s="108"/>
      <c r="H144" s="108"/>
      <c r="I144" s="109"/>
      <c r="J144" s="110"/>
      <c r="K144" s="109"/>
      <c r="L144" s="110"/>
      <c r="M144" s="109"/>
      <c r="N144" s="110"/>
    </row>
    <row r="145" spans="6:14" ht="14.25" customHeight="1" x14ac:dyDescent="0.3">
      <c r="F145" s="108"/>
      <c r="G145" s="108"/>
      <c r="H145" s="108"/>
      <c r="I145" s="109"/>
      <c r="J145" s="110"/>
      <c r="K145" s="109"/>
      <c r="L145" s="110"/>
      <c r="M145" s="109"/>
      <c r="N145" s="110"/>
    </row>
    <row r="146" spans="6:14" ht="14.25" customHeight="1" x14ac:dyDescent="0.3">
      <c r="F146" s="108"/>
      <c r="G146" s="108"/>
      <c r="H146" s="108"/>
      <c r="I146" s="109"/>
      <c r="J146" s="110"/>
      <c r="K146" s="109"/>
      <c r="L146" s="110"/>
      <c r="M146" s="109"/>
      <c r="N146" s="110"/>
    </row>
    <row r="147" spans="6:14" ht="14.25" customHeight="1" x14ac:dyDescent="0.3">
      <c r="F147" s="108"/>
      <c r="G147" s="108"/>
      <c r="H147" s="108"/>
      <c r="I147" s="109"/>
      <c r="J147" s="110"/>
      <c r="K147" s="109"/>
      <c r="L147" s="110"/>
      <c r="M147" s="109"/>
      <c r="N147" s="110"/>
    </row>
    <row r="148" spans="6:14" ht="14.25" customHeight="1" x14ac:dyDescent="0.3">
      <c r="F148" s="108"/>
      <c r="G148" s="108"/>
      <c r="H148" s="108"/>
      <c r="I148" s="109"/>
      <c r="J148" s="110"/>
      <c r="K148" s="109"/>
      <c r="L148" s="110"/>
      <c r="M148" s="109"/>
      <c r="N148" s="110"/>
    </row>
    <row r="149" spans="6:14" ht="14.25" customHeight="1" x14ac:dyDescent="0.3">
      <c r="F149" s="108"/>
      <c r="G149" s="108"/>
      <c r="H149" s="108"/>
      <c r="I149" s="109"/>
      <c r="J149" s="110"/>
      <c r="K149" s="109"/>
      <c r="L149" s="110"/>
      <c r="M149" s="109"/>
      <c r="N149" s="110"/>
    </row>
    <row r="150" spans="6:14" ht="14.25" customHeight="1" x14ac:dyDescent="0.3">
      <c r="F150" s="108"/>
      <c r="G150" s="108"/>
      <c r="H150" s="108"/>
      <c r="I150" s="109"/>
      <c r="J150" s="110"/>
      <c r="K150" s="109"/>
      <c r="L150" s="110"/>
      <c r="M150" s="109"/>
      <c r="N150" s="110"/>
    </row>
    <row r="151" spans="6:14" ht="14.25" customHeight="1" x14ac:dyDescent="0.3">
      <c r="F151" s="108"/>
      <c r="G151" s="108"/>
      <c r="H151" s="108"/>
      <c r="I151" s="109"/>
      <c r="J151" s="110"/>
      <c r="K151" s="109"/>
      <c r="L151" s="110"/>
      <c r="M151" s="109"/>
      <c r="N151" s="110"/>
    </row>
    <row r="152" spans="6:14" ht="14.25" customHeight="1" x14ac:dyDescent="0.3">
      <c r="F152" s="108"/>
      <c r="G152" s="108"/>
      <c r="H152" s="108"/>
      <c r="I152" s="109"/>
      <c r="J152" s="110"/>
      <c r="K152" s="109"/>
      <c r="L152" s="110"/>
      <c r="M152" s="109"/>
      <c r="N152" s="110"/>
    </row>
    <row r="153" spans="6:14" ht="14.25" customHeight="1" x14ac:dyDescent="0.3">
      <c r="F153" s="108"/>
      <c r="G153" s="108"/>
      <c r="H153" s="108"/>
      <c r="I153" s="109"/>
      <c r="J153" s="110"/>
      <c r="K153" s="109"/>
      <c r="L153" s="110"/>
      <c r="M153" s="109"/>
      <c r="N153" s="110"/>
    </row>
    <row r="154" spans="6:14" ht="14.25" customHeight="1" x14ac:dyDescent="0.3">
      <c r="F154" s="108"/>
      <c r="G154" s="108"/>
      <c r="H154" s="108"/>
      <c r="I154" s="109"/>
      <c r="J154" s="110"/>
      <c r="K154" s="109"/>
      <c r="L154" s="110"/>
      <c r="M154" s="109"/>
      <c r="N154" s="110"/>
    </row>
    <row r="155" spans="6:14" ht="14.25" customHeight="1" x14ac:dyDescent="0.3">
      <c r="F155" s="108"/>
      <c r="G155" s="108"/>
      <c r="H155" s="108"/>
      <c r="I155" s="109"/>
      <c r="J155" s="110"/>
      <c r="K155" s="109"/>
      <c r="L155" s="110"/>
      <c r="M155" s="109"/>
      <c r="N155" s="110"/>
    </row>
    <row r="156" spans="6:14" ht="14.25" customHeight="1" x14ac:dyDescent="0.3">
      <c r="F156" s="108"/>
      <c r="G156" s="108"/>
      <c r="H156" s="108"/>
      <c r="I156" s="109"/>
      <c r="J156" s="110"/>
      <c r="K156" s="109"/>
      <c r="L156" s="110"/>
      <c r="M156" s="109"/>
      <c r="N156" s="110"/>
    </row>
    <row r="157" spans="6:14" ht="14.25" customHeight="1" x14ac:dyDescent="0.3">
      <c r="F157" s="108"/>
      <c r="G157" s="108"/>
      <c r="H157" s="108"/>
      <c r="I157" s="109"/>
      <c r="J157" s="110"/>
      <c r="K157" s="109"/>
      <c r="L157" s="110"/>
      <c r="M157" s="109"/>
      <c r="N157" s="110"/>
    </row>
    <row r="158" spans="6:14" ht="14.25" customHeight="1" x14ac:dyDescent="0.3">
      <c r="F158" s="108"/>
      <c r="G158" s="108"/>
      <c r="H158" s="108"/>
      <c r="I158" s="109"/>
      <c r="J158" s="110"/>
      <c r="K158" s="109"/>
      <c r="L158" s="110"/>
      <c r="M158" s="109"/>
      <c r="N158" s="110"/>
    </row>
    <row r="159" spans="6:14" ht="14.25" customHeight="1" x14ac:dyDescent="0.3">
      <c r="F159" s="108"/>
      <c r="G159" s="108"/>
      <c r="H159" s="108"/>
      <c r="I159" s="109"/>
      <c r="J159" s="110"/>
      <c r="K159" s="109"/>
      <c r="L159" s="110"/>
      <c r="M159" s="109"/>
      <c r="N159" s="110"/>
    </row>
    <row r="160" spans="6:14" ht="14.25" customHeight="1" x14ac:dyDescent="0.3">
      <c r="F160" s="108"/>
      <c r="G160" s="108"/>
      <c r="H160" s="108"/>
      <c r="I160" s="109"/>
      <c r="J160" s="110"/>
      <c r="K160" s="109"/>
      <c r="L160" s="110"/>
      <c r="M160" s="109"/>
      <c r="N160" s="110"/>
    </row>
    <row r="161" spans="6:14" ht="14.25" customHeight="1" x14ac:dyDescent="0.3">
      <c r="F161" s="108"/>
      <c r="G161" s="108"/>
      <c r="H161" s="108"/>
      <c r="I161" s="109"/>
      <c r="J161" s="110"/>
      <c r="K161" s="109"/>
      <c r="L161" s="110"/>
      <c r="M161" s="109"/>
      <c r="N161" s="110"/>
    </row>
    <row r="162" spans="6:14" ht="14.25" customHeight="1" x14ac:dyDescent="0.3">
      <c r="F162" s="108"/>
      <c r="G162" s="108"/>
      <c r="H162" s="108"/>
      <c r="I162" s="109"/>
      <c r="J162" s="110"/>
      <c r="K162" s="109"/>
      <c r="L162" s="110"/>
      <c r="M162" s="109"/>
      <c r="N162" s="110"/>
    </row>
    <row r="163" spans="6:14" ht="14.25" customHeight="1" x14ac:dyDescent="0.3">
      <c r="F163" s="108"/>
      <c r="G163" s="108"/>
      <c r="H163" s="108"/>
      <c r="I163" s="109"/>
      <c r="J163" s="110"/>
      <c r="K163" s="109"/>
      <c r="L163" s="110"/>
      <c r="M163" s="109"/>
      <c r="N163" s="110"/>
    </row>
    <row r="164" spans="6:14" ht="14.25" customHeight="1" x14ac:dyDescent="0.3">
      <c r="F164" s="108"/>
      <c r="G164" s="108"/>
      <c r="H164" s="108"/>
      <c r="I164" s="109"/>
      <c r="J164" s="110"/>
      <c r="K164" s="109"/>
      <c r="L164" s="110"/>
      <c r="M164" s="109"/>
      <c r="N164" s="110"/>
    </row>
    <row r="165" spans="6:14" ht="14.25" customHeight="1" x14ac:dyDescent="0.3">
      <c r="F165" s="108"/>
      <c r="G165" s="108"/>
      <c r="H165" s="108"/>
      <c r="I165" s="109"/>
      <c r="J165" s="110"/>
      <c r="K165" s="109"/>
      <c r="L165" s="110"/>
      <c r="M165" s="109"/>
      <c r="N165" s="110"/>
    </row>
    <row r="166" spans="6:14" ht="14.25" customHeight="1" x14ac:dyDescent="0.3">
      <c r="F166" s="108"/>
      <c r="G166" s="108"/>
      <c r="H166" s="108"/>
      <c r="I166" s="109"/>
      <c r="J166" s="110"/>
      <c r="K166" s="109"/>
      <c r="L166" s="110"/>
      <c r="M166" s="109"/>
      <c r="N166" s="110"/>
    </row>
    <row r="167" spans="6:14" ht="14.25" customHeight="1" x14ac:dyDescent="0.3">
      <c r="F167" s="108"/>
      <c r="G167" s="108"/>
      <c r="H167" s="108"/>
      <c r="I167" s="109"/>
      <c r="J167" s="110"/>
      <c r="K167" s="109"/>
      <c r="L167" s="110"/>
      <c r="M167" s="109"/>
      <c r="N167" s="110"/>
    </row>
    <row r="168" spans="6:14" ht="14.25" customHeight="1" x14ac:dyDescent="0.3">
      <c r="F168" s="108"/>
      <c r="G168" s="108"/>
      <c r="H168" s="108"/>
      <c r="I168" s="109"/>
      <c r="J168" s="110"/>
      <c r="K168" s="109"/>
      <c r="L168" s="110"/>
      <c r="M168" s="109"/>
      <c r="N168" s="110"/>
    </row>
    <row r="169" spans="6:14" ht="14.25" customHeight="1" x14ac:dyDescent="0.3">
      <c r="F169" s="108"/>
      <c r="G169" s="108"/>
      <c r="H169" s="108"/>
      <c r="I169" s="109"/>
      <c r="J169" s="110"/>
      <c r="K169" s="109"/>
      <c r="L169" s="110"/>
      <c r="M169" s="109"/>
      <c r="N169" s="110"/>
    </row>
    <row r="170" spans="6:14" ht="14.25" customHeight="1" x14ac:dyDescent="0.3">
      <c r="F170" s="108"/>
      <c r="G170" s="108"/>
      <c r="H170" s="108"/>
      <c r="I170" s="109"/>
      <c r="J170" s="110"/>
      <c r="K170" s="109"/>
      <c r="L170" s="110"/>
      <c r="M170" s="109"/>
      <c r="N170" s="110"/>
    </row>
    <row r="171" spans="6:14" ht="14.25" customHeight="1" x14ac:dyDescent="0.3">
      <c r="F171" s="108"/>
      <c r="G171" s="108"/>
      <c r="H171" s="108"/>
      <c r="I171" s="109"/>
      <c r="J171" s="110"/>
      <c r="K171" s="109"/>
      <c r="L171" s="110"/>
      <c r="M171" s="109"/>
      <c r="N171" s="110"/>
    </row>
    <row r="172" spans="6:14" ht="14.25" customHeight="1" x14ac:dyDescent="0.3">
      <c r="F172" s="108"/>
      <c r="G172" s="108"/>
      <c r="H172" s="108"/>
      <c r="I172" s="109"/>
      <c r="J172" s="110"/>
      <c r="K172" s="109"/>
      <c r="L172" s="110"/>
      <c r="M172" s="109"/>
      <c r="N172" s="110"/>
    </row>
    <row r="173" spans="6:14" ht="14.25" customHeight="1" x14ac:dyDescent="0.3">
      <c r="F173" s="108"/>
      <c r="G173" s="108"/>
      <c r="H173" s="108"/>
      <c r="I173" s="109"/>
      <c r="J173" s="110"/>
      <c r="K173" s="109"/>
      <c r="L173" s="110"/>
      <c r="M173" s="109"/>
      <c r="N173" s="110"/>
    </row>
    <row r="174" spans="6:14" ht="14.25" customHeight="1" x14ac:dyDescent="0.3">
      <c r="F174" s="108"/>
      <c r="G174" s="108"/>
      <c r="H174" s="108"/>
      <c r="I174" s="109"/>
      <c r="J174" s="110"/>
      <c r="K174" s="109"/>
      <c r="L174" s="110"/>
      <c r="M174" s="109"/>
      <c r="N174" s="110"/>
    </row>
    <row r="175" spans="6:14" ht="14.25" customHeight="1" x14ac:dyDescent="0.3">
      <c r="F175" s="108"/>
      <c r="G175" s="108"/>
      <c r="H175" s="108"/>
      <c r="I175" s="109"/>
      <c r="J175" s="110"/>
      <c r="K175" s="109"/>
      <c r="L175" s="110"/>
      <c r="M175" s="109"/>
      <c r="N175" s="110"/>
    </row>
    <row r="176" spans="6:14" ht="14.25" customHeight="1" x14ac:dyDescent="0.3">
      <c r="F176" s="108"/>
      <c r="G176" s="108"/>
      <c r="H176" s="108"/>
      <c r="I176" s="109"/>
      <c r="J176" s="110"/>
      <c r="K176" s="109"/>
      <c r="L176" s="110"/>
      <c r="M176" s="109"/>
      <c r="N176" s="110"/>
    </row>
    <row r="177" spans="6:14" ht="14.25" customHeight="1" x14ac:dyDescent="0.3">
      <c r="F177" s="108"/>
      <c r="G177" s="108"/>
      <c r="H177" s="108"/>
      <c r="I177" s="109"/>
      <c r="J177" s="110"/>
      <c r="K177" s="109"/>
      <c r="L177" s="110"/>
      <c r="M177" s="109"/>
      <c r="N177" s="110"/>
    </row>
    <row r="178" spans="6:14" ht="14.25" customHeight="1" x14ac:dyDescent="0.3">
      <c r="F178" s="108"/>
      <c r="G178" s="108"/>
      <c r="H178" s="108"/>
      <c r="I178" s="109"/>
      <c r="J178" s="110"/>
      <c r="K178" s="109"/>
      <c r="L178" s="110"/>
      <c r="M178" s="109"/>
      <c r="N178" s="110"/>
    </row>
    <row r="179" spans="6:14" ht="14.25" customHeight="1" x14ac:dyDescent="0.3">
      <c r="F179" s="108"/>
      <c r="G179" s="108"/>
      <c r="H179" s="108"/>
      <c r="I179" s="109"/>
      <c r="J179" s="110"/>
      <c r="K179" s="109"/>
      <c r="L179" s="110"/>
      <c r="M179" s="109"/>
      <c r="N179" s="110"/>
    </row>
    <row r="180" spans="6:14" ht="14.25" customHeight="1" x14ac:dyDescent="0.3">
      <c r="F180" s="108"/>
      <c r="G180" s="108"/>
      <c r="H180" s="108"/>
      <c r="I180" s="109"/>
      <c r="J180" s="110"/>
      <c r="K180" s="109"/>
      <c r="L180" s="110"/>
      <c r="M180" s="109"/>
      <c r="N180" s="110"/>
    </row>
    <row r="181" spans="6:14" ht="14.25" customHeight="1" x14ac:dyDescent="0.3">
      <c r="F181" s="108"/>
      <c r="G181" s="108"/>
      <c r="H181" s="108"/>
      <c r="I181" s="109"/>
      <c r="J181" s="110"/>
      <c r="K181" s="109"/>
      <c r="L181" s="110"/>
      <c r="M181" s="109"/>
      <c r="N181" s="110"/>
    </row>
    <row r="182" spans="6:14" ht="14.25" customHeight="1" x14ac:dyDescent="0.3">
      <c r="F182" s="108"/>
      <c r="G182" s="108"/>
      <c r="H182" s="108"/>
      <c r="I182" s="109"/>
      <c r="J182" s="110"/>
      <c r="K182" s="109"/>
      <c r="L182" s="110"/>
      <c r="M182" s="109"/>
      <c r="N182" s="110"/>
    </row>
    <row r="183" spans="6:14" ht="14.25" customHeight="1" x14ac:dyDescent="0.3">
      <c r="F183" s="108"/>
      <c r="G183" s="108"/>
      <c r="H183" s="108"/>
      <c r="I183" s="109"/>
      <c r="J183" s="110"/>
      <c r="K183" s="109"/>
      <c r="L183" s="110"/>
      <c r="M183" s="109"/>
      <c r="N183" s="110"/>
    </row>
    <row r="184" spans="6:14" ht="14.25" customHeight="1" x14ac:dyDescent="0.3">
      <c r="F184" s="108"/>
      <c r="G184" s="108"/>
      <c r="H184" s="108"/>
      <c r="I184" s="109"/>
      <c r="J184" s="110"/>
      <c r="K184" s="109"/>
      <c r="L184" s="110"/>
      <c r="M184" s="109"/>
      <c r="N184" s="110"/>
    </row>
    <row r="185" spans="6:14" ht="14.25" customHeight="1" x14ac:dyDescent="0.3">
      <c r="F185" s="108"/>
      <c r="G185" s="108"/>
      <c r="H185" s="108"/>
      <c r="I185" s="109"/>
      <c r="J185" s="110"/>
      <c r="K185" s="109"/>
      <c r="L185" s="110"/>
      <c r="M185" s="109"/>
      <c r="N185" s="110"/>
    </row>
    <row r="186" spans="6:14" ht="14.25" customHeight="1" x14ac:dyDescent="0.3">
      <c r="F186" s="108"/>
      <c r="G186" s="108"/>
      <c r="H186" s="108"/>
      <c r="I186" s="109"/>
      <c r="J186" s="110"/>
      <c r="K186" s="109"/>
      <c r="L186" s="110"/>
      <c r="M186" s="109"/>
      <c r="N186" s="110"/>
    </row>
    <row r="187" spans="6:14" ht="14.25" customHeight="1" x14ac:dyDescent="0.3">
      <c r="F187" s="108"/>
      <c r="G187" s="108"/>
      <c r="H187" s="108"/>
      <c r="I187" s="109"/>
      <c r="J187" s="110"/>
      <c r="K187" s="109"/>
      <c r="L187" s="110"/>
      <c r="M187" s="109"/>
      <c r="N187" s="110"/>
    </row>
    <row r="188" spans="6:14" ht="14.25" customHeight="1" x14ac:dyDescent="0.3">
      <c r="F188" s="108"/>
      <c r="G188" s="108"/>
      <c r="H188" s="108"/>
      <c r="I188" s="109"/>
      <c r="J188" s="110"/>
      <c r="K188" s="109"/>
      <c r="L188" s="110"/>
      <c r="M188" s="109"/>
      <c r="N188" s="110"/>
    </row>
    <row r="189" spans="6:14" ht="14.25" customHeight="1" x14ac:dyDescent="0.3">
      <c r="F189" s="108"/>
      <c r="G189" s="108"/>
      <c r="H189" s="108"/>
      <c r="I189" s="109"/>
      <c r="J189" s="110"/>
      <c r="K189" s="109"/>
      <c r="L189" s="110"/>
      <c r="M189" s="109"/>
      <c r="N189" s="110"/>
    </row>
    <row r="190" spans="6:14" ht="14.25" customHeight="1" x14ac:dyDescent="0.3">
      <c r="F190" s="108"/>
      <c r="G190" s="108"/>
      <c r="H190" s="108"/>
      <c r="I190" s="109"/>
      <c r="J190" s="110"/>
      <c r="K190" s="109"/>
      <c r="L190" s="110"/>
      <c r="M190" s="109"/>
      <c r="N190" s="110"/>
    </row>
    <row r="191" spans="6:14" ht="14.25" customHeight="1" x14ac:dyDescent="0.3">
      <c r="F191" s="108"/>
      <c r="G191" s="108"/>
      <c r="H191" s="108"/>
      <c r="I191" s="109"/>
      <c r="J191" s="110"/>
      <c r="K191" s="109"/>
      <c r="L191" s="110"/>
      <c r="M191" s="109"/>
      <c r="N191" s="110"/>
    </row>
    <row r="192" spans="6:14" ht="14.25" customHeight="1" x14ac:dyDescent="0.3">
      <c r="F192" s="108"/>
      <c r="G192" s="108"/>
      <c r="H192" s="108"/>
      <c r="I192" s="109"/>
      <c r="J192" s="110"/>
      <c r="K192" s="109"/>
      <c r="L192" s="110"/>
      <c r="M192" s="109"/>
      <c r="N192" s="110"/>
    </row>
    <row r="193" spans="6:14" ht="14.25" customHeight="1" x14ac:dyDescent="0.3">
      <c r="F193" s="108"/>
      <c r="G193" s="108"/>
      <c r="H193" s="108"/>
      <c r="I193" s="109"/>
      <c r="J193" s="110"/>
      <c r="K193" s="109"/>
      <c r="L193" s="110"/>
      <c r="M193" s="109"/>
      <c r="N193" s="110"/>
    </row>
    <row r="194" spans="6:14" ht="14.25" customHeight="1" x14ac:dyDescent="0.3">
      <c r="F194" s="108"/>
      <c r="G194" s="108"/>
      <c r="H194" s="108"/>
      <c r="I194" s="109"/>
      <c r="J194" s="110"/>
      <c r="K194" s="109"/>
      <c r="L194" s="110"/>
      <c r="M194" s="109"/>
      <c r="N194" s="110"/>
    </row>
    <row r="195" spans="6:14" ht="14.25" customHeight="1" x14ac:dyDescent="0.3">
      <c r="F195" s="108"/>
      <c r="G195" s="108"/>
      <c r="H195" s="108"/>
      <c r="I195" s="109"/>
      <c r="J195" s="110"/>
      <c r="K195" s="109"/>
      <c r="L195" s="110"/>
      <c r="M195" s="109"/>
      <c r="N195" s="110"/>
    </row>
    <row r="196" spans="6:14" ht="14.25" customHeight="1" x14ac:dyDescent="0.3">
      <c r="F196" s="108"/>
      <c r="G196" s="108"/>
      <c r="H196" s="108"/>
      <c r="I196" s="109"/>
      <c r="J196" s="110"/>
      <c r="K196" s="109"/>
      <c r="L196" s="110"/>
      <c r="M196" s="109"/>
      <c r="N196" s="110"/>
    </row>
    <row r="197" spans="6:14" ht="14.25" customHeight="1" x14ac:dyDescent="0.3">
      <c r="F197" s="108"/>
      <c r="G197" s="108"/>
      <c r="H197" s="108"/>
      <c r="I197" s="109"/>
      <c r="J197" s="110"/>
      <c r="K197" s="109"/>
      <c r="L197" s="110"/>
      <c r="M197" s="109"/>
      <c r="N197" s="110"/>
    </row>
    <row r="198" spans="6:14" ht="14.25" customHeight="1" x14ac:dyDescent="0.3">
      <c r="F198" s="108"/>
      <c r="G198" s="108"/>
      <c r="H198" s="108"/>
      <c r="I198" s="109"/>
      <c r="J198" s="110"/>
      <c r="K198" s="109"/>
      <c r="L198" s="110"/>
      <c r="M198" s="109"/>
      <c r="N198" s="110"/>
    </row>
    <row r="199" spans="6:14" ht="14.25" customHeight="1" x14ac:dyDescent="0.3">
      <c r="F199" s="108"/>
      <c r="G199" s="108"/>
      <c r="H199" s="108"/>
      <c r="I199" s="109"/>
      <c r="J199" s="110"/>
      <c r="K199" s="109"/>
      <c r="L199" s="110"/>
      <c r="M199" s="109"/>
      <c r="N199" s="110"/>
    </row>
    <row r="200" spans="6:14" ht="14.25" customHeight="1" x14ac:dyDescent="0.3">
      <c r="F200" s="108"/>
      <c r="G200" s="108"/>
      <c r="H200" s="108"/>
      <c r="I200" s="109"/>
      <c r="J200" s="110"/>
      <c r="K200" s="109"/>
      <c r="L200" s="110"/>
      <c r="M200" s="109"/>
      <c r="N200" s="110"/>
    </row>
    <row r="201" spans="6:14" ht="14.25" customHeight="1" x14ac:dyDescent="0.3">
      <c r="F201" s="108"/>
      <c r="G201" s="108"/>
      <c r="H201" s="108"/>
      <c r="I201" s="109"/>
      <c r="J201" s="110"/>
      <c r="K201" s="109"/>
      <c r="L201" s="110"/>
      <c r="M201" s="109"/>
      <c r="N201" s="110"/>
    </row>
    <row r="202" spans="6:14" ht="14.25" customHeight="1" x14ac:dyDescent="0.3">
      <c r="F202" s="108"/>
      <c r="G202" s="108"/>
      <c r="H202" s="108"/>
      <c r="I202" s="109"/>
      <c r="J202" s="110"/>
      <c r="K202" s="109"/>
      <c r="L202" s="110"/>
      <c r="M202" s="109"/>
      <c r="N202" s="110"/>
    </row>
    <row r="203" spans="6:14" ht="14.25" customHeight="1" x14ac:dyDescent="0.3">
      <c r="F203" s="108"/>
      <c r="G203" s="108"/>
      <c r="H203" s="108"/>
      <c r="I203" s="109"/>
      <c r="J203" s="110"/>
      <c r="K203" s="109"/>
      <c r="L203" s="110"/>
      <c r="M203" s="109"/>
      <c r="N203" s="110"/>
    </row>
    <row r="204" spans="6:14" ht="14.25" customHeight="1" x14ac:dyDescent="0.3">
      <c r="F204" s="108"/>
      <c r="G204" s="108"/>
      <c r="H204" s="108"/>
      <c r="I204" s="109"/>
      <c r="J204" s="110"/>
      <c r="K204" s="109"/>
      <c r="L204" s="110"/>
      <c r="M204" s="109"/>
      <c r="N204" s="110"/>
    </row>
    <row r="205" spans="6:14" ht="14.25" customHeight="1" x14ac:dyDescent="0.3">
      <c r="F205" s="108"/>
      <c r="G205" s="108"/>
      <c r="H205" s="108"/>
      <c r="I205" s="109"/>
      <c r="J205" s="110"/>
      <c r="K205" s="109"/>
      <c r="L205" s="110"/>
      <c r="M205" s="109"/>
      <c r="N205" s="110"/>
    </row>
    <row r="206" spans="6:14" ht="14.25" customHeight="1" x14ac:dyDescent="0.3">
      <c r="F206" s="108"/>
      <c r="G206" s="108"/>
      <c r="H206" s="108"/>
      <c r="I206" s="109"/>
      <c r="J206" s="110"/>
      <c r="K206" s="109"/>
      <c r="L206" s="110"/>
      <c r="M206" s="109"/>
      <c r="N206" s="110"/>
    </row>
    <row r="207" spans="6:14" ht="14.25" customHeight="1" x14ac:dyDescent="0.3">
      <c r="F207" s="108"/>
      <c r="G207" s="108"/>
      <c r="H207" s="108"/>
      <c r="I207" s="109"/>
      <c r="J207" s="110"/>
      <c r="K207" s="109"/>
      <c r="L207" s="110"/>
      <c r="M207" s="109"/>
      <c r="N207" s="110"/>
    </row>
    <row r="208" spans="6:14" ht="14.25" customHeight="1" x14ac:dyDescent="0.3">
      <c r="F208" s="108"/>
      <c r="G208" s="108"/>
      <c r="H208" s="108"/>
      <c r="I208" s="109"/>
      <c r="J208" s="110"/>
      <c r="K208" s="109"/>
      <c r="L208" s="110"/>
      <c r="M208" s="109"/>
      <c r="N208" s="110"/>
    </row>
    <row r="209" spans="6:14" ht="14.25" customHeight="1" x14ac:dyDescent="0.3">
      <c r="F209" s="108"/>
      <c r="G209" s="108"/>
      <c r="H209" s="108"/>
      <c r="I209" s="109"/>
      <c r="J209" s="110"/>
      <c r="K209" s="109"/>
      <c r="L209" s="110"/>
      <c r="M209" s="109"/>
      <c r="N209" s="110"/>
    </row>
    <row r="210" spans="6:14" ht="14.25" customHeight="1" x14ac:dyDescent="0.3">
      <c r="F210" s="108"/>
      <c r="G210" s="108"/>
      <c r="H210" s="108"/>
      <c r="I210" s="109"/>
      <c r="J210" s="110"/>
      <c r="K210" s="109"/>
      <c r="L210" s="110"/>
      <c r="M210" s="109"/>
      <c r="N210" s="110"/>
    </row>
    <row r="211" spans="6:14" ht="14.25" customHeight="1" x14ac:dyDescent="0.3">
      <c r="F211" s="108"/>
      <c r="G211" s="108"/>
      <c r="H211" s="108"/>
      <c r="I211" s="109"/>
      <c r="J211" s="110"/>
      <c r="K211" s="109"/>
      <c r="L211" s="110"/>
      <c r="M211" s="109"/>
      <c r="N211" s="110"/>
    </row>
    <row r="212" spans="6:14" ht="14.25" customHeight="1" x14ac:dyDescent="0.3">
      <c r="F212" s="108"/>
      <c r="G212" s="108"/>
      <c r="H212" s="108"/>
      <c r="I212" s="109"/>
      <c r="J212" s="110"/>
      <c r="K212" s="109"/>
      <c r="L212" s="110"/>
      <c r="M212" s="109"/>
      <c r="N212" s="110"/>
    </row>
    <row r="213" spans="6:14" ht="14.25" customHeight="1" x14ac:dyDescent="0.3">
      <c r="F213" s="108"/>
      <c r="G213" s="108"/>
      <c r="H213" s="108"/>
      <c r="I213" s="109"/>
      <c r="J213" s="110"/>
      <c r="K213" s="109"/>
      <c r="L213" s="110"/>
      <c r="M213" s="109"/>
      <c r="N213" s="110"/>
    </row>
    <row r="214" spans="6:14" ht="14.25" customHeight="1" x14ac:dyDescent="0.3">
      <c r="F214" s="108"/>
      <c r="G214" s="108"/>
      <c r="H214" s="108"/>
      <c r="I214" s="109"/>
      <c r="J214" s="110"/>
      <c r="K214" s="109"/>
      <c r="L214" s="110"/>
      <c r="M214" s="109"/>
      <c r="N214" s="110"/>
    </row>
    <row r="215" spans="6:14" ht="14.25" customHeight="1" x14ac:dyDescent="0.3">
      <c r="F215" s="108"/>
      <c r="G215" s="108"/>
      <c r="H215" s="108"/>
      <c r="I215" s="109"/>
      <c r="J215" s="110"/>
      <c r="K215" s="109"/>
      <c r="L215" s="110"/>
      <c r="M215" s="109"/>
      <c r="N215" s="110"/>
    </row>
    <row r="216" spans="6:14" ht="14.25" customHeight="1" x14ac:dyDescent="0.3">
      <c r="F216" s="108"/>
      <c r="G216" s="108"/>
      <c r="H216" s="108"/>
      <c r="I216" s="109"/>
      <c r="J216" s="110"/>
      <c r="K216" s="109"/>
      <c r="L216" s="110"/>
      <c r="M216" s="109"/>
      <c r="N216" s="110"/>
    </row>
    <row r="217" spans="6:14" ht="14.25" customHeight="1" x14ac:dyDescent="0.3">
      <c r="F217" s="108"/>
      <c r="G217" s="108"/>
      <c r="H217" s="108"/>
      <c r="I217" s="109"/>
      <c r="J217" s="110"/>
      <c r="K217" s="109"/>
      <c r="L217" s="110"/>
      <c r="M217" s="109"/>
      <c r="N217" s="110"/>
    </row>
    <row r="218" spans="6:14" ht="14.25" customHeight="1" x14ac:dyDescent="0.3">
      <c r="F218" s="108"/>
      <c r="G218" s="108"/>
      <c r="H218" s="108"/>
      <c r="I218" s="109"/>
      <c r="J218" s="110"/>
      <c r="K218" s="109"/>
      <c r="L218" s="110"/>
      <c r="M218" s="109"/>
      <c r="N218" s="110"/>
    </row>
    <row r="219" spans="6:14" ht="14.25" customHeight="1" x14ac:dyDescent="0.3">
      <c r="F219" s="108"/>
      <c r="G219" s="108"/>
      <c r="H219" s="108"/>
      <c r="I219" s="109"/>
      <c r="J219" s="110"/>
      <c r="K219" s="109"/>
      <c r="L219" s="110"/>
      <c r="M219" s="109"/>
      <c r="N219" s="110"/>
    </row>
    <row r="220" spans="6:14" ht="14.25" customHeight="1" x14ac:dyDescent="0.3">
      <c r="F220" s="108"/>
      <c r="G220" s="108"/>
      <c r="H220" s="108"/>
      <c r="I220" s="109"/>
      <c r="J220" s="110"/>
      <c r="K220" s="109"/>
      <c r="L220" s="110"/>
      <c r="M220" s="109"/>
      <c r="N220" s="110"/>
    </row>
    <row r="221" spans="6:14" ht="14.25" customHeight="1" x14ac:dyDescent="0.3">
      <c r="F221" s="108"/>
      <c r="G221" s="108"/>
      <c r="H221" s="108"/>
      <c r="I221" s="109"/>
      <c r="J221" s="110"/>
      <c r="K221" s="109"/>
      <c r="L221" s="110"/>
      <c r="M221" s="109"/>
      <c r="N221" s="110"/>
    </row>
    <row r="222" spans="6:14" ht="14.25" customHeight="1" x14ac:dyDescent="0.3">
      <c r="F222" s="108"/>
      <c r="G222" s="108"/>
      <c r="H222" s="108"/>
      <c r="I222" s="109"/>
      <c r="J222" s="110"/>
      <c r="K222" s="109"/>
      <c r="L222" s="110"/>
      <c r="M222" s="109"/>
      <c r="N222" s="110"/>
    </row>
    <row r="223" spans="6:14" ht="14.25" customHeight="1" x14ac:dyDescent="0.3">
      <c r="F223" s="108"/>
      <c r="G223" s="108"/>
      <c r="H223" s="108"/>
      <c r="I223" s="109"/>
      <c r="J223" s="110"/>
      <c r="K223" s="109"/>
      <c r="L223" s="110"/>
      <c r="M223" s="109"/>
      <c r="N223" s="110"/>
    </row>
    <row r="224" spans="6:14" ht="14.25" customHeight="1" x14ac:dyDescent="0.3">
      <c r="F224" s="108"/>
      <c r="G224" s="108"/>
      <c r="H224" s="108"/>
      <c r="I224" s="109"/>
      <c r="J224" s="110"/>
      <c r="K224" s="109"/>
      <c r="L224" s="110"/>
      <c r="M224" s="109"/>
      <c r="N224" s="110"/>
    </row>
    <row r="225" spans="6:14" ht="14.25" customHeight="1" x14ac:dyDescent="0.3">
      <c r="F225" s="108"/>
      <c r="G225" s="108"/>
      <c r="H225" s="108"/>
      <c r="I225" s="109"/>
      <c r="J225" s="110"/>
      <c r="K225" s="109"/>
      <c r="L225" s="110"/>
      <c r="M225" s="109"/>
      <c r="N225" s="110"/>
    </row>
    <row r="226" spans="6:14" ht="14.25" customHeight="1" x14ac:dyDescent="0.3">
      <c r="F226" s="108"/>
      <c r="G226" s="108"/>
      <c r="H226" s="108"/>
      <c r="I226" s="109"/>
      <c r="J226" s="110"/>
      <c r="K226" s="109"/>
      <c r="L226" s="110"/>
      <c r="M226" s="109"/>
      <c r="N226" s="110"/>
    </row>
    <row r="227" spans="6:14" ht="14.25" customHeight="1" x14ac:dyDescent="0.3">
      <c r="F227" s="108"/>
      <c r="G227" s="108"/>
      <c r="H227" s="108"/>
      <c r="I227" s="109"/>
      <c r="J227" s="110"/>
      <c r="K227" s="109"/>
      <c r="L227" s="110"/>
      <c r="M227" s="109"/>
      <c r="N227" s="110"/>
    </row>
    <row r="228" spans="6:14" ht="14.25" customHeight="1" x14ac:dyDescent="0.3">
      <c r="F228" s="108"/>
      <c r="G228" s="108"/>
      <c r="H228" s="108"/>
      <c r="I228" s="109"/>
      <c r="J228" s="110"/>
      <c r="K228" s="109"/>
      <c r="L228" s="110"/>
      <c r="M228" s="109"/>
      <c r="N228" s="110"/>
    </row>
    <row r="229" spans="6:14" ht="14.25" customHeight="1" x14ac:dyDescent="0.3">
      <c r="F229" s="108"/>
      <c r="G229" s="108"/>
      <c r="H229" s="108"/>
      <c r="I229" s="109"/>
      <c r="J229" s="110"/>
      <c r="K229" s="109"/>
      <c r="L229" s="110"/>
      <c r="M229" s="109"/>
      <c r="N229" s="110"/>
    </row>
    <row r="230" spans="6:14" ht="14.25" customHeight="1" x14ac:dyDescent="0.3">
      <c r="F230" s="108"/>
      <c r="G230" s="108"/>
      <c r="H230" s="108"/>
      <c r="I230" s="109"/>
      <c r="J230" s="110"/>
      <c r="K230" s="109"/>
      <c r="L230" s="110"/>
      <c r="M230" s="109"/>
      <c r="N230" s="110"/>
    </row>
    <row r="231" spans="6:14" ht="14.25" customHeight="1" x14ac:dyDescent="0.3">
      <c r="F231" s="108"/>
      <c r="G231" s="108"/>
      <c r="H231" s="108"/>
      <c r="I231" s="109"/>
      <c r="J231" s="110"/>
      <c r="K231" s="109"/>
      <c r="L231" s="110"/>
      <c r="M231" s="109"/>
      <c r="N231" s="110"/>
    </row>
    <row r="232" spans="6:14" ht="14.25" customHeight="1" x14ac:dyDescent="0.3">
      <c r="F232" s="108"/>
      <c r="G232" s="108"/>
      <c r="H232" s="108"/>
      <c r="I232" s="109"/>
      <c r="J232" s="110"/>
      <c r="K232" s="109"/>
      <c r="L232" s="110"/>
      <c r="M232" s="109"/>
      <c r="N232" s="110"/>
    </row>
    <row r="233" spans="6:14" ht="14.25" customHeight="1" x14ac:dyDescent="0.3">
      <c r="F233" s="108"/>
      <c r="G233" s="108"/>
      <c r="H233" s="108"/>
      <c r="I233" s="109"/>
      <c r="J233" s="110"/>
      <c r="K233" s="109"/>
      <c r="L233" s="110"/>
      <c r="M233" s="109"/>
      <c r="N233" s="110"/>
    </row>
    <row r="234" spans="6:14" ht="14.25" customHeight="1" x14ac:dyDescent="0.3">
      <c r="F234" s="108"/>
      <c r="G234" s="108"/>
      <c r="H234" s="108"/>
      <c r="I234" s="109"/>
      <c r="J234" s="110"/>
      <c r="K234" s="109"/>
      <c r="L234" s="110"/>
      <c r="M234" s="109"/>
      <c r="N234" s="110"/>
    </row>
    <row r="235" spans="6:14" ht="14.25" customHeight="1" x14ac:dyDescent="0.3">
      <c r="F235" s="108"/>
      <c r="G235" s="108"/>
      <c r="H235" s="108"/>
      <c r="I235" s="109"/>
      <c r="J235" s="110"/>
      <c r="K235" s="109"/>
      <c r="L235" s="110"/>
      <c r="M235" s="109"/>
      <c r="N235" s="110"/>
    </row>
    <row r="236" spans="6:14" ht="14.25" customHeight="1" x14ac:dyDescent="0.3">
      <c r="F236" s="108"/>
      <c r="G236" s="108"/>
      <c r="H236" s="108"/>
      <c r="I236" s="109"/>
      <c r="J236" s="110"/>
      <c r="K236" s="109"/>
      <c r="L236" s="110"/>
      <c r="M236" s="109"/>
      <c r="N236" s="110"/>
    </row>
    <row r="237" spans="6:14" ht="14.25" customHeight="1" x14ac:dyDescent="0.3">
      <c r="F237" s="108"/>
      <c r="G237" s="108"/>
      <c r="H237" s="108"/>
      <c r="I237" s="109"/>
      <c r="J237" s="110"/>
      <c r="K237" s="109"/>
      <c r="L237" s="110"/>
      <c r="M237" s="109"/>
      <c r="N237" s="110"/>
    </row>
    <row r="238" spans="6:14" ht="14.25" customHeight="1" x14ac:dyDescent="0.3">
      <c r="F238" s="108"/>
      <c r="G238" s="108"/>
      <c r="H238" s="108"/>
      <c r="I238" s="109"/>
      <c r="J238" s="110"/>
      <c r="K238" s="109"/>
      <c r="L238" s="110"/>
      <c r="M238" s="109"/>
      <c r="N238" s="110"/>
    </row>
    <row r="239" spans="6:14" ht="14.25" customHeight="1" x14ac:dyDescent="0.3">
      <c r="F239" s="108"/>
      <c r="G239" s="108"/>
      <c r="H239" s="108"/>
      <c r="I239" s="109"/>
      <c r="J239" s="110"/>
      <c r="K239" s="109"/>
      <c r="L239" s="110"/>
      <c r="M239" s="109"/>
      <c r="N239" s="110"/>
    </row>
    <row r="240" spans="6:14" ht="14.25" customHeight="1" x14ac:dyDescent="0.3">
      <c r="F240" s="108"/>
      <c r="G240" s="108"/>
      <c r="H240" s="108"/>
      <c r="I240" s="109"/>
      <c r="J240" s="110"/>
      <c r="K240" s="109"/>
      <c r="L240" s="110"/>
      <c r="M240" s="109"/>
      <c r="N240" s="110"/>
    </row>
    <row r="241" spans="6:14" ht="14.25" customHeight="1" x14ac:dyDescent="0.3">
      <c r="F241" s="108"/>
      <c r="G241" s="108"/>
      <c r="H241" s="108"/>
      <c r="I241" s="109"/>
      <c r="J241" s="110"/>
      <c r="K241" s="109"/>
      <c r="L241" s="110"/>
      <c r="M241" s="109"/>
      <c r="N241" s="110"/>
    </row>
    <row r="242" spans="6:14" ht="14.25" customHeight="1" x14ac:dyDescent="0.3">
      <c r="F242" s="108"/>
      <c r="G242" s="108"/>
      <c r="H242" s="108"/>
      <c r="I242" s="109"/>
      <c r="J242" s="110"/>
      <c r="K242" s="109"/>
      <c r="L242" s="110"/>
      <c r="M242" s="109"/>
      <c r="N242" s="110"/>
    </row>
    <row r="243" spans="6:14" ht="14.25" customHeight="1" x14ac:dyDescent="0.3">
      <c r="F243" s="108"/>
      <c r="G243" s="108"/>
      <c r="H243" s="108"/>
      <c r="I243" s="109"/>
      <c r="J243" s="110"/>
      <c r="K243" s="109"/>
      <c r="L243" s="110"/>
      <c r="M243" s="109"/>
      <c r="N243" s="110"/>
    </row>
    <row r="244" spans="6:14" ht="14.25" customHeight="1" x14ac:dyDescent="0.3">
      <c r="F244" s="108"/>
      <c r="G244" s="108"/>
      <c r="H244" s="108"/>
      <c r="I244" s="109"/>
      <c r="J244" s="110"/>
      <c r="K244" s="109"/>
      <c r="L244" s="110"/>
      <c r="M244" s="109"/>
      <c r="N244" s="110"/>
    </row>
    <row r="245" spans="6:14" ht="14.25" customHeight="1" x14ac:dyDescent="0.3">
      <c r="F245" s="108"/>
      <c r="G245" s="108"/>
      <c r="H245" s="108"/>
      <c r="I245" s="109"/>
      <c r="J245" s="110"/>
      <c r="K245" s="109"/>
      <c r="L245" s="110"/>
      <c r="M245" s="109"/>
      <c r="N245" s="110"/>
    </row>
    <row r="246" spans="6:14" ht="14.25" customHeight="1" x14ac:dyDescent="0.3">
      <c r="F246" s="108"/>
      <c r="G246" s="108"/>
      <c r="H246" s="108"/>
      <c r="I246" s="109"/>
      <c r="J246" s="110"/>
      <c r="K246" s="109"/>
      <c r="L246" s="110"/>
      <c r="M246" s="109"/>
      <c r="N246" s="110"/>
    </row>
    <row r="247" spans="6:14" ht="14.25" customHeight="1" x14ac:dyDescent="0.3">
      <c r="F247" s="108"/>
      <c r="G247" s="108"/>
      <c r="H247" s="108"/>
      <c r="I247" s="109"/>
      <c r="J247" s="110"/>
      <c r="K247" s="109"/>
      <c r="L247" s="110"/>
      <c r="M247" s="109"/>
      <c r="N247" s="110"/>
    </row>
    <row r="248" spans="6:14" ht="14.25" customHeight="1" x14ac:dyDescent="0.3">
      <c r="F248" s="108"/>
      <c r="G248" s="108"/>
      <c r="H248" s="108"/>
      <c r="I248" s="109"/>
      <c r="J248" s="110"/>
      <c r="K248" s="109"/>
      <c r="L248" s="110"/>
      <c r="M248" s="109"/>
      <c r="N248" s="110"/>
    </row>
    <row r="249" spans="6:14" ht="14.25" customHeight="1" x14ac:dyDescent="0.3">
      <c r="F249" s="108"/>
      <c r="G249" s="108"/>
      <c r="H249" s="108"/>
      <c r="I249" s="109"/>
      <c r="J249" s="110"/>
      <c r="K249" s="109"/>
      <c r="L249" s="110"/>
      <c r="M249" s="109"/>
      <c r="N249" s="110"/>
    </row>
    <row r="250" spans="6:14" ht="14.25" customHeight="1" x14ac:dyDescent="0.3">
      <c r="F250" s="108"/>
      <c r="G250" s="108"/>
      <c r="H250" s="108"/>
      <c r="I250" s="109"/>
      <c r="J250" s="110"/>
      <c r="K250" s="109"/>
      <c r="L250" s="110"/>
      <c r="M250" s="109"/>
      <c r="N250" s="110"/>
    </row>
    <row r="251" spans="6:14" ht="14.25" customHeight="1" x14ac:dyDescent="0.3">
      <c r="F251" s="108"/>
      <c r="G251" s="108"/>
      <c r="H251" s="108"/>
      <c r="I251" s="109"/>
      <c r="J251" s="110"/>
      <c r="K251" s="109"/>
      <c r="L251" s="110"/>
      <c r="M251" s="109"/>
      <c r="N251" s="110"/>
    </row>
    <row r="252" spans="6:14" ht="14.25" customHeight="1" x14ac:dyDescent="0.3">
      <c r="F252" s="108"/>
      <c r="G252" s="108"/>
      <c r="H252" s="108"/>
      <c r="I252" s="109"/>
      <c r="J252" s="110"/>
      <c r="K252" s="109"/>
      <c r="L252" s="110"/>
      <c r="M252" s="109"/>
      <c r="N252" s="110"/>
    </row>
    <row r="253" spans="6:14" ht="14.25" customHeight="1" x14ac:dyDescent="0.3">
      <c r="F253" s="108"/>
      <c r="G253" s="108"/>
      <c r="H253" s="108"/>
      <c r="I253" s="109"/>
      <c r="J253" s="110"/>
      <c r="K253" s="109"/>
      <c r="L253" s="110"/>
      <c r="M253" s="109"/>
      <c r="N253" s="110"/>
    </row>
    <row r="254" spans="6:14" ht="14.25" customHeight="1" x14ac:dyDescent="0.3">
      <c r="F254" s="108"/>
      <c r="G254" s="108"/>
      <c r="H254" s="108"/>
      <c r="I254" s="109"/>
      <c r="J254" s="110"/>
      <c r="K254" s="109"/>
      <c r="L254" s="110"/>
      <c r="M254" s="109"/>
      <c r="N254" s="110"/>
    </row>
    <row r="255" spans="6:14" ht="14.25" customHeight="1" x14ac:dyDescent="0.3">
      <c r="F255" s="108"/>
      <c r="G255" s="108"/>
      <c r="H255" s="108"/>
      <c r="I255" s="109"/>
      <c r="J255" s="110"/>
      <c r="K255" s="109"/>
      <c r="L255" s="110"/>
      <c r="M255" s="109"/>
      <c r="N255" s="110"/>
    </row>
    <row r="256" spans="6:14" ht="14.25" customHeight="1" x14ac:dyDescent="0.3">
      <c r="F256" s="108"/>
      <c r="G256" s="108"/>
      <c r="H256" s="108"/>
      <c r="I256" s="109"/>
      <c r="J256" s="110"/>
      <c r="K256" s="109"/>
      <c r="L256" s="110"/>
      <c r="M256" s="109"/>
      <c r="N256" s="110"/>
    </row>
    <row r="257" spans="6:14" ht="14.25" customHeight="1" x14ac:dyDescent="0.3">
      <c r="F257" s="108"/>
      <c r="G257" s="108"/>
      <c r="H257" s="108"/>
      <c r="I257" s="109"/>
      <c r="J257" s="110"/>
      <c r="K257" s="109"/>
      <c r="L257" s="110"/>
      <c r="M257" s="109"/>
      <c r="N257" s="110"/>
    </row>
    <row r="258" spans="6:14" ht="14.25" customHeight="1" x14ac:dyDescent="0.3">
      <c r="F258" s="108"/>
      <c r="G258" s="108"/>
      <c r="H258" s="108"/>
      <c r="I258" s="109"/>
      <c r="J258" s="110"/>
      <c r="K258" s="109"/>
      <c r="L258" s="110"/>
      <c r="M258" s="109"/>
      <c r="N258" s="110"/>
    </row>
    <row r="259" spans="6:14" ht="14.25" customHeight="1" x14ac:dyDescent="0.3">
      <c r="F259" s="108"/>
      <c r="G259" s="108"/>
      <c r="H259" s="108"/>
      <c r="I259" s="109"/>
      <c r="J259" s="110"/>
      <c r="K259" s="109"/>
      <c r="L259" s="110"/>
      <c r="M259" s="109"/>
      <c r="N259" s="110"/>
    </row>
    <row r="260" spans="6:14" ht="14.25" customHeight="1" x14ac:dyDescent="0.3">
      <c r="F260" s="108"/>
      <c r="G260" s="108"/>
      <c r="H260" s="108"/>
      <c r="I260" s="109"/>
      <c r="J260" s="110"/>
      <c r="K260" s="109"/>
      <c r="L260" s="110"/>
      <c r="M260" s="109"/>
      <c r="N260" s="110"/>
    </row>
    <row r="261" spans="6:14" ht="14.25" customHeight="1" x14ac:dyDescent="0.3">
      <c r="F261" s="108"/>
      <c r="G261" s="108"/>
      <c r="H261" s="108"/>
      <c r="I261" s="109"/>
      <c r="J261" s="110"/>
      <c r="K261" s="109"/>
      <c r="L261" s="110"/>
      <c r="M261" s="109"/>
      <c r="N261" s="110"/>
    </row>
    <row r="262" spans="6:14" ht="14.25" customHeight="1" x14ac:dyDescent="0.3">
      <c r="F262" s="108"/>
      <c r="G262" s="108"/>
      <c r="H262" s="108"/>
      <c r="I262" s="109"/>
      <c r="J262" s="110"/>
      <c r="K262" s="109"/>
      <c r="L262" s="110"/>
      <c r="M262" s="109"/>
      <c r="N262" s="110"/>
    </row>
    <row r="263" spans="6:14" ht="14.25" customHeight="1" x14ac:dyDescent="0.3">
      <c r="F263" s="108"/>
      <c r="G263" s="108"/>
      <c r="H263" s="108"/>
      <c r="I263" s="109"/>
      <c r="J263" s="110"/>
      <c r="K263" s="109"/>
      <c r="L263" s="110"/>
      <c r="M263" s="109"/>
      <c r="N263" s="110"/>
    </row>
    <row r="264" spans="6:14" ht="14.25" customHeight="1" x14ac:dyDescent="0.3">
      <c r="F264" s="108"/>
      <c r="G264" s="108"/>
      <c r="H264" s="108"/>
      <c r="I264" s="109"/>
      <c r="J264" s="110"/>
      <c r="K264" s="109"/>
      <c r="L264" s="110"/>
      <c r="M264" s="109"/>
      <c r="N264" s="110"/>
    </row>
    <row r="265" spans="6:14" ht="14.25" customHeight="1" x14ac:dyDescent="0.3">
      <c r="F265" s="108"/>
      <c r="G265" s="108"/>
      <c r="H265" s="108"/>
      <c r="I265" s="109"/>
      <c r="J265" s="110"/>
      <c r="K265" s="109"/>
      <c r="L265" s="110"/>
      <c r="M265" s="109"/>
      <c r="N265" s="110"/>
    </row>
    <row r="266" spans="6:14" ht="14.25" customHeight="1" x14ac:dyDescent="0.3">
      <c r="F266" s="108"/>
      <c r="G266" s="108"/>
      <c r="H266" s="108"/>
      <c r="I266" s="109"/>
      <c r="J266" s="110"/>
      <c r="K266" s="109"/>
      <c r="L266" s="110"/>
      <c r="M266" s="109"/>
      <c r="N266" s="110"/>
    </row>
    <row r="267" spans="6:14" ht="14.25" customHeight="1" x14ac:dyDescent="0.3">
      <c r="F267" s="108"/>
      <c r="G267" s="108"/>
      <c r="H267" s="108"/>
      <c r="I267" s="109"/>
      <c r="J267" s="110"/>
      <c r="K267" s="109"/>
      <c r="L267" s="110"/>
      <c r="M267" s="109"/>
      <c r="N267" s="110"/>
    </row>
    <row r="268" spans="6:14" ht="14.25" customHeight="1" x14ac:dyDescent="0.3">
      <c r="F268" s="108"/>
      <c r="G268" s="108"/>
      <c r="H268" s="108"/>
      <c r="I268" s="109"/>
      <c r="J268" s="110"/>
      <c r="K268" s="109"/>
      <c r="L268" s="110"/>
      <c r="M268" s="109"/>
      <c r="N268" s="110"/>
    </row>
    <row r="269" spans="6:14" ht="14.25" customHeight="1" x14ac:dyDescent="0.3">
      <c r="F269" s="108"/>
      <c r="G269" s="108"/>
      <c r="H269" s="108"/>
      <c r="I269" s="109"/>
      <c r="J269" s="110"/>
      <c r="K269" s="109"/>
      <c r="L269" s="110"/>
      <c r="M269" s="109"/>
      <c r="N269" s="110"/>
    </row>
    <row r="270" spans="6:14" ht="14.25" customHeight="1" x14ac:dyDescent="0.3">
      <c r="F270" s="108"/>
      <c r="G270" s="108"/>
      <c r="H270" s="108"/>
      <c r="I270" s="109"/>
      <c r="J270" s="110"/>
      <c r="K270" s="109"/>
      <c r="L270" s="110"/>
      <c r="M270" s="109"/>
      <c r="N270" s="110"/>
    </row>
    <row r="271" spans="6:14" ht="14.25" customHeight="1" x14ac:dyDescent="0.3">
      <c r="F271" s="108"/>
      <c r="G271" s="108"/>
      <c r="H271" s="108"/>
      <c r="I271" s="109"/>
      <c r="J271" s="110"/>
      <c r="K271" s="109"/>
      <c r="L271" s="110"/>
      <c r="M271" s="109"/>
      <c r="N271" s="110"/>
    </row>
    <row r="272" spans="6:14" ht="14.25" customHeight="1" x14ac:dyDescent="0.3">
      <c r="F272" s="108"/>
      <c r="G272" s="108"/>
      <c r="H272" s="108"/>
      <c r="I272" s="109"/>
      <c r="J272" s="110"/>
      <c r="K272" s="109"/>
      <c r="L272" s="110"/>
      <c r="M272" s="109"/>
      <c r="N272" s="110"/>
    </row>
    <row r="273" spans="6:14" ht="14.25" customHeight="1" x14ac:dyDescent="0.3">
      <c r="F273" s="108"/>
      <c r="G273" s="108"/>
      <c r="H273" s="108"/>
      <c r="I273" s="109"/>
      <c r="J273" s="110"/>
      <c r="K273" s="109"/>
      <c r="L273" s="110"/>
      <c r="M273" s="109"/>
      <c r="N273" s="110"/>
    </row>
    <row r="274" spans="6:14" ht="14.25" customHeight="1" x14ac:dyDescent="0.3">
      <c r="F274" s="108"/>
      <c r="G274" s="108"/>
      <c r="H274" s="108"/>
      <c r="I274" s="109"/>
      <c r="J274" s="110"/>
      <c r="K274" s="109"/>
      <c r="L274" s="110"/>
      <c r="M274" s="109"/>
      <c r="N274" s="110"/>
    </row>
    <row r="275" spans="6:14" ht="14.25" customHeight="1" x14ac:dyDescent="0.3">
      <c r="F275" s="108"/>
      <c r="G275" s="108"/>
      <c r="H275" s="108"/>
      <c r="I275" s="109"/>
      <c r="J275" s="110"/>
      <c r="K275" s="109"/>
      <c r="L275" s="110"/>
      <c r="M275" s="109"/>
      <c r="N275" s="110"/>
    </row>
    <row r="276" spans="6:14" ht="14.25" customHeight="1" x14ac:dyDescent="0.3">
      <c r="F276" s="108"/>
      <c r="G276" s="108"/>
      <c r="H276" s="108"/>
      <c r="I276" s="109"/>
      <c r="J276" s="110"/>
      <c r="K276" s="109"/>
      <c r="L276" s="110"/>
      <c r="M276" s="109"/>
      <c r="N276" s="110"/>
    </row>
    <row r="277" spans="6:14" ht="14.25" customHeight="1" x14ac:dyDescent="0.3">
      <c r="F277" s="108"/>
      <c r="G277" s="108"/>
      <c r="H277" s="108"/>
      <c r="I277" s="109"/>
      <c r="J277" s="110"/>
      <c r="K277" s="109"/>
      <c r="L277" s="110"/>
      <c r="M277" s="109"/>
      <c r="N277" s="110"/>
    </row>
    <row r="278" spans="6:14" ht="14.25" customHeight="1" x14ac:dyDescent="0.3">
      <c r="F278" s="108"/>
      <c r="G278" s="108"/>
      <c r="H278" s="108"/>
      <c r="I278" s="109"/>
      <c r="J278" s="110"/>
      <c r="K278" s="109"/>
      <c r="L278" s="110"/>
      <c r="M278" s="109"/>
      <c r="N278" s="110"/>
    </row>
    <row r="279" spans="6:14" ht="14.25" customHeight="1" x14ac:dyDescent="0.3">
      <c r="F279" s="108"/>
      <c r="G279" s="108"/>
      <c r="H279" s="108"/>
      <c r="I279" s="109"/>
      <c r="J279" s="110"/>
      <c r="K279" s="109"/>
      <c r="L279" s="110"/>
      <c r="M279" s="109"/>
      <c r="N279" s="110"/>
    </row>
    <row r="280" spans="6:14" ht="14.25" customHeight="1" x14ac:dyDescent="0.3">
      <c r="F280" s="108"/>
      <c r="G280" s="108"/>
      <c r="H280" s="108"/>
      <c r="I280" s="109"/>
      <c r="J280" s="110"/>
      <c r="K280" s="109"/>
      <c r="L280" s="110"/>
      <c r="M280" s="109"/>
      <c r="N280" s="110"/>
    </row>
    <row r="281" spans="6:14" ht="14.25" customHeight="1" x14ac:dyDescent="0.3">
      <c r="F281" s="108"/>
      <c r="G281" s="108"/>
      <c r="H281" s="108"/>
      <c r="I281" s="109"/>
      <c r="J281" s="110"/>
      <c r="K281" s="109"/>
      <c r="L281" s="110"/>
      <c r="M281" s="109"/>
      <c r="N281" s="110"/>
    </row>
    <row r="282" spans="6:14" ht="14.25" customHeight="1" x14ac:dyDescent="0.3">
      <c r="F282" s="108"/>
      <c r="G282" s="108"/>
      <c r="H282" s="108"/>
      <c r="I282" s="109"/>
      <c r="J282" s="110"/>
      <c r="K282" s="109"/>
      <c r="L282" s="110"/>
      <c r="M282" s="109"/>
      <c r="N282" s="110"/>
    </row>
    <row r="283" spans="6:14" ht="14.25" customHeight="1" x14ac:dyDescent="0.3">
      <c r="F283" s="108"/>
      <c r="G283" s="108"/>
      <c r="H283" s="108"/>
      <c r="I283" s="109"/>
      <c r="J283" s="110"/>
      <c r="K283" s="109"/>
      <c r="L283" s="110"/>
      <c r="M283" s="109"/>
      <c r="N283" s="110"/>
    </row>
    <row r="284" spans="6:14" ht="14.25" customHeight="1" x14ac:dyDescent="0.3">
      <c r="F284" s="108"/>
      <c r="G284" s="108"/>
      <c r="H284" s="108"/>
      <c r="I284" s="109"/>
      <c r="J284" s="110"/>
      <c r="K284" s="109"/>
      <c r="L284" s="110"/>
      <c r="M284" s="109"/>
      <c r="N284" s="110"/>
    </row>
    <row r="285" spans="6:14" ht="14.25" customHeight="1" x14ac:dyDescent="0.3">
      <c r="F285" s="108"/>
      <c r="G285" s="108"/>
      <c r="H285" s="108"/>
      <c r="I285" s="109"/>
      <c r="J285" s="110"/>
      <c r="K285" s="109"/>
      <c r="L285" s="110"/>
      <c r="M285" s="109"/>
      <c r="N285" s="110"/>
    </row>
    <row r="286" spans="6:14" ht="14.25" customHeight="1" x14ac:dyDescent="0.3">
      <c r="F286" s="108"/>
      <c r="G286" s="108"/>
      <c r="H286" s="108"/>
      <c r="I286" s="109"/>
      <c r="J286" s="110"/>
      <c r="K286" s="109"/>
      <c r="L286" s="110"/>
      <c r="M286" s="109"/>
      <c r="N286" s="110"/>
    </row>
    <row r="287" spans="6:14" ht="14.25" customHeight="1" x14ac:dyDescent="0.3">
      <c r="F287" s="108"/>
      <c r="G287" s="108"/>
      <c r="H287" s="108"/>
      <c r="I287" s="109"/>
      <c r="J287" s="110"/>
      <c r="K287" s="109"/>
      <c r="L287" s="110"/>
      <c r="M287" s="109"/>
      <c r="N287" s="110"/>
    </row>
    <row r="288" spans="6:14" ht="14.25" customHeight="1" x14ac:dyDescent="0.3">
      <c r="F288" s="108"/>
      <c r="G288" s="108"/>
      <c r="H288" s="108"/>
      <c r="I288" s="109"/>
      <c r="J288" s="110"/>
      <c r="K288" s="109"/>
      <c r="L288" s="110"/>
      <c r="M288" s="109"/>
      <c r="N288" s="110"/>
    </row>
    <row r="289" spans="6:14" ht="14.25" customHeight="1" x14ac:dyDescent="0.3">
      <c r="F289" s="108"/>
      <c r="G289" s="108"/>
      <c r="H289" s="108"/>
      <c r="I289" s="109"/>
      <c r="J289" s="110"/>
      <c r="K289" s="109"/>
      <c r="L289" s="110"/>
      <c r="M289" s="109"/>
      <c r="N289" s="110"/>
    </row>
    <row r="290" spans="6:14" ht="14.25" customHeight="1" x14ac:dyDescent="0.3">
      <c r="F290" s="108"/>
      <c r="G290" s="108"/>
      <c r="H290" s="108"/>
      <c r="I290" s="109"/>
      <c r="J290" s="110"/>
      <c r="K290" s="109"/>
      <c r="L290" s="110"/>
      <c r="M290" s="109"/>
      <c r="N290" s="110"/>
    </row>
    <row r="291" spans="6:14" ht="14.25" customHeight="1" x14ac:dyDescent="0.3">
      <c r="F291" s="108"/>
      <c r="G291" s="108"/>
      <c r="H291" s="108"/>
      <c r="I291" s="109"/>
      <c r="J291" s="110"/>
      <c r="K291" s="109"/>
      <c r="L291" s="110"/>
      <c r="M291" s="109"/>
      <c r="N291" s="110"/>
    </row>
    <row r="292" spans="6:14" ht="14.25" customHeight="1" x14ac:dyDescent="0.3">
      <c r="F292" s="108"/>
      <c r="G292" s="108"/>
      <c r="H292" s="108"/>
      <c r="I292" s="109"/>
      <c r="J292" s="110"/>
      <c r="K292" s="109"/>
      <c r="L292" s="110"/>
      <c r="M292" s="109"/>
      <c r="N292" s="110"/>
    </row>
    <row r="293" spans="6:14" ht="14.25" customHeight="1" x14ac:dyDescent="0.3">
      <c r="F293" s="108"/>
      <c r="G293" s="108"/>
      <c r="H293" s="108"/>
      <c r="I293" s="109"/>
      <c r="J293" s="110"/>
      <c r="K293" s="109"/>
      <c r="L293" s="110"/>
      <c r="M293" s="109"/>
      <c r="N293" s="110"/>
    </row>
    <row r="294" spans="6:14" ht="14.25" customHeight="1" x14ac:dyDescent="0.3">
      <c r="F294" s="108"/>
      <c r="G294" s="108"/>
      <c r="H294" s="108"/>
      <c r="I294" s="109"/>
      <c r="J294" s="110"/>
      <c r="K294" s="109"/>
      <c r="L294" s="110"/>
      <c r="M294" s="109"/>
      <c r="N294" s="110"/>
    </row>
    <row r="295" spans="6:14" ht="14.25" customHeight="1" x14ac:dyDescent="0.3">
      <c r="F295" s="108"/>
      <c r="G295" s="108"/>
      <c r="H295" s="108"/>
      <c r="I295" s="109"/>
      <c r="J295" s="110"/>
      <c r="K295" s="109"/>
      <c r="L295" s="110"/>
      <c r="M295" s="109"/>
      <c r="N295" s="110"/>
    </row>
    <row r="296" spans="6:14" ht="14.25" customHeight="1" x14ac:dyDescent="0.3">
      <c r="F296" s="108"/>
      <c r="G296" s="108"/>
      <c r="H296" s="108"/>
      <c r="I296" s="109"/>
      <c r="J296" s="110"/>
      <c r="K296" s="109"/>
      <c r="L296" s="110"/>
      <c r="M296" s="109"/>
      <c r="N296" s="110"/>
    </row>
    <row r="297" spans="6:14" ht="14.25" customHeight="1" x14ac:dyDescent="0.3">
      <c r="F297" s="108"/>
      <c r="G297" s="108"/>
      <c r="H297" s="108"/>
      <c r="I297" s="109"/>
      <c r="J297" s="110"/>
      <c r="K297" s="109"/>
      <c r="L297" s="110"/>
      <c r="M297" s="109"/>
      <c r="N297" s="110"/>
    </row>
    <row r="298" spans="6:14" ht="14.25" customHeight="1" x14ac:dyDescent="0.3">
      <c r="F298" s="108"/>
      <c r="G298" s="108"/>
      <c r="H298" s="108"/>
      <c r="I298" s="109"/>
      <c r="J298" s="110"/>
      <c r="K298" s="109"/>
      <c r="L298" s="110"/>
      <c r="M298" s="109"/>
      <c r="N298" s="110"/>
    </row>
    <row r="299" spans="6:14" ht="14.25" customHeight="1" x14ac:dyDescent="0.3">
      <c r="F299" s="108"/>
      <c r="G299" s="108"/>
      <c r="H299" s="108"/>
      <c r="I299" s="109"/>
      <c r="J299" s="110"/>
      <c r="K299" s="109"/>
      <c r="L299" s="110"/>
      <c r="M299" s="109"/>
      <c r="N299" s="110"/>
    </row>
    <row r="300" spans="6:14" ht="14.25" customHeight="1" x14ac:dyDescent="0.3">
      <c r="F300" s="108"/>
      <c r="G300" s="108"/>
      <c r="H300" s="108"/>
      <c r="I300" s="109"/>
      <c r="J300" s="110"/>
      <c r="K300" s="109"/>
      <c r="L300" s="110"/>
      <c r="M300" s="109"/>
      <c r="N300" s="110"/>
    </row>
    <row r="301" spans="6:14" ht="14.25" customHeight="1" x14ac:dyDescent="0.3">
      <c r="F301" s="108"/>
      <c r="G301" s="108"/>
      <c r="H301" s="108"/>
      <c r="I301" s="109"/>
      <c r="J301" s="110"/>
      <c r="K301" s="109"/>
      <c r="L301" s="110"/>
      <c r="M301" s="109"/>
      <c r="N301" s="110"/>
    </row>
    <row r="302" spans="6:14" ht="14.25" customHeight="1" x14ac:dyDescent="0.3">
      <c r="F302" s="108"/>
      <c r="G302" s="108"/>
      <c r="H302" s="108"/>
      <c r="I302" s="109"/>
      <c r="J302" s="110"/>
      <c r="K302" s="109"/>
      <c r="L302" s="110"/>
      <c r="M302" s="109"/>
      <c r="N302" s="110"/>
    </row>
    <row r="303" spans="6:14" ht="14.25" customHeight="1" x14ac:dyDescent="0.3">
      <c r="F303" s="108"/>
      <c r="G303" s="108"/>
      <c r="H303" s="108"/>
      <c r="I303" s="109"/>
      <c r="J303" s="110"/>
      <c r="K303" s="109"/>
      <c r="L303" s="110"/>
      <c r="M303" s="109"/>
      <c r="N303" s="110"/>
    </row>
    <row r="304" spans="6:14" ht="14.25" customHeight="1" x14ac:dyDescent="0.3">
      <c r="F304" s="108"/>
      <c r="G304" s="108"/>
      <c r="H304" s="108"/>
      <c r="I304" s="109"/>
      <c r="J304" s="110"/>
      <c r="K304" s="109"/>
      <c r="L304" s="110"/>
      <c r="M304" s="109"/>
      <c r="N304" s="110"/>
    </row>
    <row r="305" spans="6:14" ht="14.25" customHeight="1" x14ac:dyDescent="0.3">
      <c r="F305" s="108"/>
      <c r="G305" s="108"/>
      <c r="H305" s="108"/>
      <c r="I305" s="109"/>
      <c r="J305" s="110"/>
      <c r="K305" s="109"/>
      <c r="L305" s="110"/>
      <c r="M305" s="109"/>
      <c r="N305" s="110"/>
    </row>
    <row r="306" spans="6:14" ht="14.25" customHeight="1" x14ac:dyDescent="0.3">
      <c r="F306" s="108"/>
      <c r="G306" s="108"/>
      <c r="H306" s="108"/>
      <c r="I306" s="109"/>
      <c r="J306" s="110"/>
      <c r="K306" s="109"/>
      <c r="L306" s="110"/>
      <c r="M306" s="109"/>
      <c r="N306" s="110"/>
    </row>
    <row r="307" spans="6:14" ht="14.25" customHeight="1" x14ac:dyDescent="0.3">
      <c r="F307" s="108"/>
      <c r="G307" s="108"/>
      <c r="H307" s="108"/>
      <c r="I307" s="109"/>
      <c r="J307" s="110"/>
      <c r="K307" s="109"/>
      <c r="L307" s="110"/>
      <c r="M307" s="109"/>
      <c r="N307" s="110"/>
    </row>
    <row r="308" spans="6:14" ht="14.25" customHeight="1" x14ac:dyDescent="0.3">
      <c r="F308" s="108"/>
      <c r="G308" s="108"/>
      <c r="H308" s="108"/>
      <c r="I308" s="109"/>
      <c r="J308" s="110"/>
      <c r="K308" s="109"/>
      <c r="L308" s="110"/>
      <c r="M308" s="109"/>
      <c r="N308" s="110"/>
    </row>
    <row r="309" spans="6:14" ht="14.25" customHeight="1" x14ac:dyDescent="0.3">
      <c r="F309" s="108"/>
      <c r="G309" s="108"/>
      <c r="H309" s="108"/>
      <c r="I309" s="109"/>
      <c r="J309" s="110"/>
      <c r="K309" s="109"/>
      <c r="L309" s="110"/>
      <c r="M309" s="109"/>
      <c r="N309" s="110"/>
    </row>
    <row r="310" spans="6:14" ht="14.25" customHeight="1" x14ac:dyDescent="0.3">
      <c r="F310" s="108"/>
      <c r="G310" s="108"/>
      <c r="H310" s="108"/>
      <c r="I310" s="109"/>
      <c r="J310" s="110"/>
      <c r="K310" s="109"/>
      <c r="L310" s="110"/>
      <c r="M310" s="109"/>
      <c r="N310" s="110"/>
    </row>
    <row r="311" spans="6:14" ht="14.25" customHeight="1" x14ac:dyDescent="0.3">
      <c r="F311" s="108"/>
      <c r="G311" s="108"/>
      <c r="H311" s="108"/>
      <c r="I311" s="109"/>
      <c r="J311" s="110"/>
      <c r="K311" s="109"/>
      <c r="L311" s="110"/>
      <c r="M311" s="109"/>
      <c r="N311" s="110"/>
    </row>
    <row r="312" spans="6:14" ht="14.25" customHeight="1" x14ac:dyDescent="0.3">
      <c r="F312" s="108"/>
      <c r="G312" s="108"/>
      <c r="H312" s="108"/>
      <c r="I312" s="109"/>
      <c r="J312" s="110"/>
      <c r="K312" s="109"/>
      <c r="L312" s="110"/>
      <c r="M312" s="109"/>
      <c r="N312" s="110"/>
    </row>
    <row r="313" spans="6:14" ht="14.25" customHeight="1" x14ac:dyDescent="0.3">
      <c r="F313" s="108"/>
      <c r="G313" s="108"/>
      <c r="H313" s="108"/>
      <c r="I313" s="109"/>
      <c r="J313" s="110"/>
      <c r="K313" s="109"/>
      <c r="L313" s="110"/>
      <c r="M313" s="109"/>
      <c r="N313" s="110"/>
    </row>
    <row r="314" spans="6:14" ht="14.25" customHeight="1" x14ac:dyDescent="0.3">
      <c r="F314" s="108"/>
      <c r="G314" s="108"/>
      <c r="H314" s="108"/>
      <c r="I314" s="109"/>
      <c r="J314" s="110"/>
      <c r="K314" s="109"/>
      <c r="L314" s="110"/>
      <c r="M314" s="109"/>
      <c r="N314" s="110"/>
    </row>
    <row r="315" spans="6:14" ht="14.25" customHeight="1" x14ac:dyDescent="0.3">
      <c r="F315" s="108"/>
      <c r="G315" s="108"/>
      <c r="H315" s="108"/>
      <c r="I315" s="109"/>
      <c r="J315" s="110"/>
      <c r="K315" s="109"/>
      <c r="L315" s="110"/>
      <c r="M315" s="109"/>
      <c r="N315" s="110"/>
    </row>
    <row r="316" spans="6:14" ht="14.25" customHeight="1" x14ac:dyDescent="0.3">
      <c r="F316" s="108"/>
      <c r="G316" s="108"/>
      <c r="H316" s="108"/>
      <c r="I316" s="109"/>
      <c r="J316" s="110"/>
      <c r="K316" s="109"/>
      <c r="L316" s="110"/>
      <c r="M316" s="109"/>
      <c r="N316" s="110"/>
    </row>
    <row r="317" spans="6:14" ht="14.25" customHeight="1" x14ac:dyDescent="0.3">
      <c r="F317" s="108"/>
      <c r="G317" s="108"/>
      <c r="H317" s="108"/>
      <c r="I317" s="109"/>
      <c r="J317" s="110"/>
      <c r="K317" s="109"/>
      <c r="L317" s="110"/>
      <c r="M317" s="109"/>
      <c r="N317" s="110"/>
    </row>
    <row r="318" spans="6:14" ht="14.25" customHeight="1" x14ac:dyDescent="0.3">
      <c r="F318" s="108"/>
      <c r="G318" s="108"/>
      <c r="H318" s="108"/>
      <c r="I318" s="109"/>
      <c r="J318" s="110"/>
      <c r="K318" s="109"/>
      <c r="L318" s="110"/>
      <c r="M318" s="109"/>
      <c r="N318" s="110"/>
    </row>
    <row r="319" spans="6:14" ht="14.25" customHeight="1" x14ac:dyDescent="0.3">
      <c r="F319" s="108"/>
      <c r="G319" s="108"/>
      <c r="H319" s="108"/>
      <c r="I319" s="109"/>
      <c r="J319" s="110"/>
      <c r="K319" s="109"/>
      <c r="L319" s="110"/>
      <c r="M319" s="109"/>
      <c r="N319" s="110"/>
    </row>
    <row r="320" spans="6:14" ht="14.25" customHeight="1" x14ac:dyDescent="0.3">
      <c r="F320" s="108"/>
      <c r="G320" s="108"/>
      <c r="H320" s="108"/>
      <c r="I320" s="109"/>
      <c r="J320" s="110"/>
      <c r="K320" s="109"/>
      <c r="L320" s="110"/>
      <c r="M320" s="109"/>
      <c r="N320" s="110"/>
    </row>
    <row r="321" spans="6:14" ht="14.25" customHeight="1" x14ac:dyDescent="0.3">
      <c r="F321" s="108"/>
      <c r="G321" s="108"/>
      <c r="H321" s="108"/>
      <c r="I321" s="109"/>
      <c r="J321" s="110"/>
      <c r="K321" s="109"/>
      <c r="L321" s="110"/>
      <c r="M321" s="109"/>
      <c r="N321" s="110"/>
    </row>
    <row r="322" spans="6:14" ht="14.25" customHeight="1" x14ac:dyDescent="0.3">
      <c r="F322" s="108"/>
      <c r="G322" s="108"/>
      <c r="H322" s="108"/>
      <c r="I322" s="109"/>
      <c r="J322" s="110"/>
      <c r="K322" s="109"/>
      <c r="L322" s="110"/>
      <c r="M322" s="109"/>
      <c r="N322" s="110"/>
    </row>
    <row r="323" spans="6:14" ht="14.25" customHeight="1" x14ac:dyDescent="0.3">
      <c r="F323" s="108"/>
      <c r="G323" s="108"/>
      <c r="H323" s="108"/>
      <c r="I323" s="109"/>
      <c r="J323" s="110"/>
      <c r="K323" s="109"/>
      <c r="L323" s="110"/>
      <c r="M323" s="109"/>
      <c r="N323" s="110"/>
    </row>
    <row r="324" spans="6:14" ht="14.25" customHeight="1" x14ac:dyDescent="0.3">
      <c r="F324" s="108"/>
      <c r="G324" s="108"/>
      <c r="H324" s="108"/>
      <c r="I324" s="109"/>
      <c r="J324" s="110"/>
      <c r="K324" s="109"/>
      <c r="L324" s="110"/>
      <c r="M324" s="109"/>
      <c r="N324" s="110"/>
    </row>
    <row r="325" spans="6:14" ht="14.25" customHeight="1" x14ac:dyDescent="0.3">
      <c r="F325" s="108"/>
      <c r="G325" s="108"/>
      <c r="H325" s="108"/>
      <c r="I325" s="109"/>
      <c r="J325" s="110"/>
      <c r="K325" s="109"/>
      <c r="L325" s="110"/>
      <c r="M325" s="109"/>
      <c r="N325" s="110"/>
    </row>
    <row r="326" spans="6:14" ht="14.25" customHeight="1" x14ac:dyDescent="0.3">
      <c r="F326" s="108"/>
      <c r="G326" s="108"/>
      <c r="H326" s="108"/>
      <c r="I326" s="109"/>
      <c r="J326" s="110"/>
      <c r="K326" s="109"/>
      <c r="L326" s="110"/>
      <c r="M326" s="109"/>
      <c r="N326" s="110"/>
    </row>
    <row r="327" spans="6:14" ht="14.25" customHeight="1" x14ac:dyDescent="0.3">
      <c r="F327" s="108"/>
      <c r="G327" s="108"/>
      <c r="H327" s="108"/>
      <c r="I327" s="109"/>
      <c r="J327" s="110"/>
      <c r="K327" s="109"/>
      <c r="L327" s="110"/>
      <c r="M327" s="109"/>
      <c r="N327" s="110"/>
    </row>
    <row r="328" spans="6:14" ht="14.25" customHeight="1" x14ac:dyDescent="0.3">
      <c r="F328" s="108"/>
      <c r="G328" s="108"/>
      <c r="H328" s="108"/>
      <c r="I328" s="109"/>
      <c r="J328" s="110"/>
      <c r="K328" s="109"/>
      <c r="L328" s="110"/>
      <c r="M328" s="109"/>
      <c r="N328" s="110"/>
    </row>
    <row r="329" spans="6:14" ht="14.25" customHeight="1" x14ac:dyDescent="0.3">
      <c r="F329" s="108"/>
      <c r="G329" s="108"/>
      <c r="H329" s="108"/>
      <c r="I329" s="109"/>
      <c r="J329" s="110"/>
      <c r="K329" s="109"/>
      <c r="L329" s="110"/>
      <c r="M329" s="109"/>
      <c r="N329" s="110"/>
    </row>
    <row r="330" spans="6:14" ht="14.25" customHeight="1" x14ac:dyDescent="0.3">
      <c r="F330" s="108"/>
      <c r="G330" s="108"/>
      <c r="H330" s="108"/>
      <c r="I330" s="109"/>
      <c r="J330" s="110"/>
      <c r="K330" s="109"/>
      <c r="L330" s="110"/>
      <c r="M330" s="109"/>
      <c r="N330" s="110"/>
    </row>
    <row r="331" spans="6:14" ht="14.25" customHeight="1" x14ac:dyDescent="0.3">
      <c r="F331" s="108"/>
      <c r="G331" s="108"/>
      <c r="H331" s="108"/>
      <c r="I331" s="109"/>
      <c r="J331" s="110"/>
      <c r="K331" s="109"/>
      <c r="L331" s="110"/>
      <c r="M331" s="109"/>
      <c r="N331" s="110"/>
    </row>
    <row r="332" spans="6:14" ht="14.25" customHeight="1" x14ac:dyDescent="0.3">
      <c r="F332" s="108"/>
      <c r="G332" s="108"/>
      <c r="H332" s="108"/>
      <c r="I332" s="109"/>
      <c r="J332" s="110"/>
      <c r="K332" s="109"/>
      <c r="L332" s="110"/>
      <c r="M332" s="109"/>
      <c r="N332" s="110"/>
    </row>
    <row r="333" spans="6:14" ht="14.25" customHeight="1" x14ac:dyDescent="0.3">
      <c r="F333" s="108"/>
      <c r="G333" s="108"/>
      <c r="H333" s="108"/>
      <c r="I333" s="109"/>
      <c r="J333" s="110"/>
      <c r="K333" s="109"/>
      <c r="L333" s="110"/>
      <c r="M333" s="109"/>
      <c r="N333" s="110"/>
    </row>
    <row r="334" spans="6:14" ht="14.25" customHeight="1" x14ac:dyDescent="0.3">
      <c r="F334" s="108"/>
      <c r="G334" s="108"/>
      <c r="H334" s="108"/>
      <c r="I334" s="109"/>
      <c r="J334" s="110"/>
      <c r="K334" s="109"/>
      <c r="L334" s="110"/>
      <c r="M334" s="109"/>
      <c r="N334" s="110"/>
    </row>
    <row r="335" spans="6:14" ht="14.25" customHeight="1" x14ac:dyDescent="0.3">
      <c r="F335" s="108"/>
      <c r="G335" s="108"/>
      <c r="H335" s="108"/>
      <c r="I335" s="109"/>
      <c r="J335" s="110"/>
      <c r="K335" s="109"/>
      <c r="L335" s="110"/>
      <c r="M335" s="109"/>
      <c r="N335" s="110"/>
    </row>
    <row r="336" spans="6:14" ht="14.25" customHeight="1" x14ac:dyDescent="0.3">
      <c r="F336" s="108"/>
      <c r="G336" s="108"/>
      <c r="H336" s="108"/>
      <c r="I336" s="109"/>
      <c r="J336" s="110"/>
      <c r="K336" s="109"/>
      <c r="L336" s="110"/>
      <c r="M336" s="109"/>
      <c r="N336" s="110"/>
    </row>
    <row r="337" spans="6:14" ht="14.25" customHeight="1" x14ac:dyDescent="0.3">
      <c r="F337" s="108"/>
      <c r="G337" s="108"/>
      <c r="H337" s="108"/>
      <c r="I337" s="109"/>
      <c r="J337" s="110"/>
      <c r="K337" s="109"/>
      <c r="L337" s="110"/>
      <c r="M337" s="109"/>
      <c r="N337" s="110"/>
    </row>
    <row r="338" spans="6:14" ht="14.25" customHeight="1" x14ac:dyDescent="0.3">
      <c r="F338" s="108"/>
      <c r="G338" s="108"/>
      <c r="H338" s="108"/>
      <c r="I338" s="109"/>
      <c r="J338" s="110"/>
      <c r="K338" s="109"/>
      <c r="L338" s="110"/>
      <c r="M338" s="109"/>
      <c r="N338" s="110"/>
    </row>
    <row r="339" spans="6:14" ht="14.25" customHeight="1" x14ac:dyDescent="0.3">
      <c r="F339" s="108"/>
      <c r="G339" s="108"/>
      <c r="H339" s="108"/>
      <c r="I339" s="109"/>
      <c r="J339" s="110"/>
      <c r="K339" s="109"/>
      <c r="L339" s="110"/>
      <c r="M339" s="109"/>
      <c r="N339" s="110"/>
    </row>
    <row r="340" spans="6:14" ht="14.25" customHeight="1" x14ac:dyDescent="0.3">
      <c r="F340" s="108"/>
      <c r="G340" s="108"/>
      <c r="H340" s="108"/>
      <c r="I340" s="109"/>
      <c r="J340" s="110"/>
      <c r="K340" s="109"/>
      <c r="L340" s="110"/>
      <c r="M340" s="109"/>
      <c r="N340" s="110"/>
    </row>
    <row r="341" spans="6:14" ht="14.25" customHeight="1" x14ac:dyDescent="0.3">
      <c r="F341" s="108"/>
      <c r="G341" s="108"/>
      <c r="H341" s="108"/>
      <c r="I341" s="109"/>
      <c r="J341" s="110"/>
      <c r="K341" s="109"/>
      <c r="L341" s="110"/>
      <c r="M341" s="109"/>
      <c r="N341" s="110"/>
    </row>
    <row r="342" spans="6:14" ht="14.25" customHeight="1" x14ac:dyDescent="0.3">
      <c r="F342" s="108"/>
      <c r="G342" s="108"/>
      <c r="H342" s="108"/>
      <c r="I342" s="109"/>
      <c r="J342" s="110"/>
      <c r="K342" s="109"/>
      <c r="L342" s="110"/>
      <c r="M342" s="109"/>
      <c r="N342" s="110"/>
    </row>
    <row r="343" spans="6:14" ht="14.25" customHeight="1" x14ac:dyDescent="0.3">
      <c r="F343" s="108"/>
      <c r="G343" s="108"/>
      <c r="H343" s="108"/>
      <c r="I343" s="109"/>
      <c r="J343" s="110"/>
      <c r="K343" s="109"/>
      <c r="L343" s="110"/>
      <c r="M343" s="109"/>
      <c r="N343" s="110"/>
    </row>
    <row r="344" spans="6:14" ht="14.25" customHeight="1" x14ac:dyDescent="0.3">
      <c r="F344" s="108"/>
      <c r="G344" s="108"/>
      <c r="H344" s="108"/>
      <c r="I344" s="109"/>
      <c r="J344" s="110"/>
      <c r="K344" s="109"/>
      <c r="L344" s="110"/>
      <c r="M344" s="109"/>
      <c r="N344" s="110"/>
    </row>
    <row r="345" spans="6:14" ht="14.25" customHeight="1" x14ac:dyDescent="0.3">
      <c r="F345" s="108"/>
      <c r="G345" s="108"/>
      <c r="H345" s="108"/>
      <c r="I345" s="109"/>
      <c r="J345" s="110"/>
      <c r="K345" s="109"/>
      <c r="L345" s="110"/>
      <c r="M345" s="109"/>
      <c r="N345" s="110"/>
    </row>
    <row r="346" spans="6:14" ht="14.25" customHeight="1" x14ac:dyDescent="0.3">
      <c r="F346" s="108"/>
      <c r="G346" s="108"/>
      <c r="H346" s="108"/>
      <c r="I346" s="109"/>
      <c r="J346" s="110"/>
      <c r="K346" s="109"/>
      <c r="L346" s="110"/>
      <c r="M346" s="109"/>
      <c r="N346" s="110"/>
    </row>
    <row r="347" spans="6:14" ht="14.25" customHeight="1" x14ac:dyDescent="0.3">
      <c r="F347" s="108"/>
      <c r="G347" s="108"/>
      <c r="H347" s="108"/>
      <c r="I347" s="109"/>
      <c r="J347" s="110"/>
      <c r="K347" s="109"/>
      <c r="L347" s="110"/>
      <c r="M347" s="109"/>
      <c r="N347" s="110"/>
    </row>
    <row r="348" spans="6:14" ht="14.25" customHeight="1" x14ac:dyDescent="0.3">
      <c r="F348" s="108"/>
      <c r="G348" s="108"/>
      <c r="H348" s="108"/>
      <c r="I348" s="109"/>
      <c r="J348" s="110"/>
      <c r="K348" s="109"/>
      <c r="L348" s="110"/>
      <c r="M348" s="109"/>
      <c r="N348" s="110"/>
    </row>
    <row r="349" spans="6:14" ht="14.25" customHeight="1" x14ac:dyDescent="0.3">
      <c r="F349" s="108"/>
      <c r="G349" s="108"/>
      <c r="H349" s="108"/>
      <c r="I349" s="109"/>
      <c r="J349" s="110"/>
      <c r="K349" s="109"/>
      <c r="L349" s="110"/>
      <c r="M349" s="109"/>
      <c r="N349" s="110"/>
    </row>
    <row r="350" spans="6:14" ht="14.25" customHeight="1" x14ac:dyDescent="0.3">
      <c r="F350" s="108"/>
      <c r="G350" s="108"/>
      <c r="H350" s="108"/>
      <c r="I350" s="109"/>
      <c r="J350" s="110"/>
      <c r="K350" s="109"/>
      <c r="L350" s="110"/>
      <c r="M350" s="109"/>
      <c r="N350" s="110"/>
    </row>
    <row r="351" spans="6:14" ht="14.25" customHeight="1" x14ac:dyDescent="0.3">
      <c r="F351" s="108"/>
      <c r="G351" s="108"/>
      <c r="H351" s="108"/>
      <c r="I351" s="109"/>
      <c r="J351" s="110"/>
      <c r="K351" s="109"/>
      <c r="L351" s="110"/>
      <c r="M351" s="109"/>
      <c r="N351" s="110"/>
    </row>
    <row r="352" spans="6:14" ht="14.25" customHeight="1" x14ac:dyDescent="0.3">
      <c r="F352" s="108"/>
      <c r="G352" s="108"/>
      <c r="H352" s="108"/>
      <c r="I352" s="109"/>
      <c r="J352" s="110"/>
      <c r="K352" s="109"/>
      <c r="L352" s="110"/>
      <c r="M352" s="109"/>
      <c r="N352" s="110"/>
    </row>
    <row r="353" spans="6:14" ht="14.25" customHeight="1" x14ac:dyDescent="0.3">
      <c r="F353" s="108"/>
      <c r="G353" s="108"/>
      <c r="H353" s="108"/>
      <c r="I353" s="109"/>
      <c r="J353" s="110"/>
      <c r="K353" s="109"/>
      <c r="L353" s="110"/>
      <c r="M353" s="109"/>
      <c r="N353" s="110"/>
    </row>
    <row r="354" spans="6:14" ht="14.25" customHeight="1" x14ac:dyDescent="0.3">
      <c r="F354" s="108"/>
      <c r="G354" s="108"/>
      <c r="H354" s="108"/>
      <c r="I354" s="109"/>
      <c r="J354" s="110"/>
      <c r="K354" s="109"/>
      <c r="L354" s="110"/>
      <c r="M354" s="109"/>
      <c r="N354" s="110"/>
    </row>
    <row r="355" spans="6:14" ht="14.25" customHeight="1" x14ac:dyDescent="0.3">
      <c r="F355" s="108"/>
      <c r="G355" s="108"/>
      <c r="H355" s="108"/>
      <c r="I355" s="109"/>
      <c r="J355" s="110"/>
      <c r="K355" s="109"/>
      <c r="L355" s="110"/>
      <c r="M355" s="109"/>
      <c r="N355" s="110"/>
    </row>
    <row r="356" spans="6:14" ht="14.25" customHeight="1" x14ac:dyDescent="0.3">
      <c r="F356" s="108"/>
      <c r="G356" s="108"/>
      <c r="H356" s="108"/>
      <c r="I356" s="109"/>
      <c r="J356" s="110"/>
      <c r="K356" s="109"/>
      <c r="L356" s="110"/>
      <c r="M356" s="109"/>
      <c r="N356" s="110"/>
    </row>
    <row r="357" spans="6:14" ht="14.25" customHeight="1" x14ac:dyDescent="0.3">
      <c r="F357" s="108"/>
      <c r="G357" s="108"/>
      <c r="H357" s="108"/>
      <c r="I357" s="109"/>
      <c r="J357" s="110"/>
      <c r="K357" s="109"/>
      <c r="L357" s="110"/>
      <c r="M357" s="109"/>
      <c r="N357" s="110"/>
    </row>
    <row r="358" spans="6:14" ht="14.25" customHeight="1" x14ac:dyDescent="0.3">
      <c r="F358" s="108"/>
      <c r="G358" s="108"/>
      <c r="H358" s="108"/>
      <c r="I358" s="109"/>
      <c r="J358" s="110"/>
      <c r="K358" s="109"/>
      <c r="L358" s="110"/>
      <c r="M358" s="109"/>
      <c r="N358" s="110"/>
    </row>
    <row r="359" spans="6:14" ht="14.25" customHeight="1" x14ac:dyDescent="0.3">
      <c r="F359" s="108"/>
      <c r="G359" s="108"/>
      <c r="H359" s="108"/>
      <c r="I359" s="109"/>
      <c r="J359" s="110"/>
      <c r="K359" s="109"/>
      <c r="L359" s="110"/>
      <c r="M359" s="109"/>
      <c r="N359" s="110"/>
    </row>
    <row r="360" spans="6:14" ht="14.25" customHeight="1" x14ac:dyDescent="0.3">
      <c r="F360" s="108"/>
      <c r="G360" s="108"/>
      <c r="H360" s="108"/>
      <c r="I360" s="109"/>
      <c r="J360" s="110"/>
      <c r="K360" s="109"/>
      <c r="L360" s="110"/>
      <c r="M360" s="109"/>
      <c r="N360" s="110"/>
    </row>
    <row r="361" spans="6:14" ht="14.25" customHeight="1" x14ac:dyDescent="0.3">
      <c r="F361" s="108"/>
      <c r="G361" s="108"/>
      <c r="H361" s="108"/>
      <c r="I361" s="109"/>
      <c r="J361" s="110"/>
      <c r="K361" s="109"/>
      <c r="L361" s="110"/>
      <c r="M361" s="109"/>
      <c r="N361" s="110"/>
    </row>
    <row r="362" spans="6:14" ht="14.25" customHeight="1" x14ac:dyDescent="0.3">
      <c r="F362" s="108"/>
      <c r="G362" s="108"/>
      <c r="H362" s="108"/>
      <c r="I362" s="109"/>
      <c r="J362" s="110"/>
      <c r="K362" s="109"/>
      <c r="L362" s="110"/>
      <c r="M362" s="109"/>
      <c r="N362" s="110"/>
    </row>
    <row r="363" spans="6:14" ht="14.25" customHeight="1" x14ac:dyDescent="0.3">
      <c r="F363" s="108"/>
      <c r="G363" s="108"/>
      <c r="H363" s="108"/>
      <c r="I363" s="109"/>
      <c r="J363" s="110"/>
      <c r="K363" s="109"/>
      <c r="L363" s="110"/>
      <c r="M363" s="109"/>
      <c r="N363" s="110"/>
    </row>
    <row r="364" spans="6:14" ht="14.25" customHeight="1" x14ac:dyDescent="0.3">
      <c r="F364" s="108"/>
      <c r="G364" s="108"/>
      <c r="H364" s="108"/>
      <c r="I364" s="109"/>
      <c r="J364" s="110"/>
      <c r="K364" s="109"/>
      <c r="L364" s="110"/>
      <c r="M364" s="109"/>
      <c r="N364" s="110"/>
    </row>
    <row r="365" spans="6:14" ht="14.25" customHeight="1" x14ac:dyDescent="0.3">
      <c r="F365" s="108"/>
      <c r="G365" s="108"/>
      <c r="H365" s="108"/>
      <c r="I365" s="109"/>
      <c r="J365" s="110"/>
      <c r="K365" s="109"/>
      <c r="L365" s="110"/>
      <c r="M365" s="109"/>
      <c r="N365" s="110"/>
    </row>
    <row r="366" spans="6:14" ht="14.25" customHeight="1" x14ac:dyDescent="0.3">
      <c r="F366" s="108"/>
      <c r="G366" s="108"/>
      <c r="H366" s="108"/>
      <c r="I366" s="109"/>
      <c r="J366" s="110"/>
      <c r="K366" s="109"/>
      <c r="L366" s="110"/>
      <c r="M366" s="109"/>
      <c r="N366" s="110"/>
    </row>
    <row r="367" spans="6:14" ht="14.25" customHeight="1" x14ac:dyDescent="0.3">
      <c r="F367" s="108"/>
      <c r="G367" s="108"/>
      <c r="H367" s="108"/>
      <c r="I367" s="109"/>
      <c r="J367" s="110"/>
      <c r="K367" s="109"/>
      <c r="L367" s="110"/>
      <c r="M367" s="109"/>
      <c r="N367" s="110"/>
    </row>
    <row r="368" spans="6:14" ht="14.25" customHeight="1" x14ac:dyDescent="0.3">
      <c r="F368" s="108"/>
      <c r="G368" s="108"/>
      <c r="H368" s="108"/>
      <c r="I368" s="109"/>
      <c r="J368" s="110"/>
      <c r="K368" s="109"/>
      <c r="L368" s="110"/>
      <c r="M368" s="109"/>
      <c r="N368" s="110"/>
    </row>
    <row r="369" spans="6:14" ht="14.25" customHeight="1" x14ac:dyDescent="0.3">
      <c r="F369" s="108"/>
      <c r="G369" s="108"/>
      <c r="H369" s="108"/>
      <c r="I369" s="109"/>
      <c r="J369" s="110"/>
      <c r="K369" s="109"/>
      <c r="L369" s="110"/>
      <c r="M369" s="109"/>
      <c r="N369" s="110"/>
    </row>
    <row r="370" spans="6:14" ht="14.25" customHeight="1" x14ac:dyDescent="0.3">
      <c r="F370" s="108"/>
      <c r="G370" s="108"/>
      <c r="H370" s="108"/>
      <c r="I370" s="109"/>
      <c r="J370" s="110"/>
      <c r="K370" s="109"/>
      <c r="L370" s="110"/>
      <c r="M370" s="109"/>
      <c r="N370" s="110"/>
    </row>
    <row r="371" spans="6:14" ht="14.25" customHeight="1" x14ac:dyDescent="0.3">
      <c r="F371" s="108"/>
      <c r="G371" s="108"/>
      <c r="H371" s="108"/>
      <c r="I371" s="109"/>
      <c r="J371" s="110"/>
      <c r="K371" s="109"/>
      <c r="L371" s="110"/>
      <c r="M371" s="109"/>
      <c r="N371" s="110"/>
    </row>
    <row r="372" spans="6:14" ht="14.25" customHeight="1" x14ac:dyDescent="0.3">
      <c r="F372" s="108"/>
      <c r="G372" s="108"/>
      <c r="H372" s="108"/>
      <c r="I372" s="109"/>
      <c r="J372" s="110"/>
      <c r="K372" s="109"/>
      <c r="L372" s="110"/>
      <c r="M372" s="109"/>
      <c r="N372" s="110"/>
    </row>
    <row r="373" spans="6:14" ht="14.25" customHeight="1" x14ac:dyDescent="0.3">
      <c r="F373" s="108"/>
      <c r="G373" s="108"/>
      <c r="H373" s="108"/>
      <c r="I373" s="109"/>
      <c r="J373" s="110"/>
      <c r="K373" s="109"/>
      <c r="L373" s="110"/>
      <c r="M373" s="109"/>
      <c r="N373" s="110"/>
    </row>
    <row r="374" spans="6:14" ht="14.25" customHeight="1" x14ac:dyDescent="0.3">
      <c r="F374" s="108"/>
      <c r="G374" s="108"/>
      <c r="H374" s="108"/>
      <c r="I374" s="109"/>
      <c r="J374" s="110"/>
      <c r="K374" s="109"/>
      <c r="L374" s="110"/>
      <c r="M374" s="109"/>
      <c r="N374" s="110"/>
    </row>
    <row r="375" spans="6:14" ht="14.25" customHeight="1" x14ac:dyDescent="0.3">
      <c r="F375" s="108"/>
      <c r="G375" s="108"/>
      <c r="H375" s="108"/>
      <c r="I375" s="109"/>
      <c r="J375" s="110"/>
      <c r="K375" s="109"/>
      <c r="L375" s="110"/>
      <c r="M375" s="109"/>
      <c r="N375" s="110"/>
    </row>
    <row r="376" spans="6:14" ht="14.25" customHeight="1" x14ac:dyDescent="0.3">
      <c r="F376" s="108"/>
      <c r="G376" s="108"/>
      <c r="H376" s="108"/>
      <c r="I376" s="109"/>
      <c r="J376" s="110"/>
      <c r="K376" s="109"/>
      <c r="L376" s="110"/>
      <c r="M376" s="109"/>
      <c r="N376" s="110"/>
    </row>
    <row r="377" spans="6:14" ht="14.25" customHeight="1" x14ac:dyDescent="0.3">
      <c r="F377" s="108"/>
      <c r="G377" s="108"/>
      <c r="H377" s="108"/>
      <c r="I377" s="109"/>
      <c r="J377" s="110"/>
      <c r="K377" s="109"/>
      <c r="L377" s="110"/>
      <c r="M377" s="109"/>
      <c r="N377" s="110"/>
    </row>
    <row r="378" spans="6:14" ht="14.25" customHeight="1" x14ac:dyDescent="0.3">
      <c r="F378" s="108"/>
      <c r="G378" s="108"/>
      <c r="H378" s="108"/>
      <c r="I378" s="109"/>
      <c r="J378" s="110"/>
      <c r="K378" s="109"/>
      <c r="L378" s="110"/>
      <c r="M378" s="109"/>
      <c r="N378" s="110"/>
    </row>
    <row r="379" spans="6:14" ht="14.25" customHeight="1" x14ac:dyDescent="0.3">
      <c r="F379" s="108"/>
      <c r="G379" s="108"/>
      <c r="H379" s="108"/>
      <c r="I379" s="109"/>
      <c r="J379" s="110"/>
      <c r="K379" s="109"/>
      <c r="L379" s="110"/>
      <c r="M379" s="109"/>
      <c r="N379" s="110"/>
    </row>
    <row r="380" spans="6:14" ht="14.25" customHeight="1" x14ac:dyDescent="0.3">
      <c r="F380" s="108"/>
      <c r="G380" s="108"/>
      <c r="H380" s="108"/>
      <c r="I380" s="109"/>
      <c r="J380" s="110"/>
      <c r="K380" s="109"/>
      <c r="L380" s="110"/>
      <c r="M380" s="109"/>
      <c r="N380" s="110"/>
    </row>
    <row r="381" spans="6:14" ht="14.25" customHeight="1" x14ac:dyDescent="0.3">
      <c r="F381" s="108"/>
      <c r="G381" s="108"/>
      <c r="H381" s="108"/>
      <c r="I381" s="109"/>
      <c r="J381" s="110"/>
      <c r="K381" s="109"/>
      <c r="L381" s="110"/>
      <c r="M381" s="109"/>
      <c r="N381" s="110"/>
    </row>
    <row r="382" spans="6:14" ht="14.25" customHeight="1" x14ac:dyDescent="0.3">
      <c r="F382" s="108"/>
      <c r="G382" s="108"/>
      <c r="H382" s="108"/>
      <c r="I382" s="109"/>
      <c r="J382" s="110"/>
      <c r="K382" s="109"/>
      <c r="L382" s="110"/>
      <c r="M382" s="109"/>
      <c r="N382" s="110"/>
    </row>
    <row r="383" spans="6:14" ht="14.25" customHeight="1" x14ac:dyDescent="0.3">
      <c r="F383" s="108"/>
      <c r="G383" s="108"/>
      <c r="H383" s="108"/>
      <c r="I383" s="109"/>
      <c r="J383" s="110"/>
      <c r="K383" s="109"/>
      <c r="L383" s="110"/>
      <c r="M383" s="109"/>
      <c r="N383" s="110"/>
    </row>
    <row r="384" spans="6:14" ht="14.25" customHeight="1" x14ac:dyDescent="0.3">
      <c r="F384" s="108"/>
      <c r="G384" s="108"/>
      <c r="H384" s="108"/>
      <c r="I384" s="109"/>
      <c r="J384" s="110"/>
      <c r="K384" s="109"/>
      <c r="L384" s="110"/>
      <c r="M384" s="109"/>
      <c r="N384" s="110"/>
    </row>
    <row r="385" spans="6:14" ht="14.25" customHeight="1" x14ac:dyDescent="0.3">
      <c r="F385" s="108"/>
      <c r="G385" s="108"/>
      <c r="H385" s="108"/>
      <c r="I385" s="109"/>
      <c r="J385" s="110"/>
      <c r="K385" s="109"/>
      <c r="L385" s="110"/>
      <c r="M385" s="109"/>
      <c r="N385" s="110"/>
    </row>
    <row r="386" spans="6:14" ht="14.25" customHeight="1" x14ac:dyDescent="0.3">
      <c r="F386" s="108"/>
      <c r="G386" s="108"/>
      <c r="H386" s="108"/>
      <c r="I386" s="109"/>
      <c r="J386" s="110"/>
      <c r="K386" s="109"/>
      <c r="L386" s="110"/>
      <c r="M386" s="109"/>
      <c r="N386" s="110"/>
    </row>
    <row r="387" spans="6:14" ht="14.25" customHeight="1" x14ac:dyDescent="0.3">
      <c r="F387" s="108"/>
      <c r="G387" s="108"/>
      <c r="H387" s="108"/>
      <c r="I387" s="109"/>
      <c r="J387" s="110"/>
      <c r="K387" s="109"/>
      <c r="L387" s="110"/>
      <c r="M387" s="109"/>
      <c r="N387" s="110"/>
    </row>
    <row r="388" spans="6:14" ht="14.25" customHeight="1" x14ac:dyDescent="0.3">
      <c r="F388" s="108"/>
      <c r="G388" s="108"/>
      <c r="H388" s="108"/>
      <c r="I388" s="109"/>
      <c r="J388" s="110"/>
      <c r="K388" s="109"/>
      <c r="L388" s="110"/>
      <c r="M388" s="109"/>
      <c r="N388" s="110"/>
    </row>
    <row r="389" spans="6:14" ht="14.25" customHeight="1" x14ac:dyDescent="0.3">
      <c r="F389" s="108"/>
      <c r="G389" s="108"/>
      <c r="H389" s="108"/>
      <c r="I389" s="109"/>
      <c r="J389" s="110"/>
      <c r="K389" s="109"/>
      <c r="L389" s="110"/>
      <c r="M389" s="109"/>
      <c r="N389" s="110"/>
    </row>
    <row r="390" spans="6:14" ht="14.25" customHeight="1" x14ac:dyDescent="0.3">
      <c r="F390" s="108"/>
      <c r="G390" s="108"/>
      <c r="H390" s="108"/>
      <c r="I390" s="109"/>
      <c r="J390" s="110"/>
      <c r="K390" s="109"/>
      <c r="L390" s="110"/>
      <c r="M390" s="109"/>
      <c r="N390" s="110"/>
    </row>
    <row r="391" spans="6:14" ht="14.25" customHeight="1" x14ac:dyDescent="0.3">
      <c r="F391" s="108"/>
      <c r="G391" s="108"/>
      <c r="H391" s="108"/>
      <c r="I391" s="109"/>
      <c r="J391" s="110"/>
      <c r="K391" s="109"/>
      <c r="L391" s="110"/>
      <c r="M391" s="109"/>
      <c r="N391" s="110"/>
    </row>
    <row r="392" spans="6:14" ht="14.25" customHeight="1" x14ac:dyDescent="0.3">
      <c r="F392" s="108"/>
      <c r="G392" s="108"/>
      <c r="H392" s="108"/>
      <c r="I392" s="109"/>
      <c r="J392" s="110"/>
      <c r="K392" s="109"/>
      <c r="L392" s="110"/>
      <c r="M392" s="109"/>
      <c r="N392" s="110"/>
    </row>
    <row r="393" spans="6:14" ht="14.25" customHeight="1" x14ac:dyDescent="0.3">
      <c r="F393" s="108"/>
      <c r="G393" s="108"/>
      <c r="H393" s="108"/>
      <c r="I393" s="109"/>
      <c r="J393" s="110"/>
      <c r="K393" s="109"/>
      <c r="L393" s="110"/>
      <c r="M393" s="109"/>
      <c r="N393" s="110"/>
    </row>
    <row r="394" spans="6:14" ht="14.25" customHeight="1" x14ac:dyDescent="0.3">
      <c r="F394" s="108"/>
      <c r="G394" s="108"/>
      <c r="H394" s="108"/>
      <c r="I394" s="109"/>
      <c r="J394" s="110"/>
      <c r="K394" s="109"/>
      <c r="L394" s="110"/>
      <c r="M394" s="109"/>
      <c r="N394" s="110"/>
    </row>
    <row r="395" spans="6:14" ht="14.25" customHeight="1" x14ac:dyDescent="0.3">
      <c r="F395" s="108"/>
      <c r="G395" s="108"/>
      <c r="H395" s="108"/>
      <c r="I395" s="109"/>
      <c r="J395" s="110"/>
      <c r="K395" s="109"/>
      <c r="L395" s="110"/>
      <c r="M395" s="109"/>
      <c r="N395" s="110"/>
    </row>
    <row r="396" spans="6:14" ht="14.25" customHeight="1" x14ac:dyDescent="0.3">
      <c r="F396" s="108"/>
      <c r="G396" s="108"/>
      <c r="H396" s="108"/>
      <c r="I396" s="109"/>
      <c r="J396" s="110"/>
      <c r="K396" s="109"/>
      <c r="L396" s="110"/>
      <c r="M396" s="109"/>
      <c r="N396" s="110"/>
    </row>
    <row r="397" spans="6:14" ht="14.25" customHeight="1" x14ac:dyDescent="0.3">
      <c r="F397" s="108"/>
      <c r="G397" s="108"/>
      <c r="H397" s="108"/>
      <c r="I397" s="109"/>
      <c r="J397" s="110"/>
      <c r="K397" s="109"/>
      <c r="L397" s="110"/>
      <c r="M397" s="109"/>
      <c r="N397" s="110"/>
    </row>
    <row r="398" spans="6:14" ht="14.25" customHeight="1" x14ac:dyDescent="0.3">
      <c r="F398" s="108"/>
      <c r="G398" s="108"/>
      <c r="H398" s="108"/>
      <c r="I398" s="109"/>
      <c r="J398" s="110"/>
      <c r="K398" s="109"/>
      <c r="L398" s="110"/>
      <c r="M398" s="109"/>
      <c r="N398" s="110"/>
    </row>
    <row r="399" spans="6:14" ht="14.25" customHeight="1" x14ac:dyDescent="0.3">
      <c r="F399" s="108"/>
      <c r="G399" s="108"/>
      <c r="H399" s="108"/>
      <c r="I399" s="109"/>
      <c r="J399" s="110"/>
      <c r="K399" s="109"/>
      <c r="L399" s="110"/>
      <c r="M399" s="109"/>
      <c r="N399" s="110"/>
    </row>
    <row r="400" spans="6:14" ht="14.25" customHeight="1" x14ac:dyDescent="0.3">
      <c r="F400" s="108"/>
      <c r="G400" s="108"/>
      <c r="H400" s="108"/>
      <c r="I400" s="109"/>
      <c r="J400" s="110"/>
      <c r="K400" s="109"/>
      <c r="L400" s="110"/>
      <c r="M400" s="109"/>
      <c r="N400" s="110"/>
    </row>
    <row r="401" spans="6:14" ht="14.25" customHeight="1" x14ac:dyDescent="0.3">
      <c r="F401" s="108"/>
      <c r="G401" s="108"/>
      <c r="H401" s="108"/>
      <c r="I401" s="109"/>
      <c r="J401" s="110"/>
      <c r="K401" s="109"/>
      <c r="L401" s="110"/>
      <c r="M401" s="109"/>
      <c r="N401" s="110"/>
    </row>
    <row r="402" spans="6:14" ht="14.25" customHeight="1" x14ac:dyDescent="0.3">
      <c r="F402" s="108"/>
      <c r="G402" s="108"/>
      <c r="H402" s="108"/>
      <c r="I402" s="109"/>
      <c r="J402" s="110"/>
      <c r="K402" s="109"/>
      <c r="L402" s="110"/>
      <c r="M402" s="109"/>
      <c r="N402" s="110"/>
    </row>
    <row r="403" spans="6:14" ht="14.25" customHeight="1" x14ac:dyDescent="0.3">
      <c r="F403" s="108"/>
      <c r="G403" s="108"/>
      <c r="H403" s="108"/>
      <c r="I403" s="109"/>
      <c r="J403" s="110"/>
      <c r="K403" s="109"/>
      <c r="L403" s="110"/>
      <c r="M403" s="109"/>
      <c r="N403" s="110"/>
    </row>
    <row r="404" spans="6:14" ht="14.25" customHeight="1" x14ac:dyDescent="0.3">
      <c r="F404" s="108"/>
      <c r="G404" s="108"/>
      <c r="H404" s="108"/>
      <c r="I404" s="109"/>
      <c r="J404" s="110"/>
      <c r="K404" s="109"/>
      <c r="L404" s="110"/>
      <c r="M404" s="109"/>
      <c r="N404" s="110"/>
    </row>
    <row r="405" spans="6:14" ht="14.25" customHeight="1" x14ac:dyDescent="0.3">
      <c r="F405" s="108"/>
      <c r="G405" s="108"/>
      <c r="H405" s="108"/>
      <c r="I405" s="109"/>
      <c r="J405" s="110"/>
      <c r="K405" s="109"/>
      <c r="L405" s="110"/>
      <c r="M405" s="109"/>
      <c r="N405" s="110"/>
    </row>
    <row r="406" spans="6:14" ht="14.25" customHeight="1" x14ac:dyDescent="0.3">
      <c r="F406" s="108"/>
      <c r="G406" s="108"/>
      <c r="H406" s="108"/>
      <c r="I406" s="109"/>
      <c r="J406" s="110"/>
      <c r="K406" s="109"/>
      <c r="L406" s="110"/>
      <c r="M406" s="109"/>
      <c r="N406" s="110"/>
    </row>
    <row r="407" spans="6:14" ht="14.25" customHeight="1" x14ac:dyDescent="0.3">
      <c r="F407" s="108"/>
      <c r="G407" s="108"/>
      <c r="H407" s="108"/>
      <c r="I407" s="109"/>
      <c r="J407" s="110"/>
      <c r="K407" s="109"/>
      <c r="L407" s="110"/>
      <c r="M407" s="109"/>
      <c r="N407" s="110"/>
    </row>
    <row r="408" spans="6:14" ht="14.25" customHeight="1" x14ac:dyDescent="0.3">
      <c r="F408" s="108"/>
      <c r="G408" s="108"/>
      <c r="H408" s="108"/>
      <c r="I408" s="109"/>
      <c r="J408" s="110"/>
      <c r="K408" s="109"/>
      <c r="L408" s="110"/>
      <c r="M408" s="109"/>
      <c r="N408" s="110"/>
    </row>
    <row r="409" spans="6:14" ht="14.25" customHeight="1" x14ac:dyDescent="0.3">
      <c r="F409" s="108"/>
      <c r="G409" s="108"/>
      <c r="H409" s="108"/>
      <c r="I409" s="109"/>
      <c r="J409" s="110"/>
      <c r="K409" s="109"/>
      <c r="L409" s="110"/>
      <c r="M409" s="109"/>
      <c r="N409" s="110"/>
    </row>
    <row r="410" spans="6:14" ht="14.25" customHeight="1" x14ac:dyDescent="0.3">
      <c r="F410" s="108"/>
      <c r="G410" s="108"/>
      <c r="H410" s="108"/>
      <c r="I410" s="109"/>
      <c r="J410" s="110"/>
      <c r="K410" s="109"/>
      <c r="L410" s="110"/>
      <c r="M410" s="109"/>
      <c r="N410" s="110"/>
    </row>
    <row r="411" spans="6:14" ht="14.25" customHeight="1" x14ac:dyDescent="0.3">
      <c r="F411" s="108"/>
      <c r="G411" s="108"/>
      <c r="H411" s="108"/>
      <c r="I411" s="109"/>
      <c r="J411" s="110"/>
      <c r="K411" s="109"/>
      <c r="L411" s="110"/>
      <c r="M411" s="109"/>
      <c r="N411" s="110"/>
    </row>
    <row r="412" spans="6:14" ht="14.25" customHeight="1" x14ac:dyDescent="0.3">
      <c r="F412" s="108"/>
      <c r="G412" s="108"/>
      <c r="H412" s="108"/>
      <c r="I412" s="109"/>
      <c r="J412" s="110"/>
      <c r="K412" s="109"/>
      <c r="L412" s="110"/>
      <c r="M412" s="109"/>
      <c r="N412" s="110"/>
    </row>
    <row r="413" spans="6:14" ht="14.25" customHeight="1" x14ac:dyDescent="0.3">
      <c r="F413" s="108"/>
      <c r="G413" s="108"/>
      <c r="H413" s="108"/>
      <c r="I413" s="109"/>
      <c r="J413" s="110"/>
      <c r="K413" s="109"/>
      <c r="L413" s="110"/>
      <c r="M413" s="109"/>
      <c r="N413" s="110"/>
    </row>
    <row r="414" spans="6:14" ht="14.25" customHeight="1" x14ac:dyDescent="0.3">
      <c r="F414" s="108"/>
      <c r="G414" s="108"/>
      <c r="H414" s="108"/>
      <c r="I414" s="109"/>
      <c r="J414" s="110"/>
      <c r="K414" s="109"/>
      <c r="L414" s="110"/>
      <c r="M414" s="109"/>
      <c r="N414" s="110"/>
    </row>
    <row r="415" spans="6:14" ht="14.25" customHeight="1" x14ac:dyDescent="0.3">
      <c r="F415" s="108"/>
      <c r="G415" s="108"/>
      <c r="H415" s="108"/>
      <c r="I415" s="109"/>
      <c r="J415" s="110"/>
      <c r="K415" s="109"/>
      <c r="L415" s="110"/>
      <c r="M415" s="109"/>
      <c r="N415" s="110"/>
    </row>
    <row r="416" spans="6:14" ht="14.25" customHeight="1" x14ac:dyDescent="0.3">
      <c r="F416" s="108"/>
      <c r="G416" s="108"/>
      <c r="H416" s="108"/>
      <c r="I416" s="109"/>
      <c r="J416" s="110"/>
      <c r="K416" s="109"/>
      <c r="L416" s="110"/>
      <c r="M416" s="109"/>
      <c r="N416" s="110"/>
    </row>
    <row r="417" spans="6:14" ht="14.25" customHeight="1" x14ac:dyDescent="0.3">
      <c r="F417" s="108"/>
      <c r="G417" s="108"/>
      <c r="H417" s="108"/>
      <c r="I417" s="109"/>
      <c r="J417" s="110"/>
      <c r="K417" s="109"/>
      <c r="L417" s="110"/>
      <c r="M417" s="109"/>
      <c r="N417" s="110"/>
    </row>
    <row r="418" spans="6:14" ht="14.25" customHeight="1" x14ac:dyDescent="0.3">
      <c r="F418" s="108"/>
      <c r="G418" s="108"/>
      <c r="H418" s="108"/>
      <c r="I418" s="109"/>
      <c r="J418" s="110"/>
      <c r="K418" s="109"/>
      <c r="L418" s="110"/>
      <c r="M418" s="109"/>
      <c r="N418" s="110"/>
    </row>
    <row r="419" spans="6:14" ht="14.25" customHeight="1" x14ac:dyDescent="0.3">
      <c r="F419" s="108"/>
      <c r="G419" s="108"/>
      <c r="H419" s="108"/>
      <c r="I419" s="109"/>
      <c r="J419" s="110"/>
      <c r="K419" s="109"/>
      <c r="L419" s="110"/>
      <c r="M419" s="109"/>
      <c r="N419" s="110"/>
    </row>
    <row r="420" spans="6:14" ht="14.25" customHeight="1" x14ac:dyDescent="0.3">
      <c r="F420" s="108"/>
      <c r="G420" s="108"/>
      <c r="H420" s="108"/>
      <c r="I420" s="109"/>
      <c r="J420" s="110"/>
      <c r="K420" s="109"/>
      <c r="L420" s="110"/>
      <c r="M420" s="109"/>
      <c r="N420" s="110"/>
    </row>
    <row r="421" spans="6:14" ht="14.25" customHeight="1" x14ac:dyDescent="0.3">
      <c r="F421" s="108"/>
      <c r="G421" s="108"/>
      <c r="H421" s="108"/>
      <c r="I421" s="109"/>
      <c r="J421" s="110"/>
      <c r="K421" s="109"/>
      <c r="L421" s="110"/>
      <c r="M421" s="109"/>
      <c r="N421" s="110"/>
    </row>
    <row r="422" spans="6:14" ht="14.25" customHeight="1" x14ac:dyDescent="0.3">
      <c r="F422" s="108"/>
      <c r="G422" s="108"/>
      <c r="H422" s="108"/>
      <c r="I422" s="109"/>
      <c r="J422" s="110"/>
      <c r="K422" s="109"/>
      <c r="L422" s="110"/>
      <c r="M422" s="109"/>
      <c r="N422" s="110"/>
    </row>
    <row r="423" spans="6:14" ht="14.25" customHeight="1" x14ac:dyDescent="0.3">
      <c r="F423" s="108"/>
      <c r="G423" s="108"/>
      <c r="H423" s="108"/>
      <c r="I423" s="109"/>
      <c r="J423" s="110"/>
      <c r="K423" s="109"/>
      <c r="L423" s="110"/>
      <c r="M423" s="109"/>
      <c r="N423" s="110"/>
    </row>
    <row r="424" spans="6:14" ht="14.25" customHeight="1" x14ac:dyDescent="0.3">
      <c r="F424" s="108"/>
      <c r="G424" s="108"/>
      <c r="H424" s="108"/>
      <c r="I424" s="109"/>
      <c r="J424" s="110"/>
      <c r="K424" s="109"/>
      <c r="L424" s="110"/>
      <c r="M424" s="109"/>
      <c r="N424" s="110"/>
    </row>
    <row r="425" spans="6:14" ht="14.25" customHeight="1" x14ac:dyDescent="0.3">
      <c r="F425" s="108"/>
      <c r="G425" s="108"/>
      <c r="H425" s="108"/>
      <c r="I425" s="109"/>
      <c r="J425" s="110"/>
      <c r="K425" s="109"/>
      <c r="L425" s="110"/>
      <c r="M425" s="109"/>
      <c r="N425" s="110"/>
    </row>
    <row r="426" spans="6:14" ht="14.25" customHeight="1" x14ac:dyDescent="0.3">
      <c r="F426" s="108"/>
      <c r="G426" s="108"/>
      <c r="H426" s="108"/>
      <c r="I426" s="109"/>
      <c r="J426" s="110"/>
      <c r="K426" s="109"/>
      <c r="L426" s="110"/>
      <c r="M426" s="109"/>
      <c r="N426" s="110"/>
    </row>
    <row r="427" spans="6:14" ht="14.25" customHeight="1" x14ac:dyDescent="0.3">
      <c r="F427" s="108"/>
      <c r="G427" s="108"/>
      <c r="H427" s="108"/>
      <c r="I427" s="109"/>
      <c r="J427" s="110"/>
      <c r="K427" s="109"/>
      <c r="L427" s="110"/>
      <c r="M427" s="109"/>
      <c r="N427" s="110"/>
    </row>
    <row r="428" spans="6:14" ht="14.25" customHeight="1" x14ac:dyDescent="0.3">
      <c r="F428" s="108"/>
      <c r="G428" s="108"/>
      <c r="H428" s="108"/>
      <c r="I428" s="109"/>
      <c r="J428" s="110"/>
      <c r="K428" s="109"/>
      <c r="L428" s="110"/>
      <c r="M428" s="109"/>
      <c r="N428" s="110"/>
    </row>
    <row r="429" spans="6:14" ht="14.25" customHeight="1" x14ac:dyDescent="0.3">
      <c r="F429" s="108"/>
      <c r="G429" s="108"/>
      <c r="H429" s="108"/>
      <c r="I429" s="109"/>
      <c r="J429" s="110"/>
      <c r="K429" s="109"/>
      <c r="L429" s="110"/>
      <c r="M429" s="109"/>
      <c r="N429" s="110"/>
    </row>
    <row r="430" spans="6:14" ht="14.25" customHeight="1" x14ac:dyDescent="0.3">
      <c r="F430" s="108"/>
      <c r="G430" s="108"/>
      <c r="H430" s="108"/>
      <c r="I430" s="109"/>
      <c r="J430" s="110"/>
      <c r="K430" s="109"/>
      <c r="L430" s="110"/>
      <c r="M430" s="109"/>
      <c r="N430" s="110"/>
    </row>
    <row r="431" spans="6:14" ht="14.25" customHeight="1" x14ac:dyDescent="0.3">
      <c r="F431" s="108"/>
      <c r="G431" s="108"/>
      <c r="H431" s="108"/>
      <c r="I431" s="109"/>
      <c r="J431" s="110"/>
      <c r="K431" s="109"/>
      <c r="L431" s="110"/>
      <c r="M431" s="109"/>
      <c r="N431" s="110"/>
    </row>
    <row r="432" spans="6:14" ht="14.25" customHeight="1" x14ac:dyDescent="0.3">
      <c r="F432" s="108"/>
      <c r="G432" s="108"/>
      <c r="H432" s="108"/>
      <c r="I432" s="109"/>
      <c r="J432" s="110"/>
      <c r="K432" s="109"/>
      <c r="L432" s="110"/>
      <c r="M432" s="109"/>
      <c r="N432" s="110"/>
    </row>
    <row r="433" spans="6:14" ht="14.25" customHeight="1" x14ac:dyDescent="0.3">
      <c r="F433" s="108"/>
      <c r="G433" s="108"/>
      <c r="H433" s="108"/>
      <c r="I433" s="109"/>
      <c r="J433" s="110"/>
      <c r="K433" s="109"/>
      <c r="L433" s="110"/>
      <c r="M433" s="109"/>
      <c r="N433" s="110"/>
    </row>
    <row r="434" spans="6:14" ht="14.25" customHeight="1" x14ac:dyDescent="0.3">
      <c r="F434" s="108"/>
      <c r="G434" s="108"/>
      <c r="H434" s="108"/>
      <c r="I434" s="109"/>
      <c r="J434" s="110"/>
      <c r="K434" s="109"/>
      <c r="L434" s="110"/>
      <c r="M434" s="109"/>
      <c r="N434" s="110"/>
    </row>
    <row r="435" spans="6:14" ht="14.25" customHeight="1" x14ac:dyDescent="0.3">
      <c r="F435" s="108"/>
      <c r="G435" s="108"/>
      <c r="H435" s="108"/>
      <c r="I435" s="109"/>
      <c r="J435" s="110"/>
      <c r="K435" s="109"/>
      <c r="L435" s="110"/>
      <c r="M435" s="109"/>
      <c r="N435" s="110"/>
    </row>
    <row r="436" spans="6:14" ht="14.25" customHeight="1" x14ac:dyDescent="0.3">
      <c r="F436" s="108"/>
      <c r="G436" s="108"/>
      <c r="H436" s="108"/>
      <c r="I436" s="109"/>
      <c r="J436" s="110"/>
      <c r="K436" s="109"/>
      <c r="L436" s="110"/>
      <c r="M436" s="109"/>
      <c r="N436" s="110"/>
    </row>
    <row r="437" spans="6:14" ht="14.25" customHeight="1" x14ac:dyDescent="0.3">
      <c r="F437" s="108"/>
      <c r="G437" s="108"/>
      <c r="H437" s="108"/>
      <c r="I437" s="109"/>
      <c r="J437" s="110"/>
      <c r="K437" s="109"/>
      <c r="L437" s="110"/>
      <c r="M437" s="109"/>
      <c r="N437" s="110"/>
    </row>
    <row r="438" spans="6:14" ht="14.25" customHeight="1" x14ac:dyDescent="0.3">
      <c r="F438" s="108"/>
      <c r="G438" s="108"/>
      <c r="H438" s="108"/>
      <c r="I438" s="109"/>
      <c r="J438" s="110"/>
      <c r="K438" s="109"/>
      <c r="L438" s="110"/>
      <c r="M438" s="109"/>
      <c r="N438" s="110"/>
    </row>
    <row r="439" spans="6:14" ht="14.25" customHeight="1" x14ac:dyDescent="0.3">
      <c r="F439" s="108"/>
      <c r="G439" s="108"/>
      <c r="H439" s="108"/>
      <c r="I439" s="109"/>
      <c r="J439" s="110"/>
      <c r="K439" s="109"/>
      <c r="L439" s="110"/>
      <c r="M439" s="109"/>
      <c r="N439" s="110"/>
    </row>
    <row r="440" spans="6:14" ht="14.25" customHeight="1" x14ac:dyDescent="0.3">
      <c r="F440" s="108"/>
      <c r="G440" s="108"/>
      <c r="H440" s="108"/>
      <c r="I440" s="109"/>
      <c r="J440" s="110"/>
      <c r="K440" s="109"/>
      <c r="L440" s="110"/>
      <c r="M440" s="109"/>
      <c r="N440" s="110"/>
    </row>
    <row r="441" spans="6:14" ht="14.25" customHeight="1" x14ac:dyDescent="0.3">
      <c r="F441" s="108"/>
      <c r="G441" s="108"/>
      <c r="H441" s="108"/>
      <c r="I441" s="109"/>
      <c r="J441" s="110"/>
      <c r="K441" s="109"/>
      <c r="L441" s="110"/>
      <c r="M441" s="109"/>
      <c r="N441" s="110"/>
    </row>
    <row r="442" spans="6:14" ht="14.25" customHeight="1" x14ac:dyDescent="0.3">
      <c r="F442" s="108"/>
      <c r="G442" s="108"/>
      <c r="H442" s="108"/>
      <c r="I442" s="109"/>
      <c r="J442" s="110"/>
      <c r="K442" s="109"/>
      <c r="L442" s="110"/>
      <c r="M442" s="109"/>
      <c r="N442" s="110"/>
    </row>
    <row r="443" spans="6:14" ht="14.25" customHeight="1" x14ac:dyDescent="0.3">
      <c r="F443" s="108"/>
      <c r="G443" s="108"/>
      <c r="H443" s="108"/>
      <c r="I443" s="109"/>
      <c r="J443" s="110"/>
      <c r="K443" s="109"/>
      <c r="L443" s="110"/>
      <c r="M443" s="109"/>
      <c r="N443" s="110"/>
    </row>
    <row r="444" spans="6:14" ht="14.25" customHeight="1" x14ac:dyDescent="0.3">
      <c r="F444" s="108"/>
      <c r="G444" s="108"/>
      <c r="H444" s="108"/>
      <c r="I444" s="109"/>
      <c r="J444" s="110"/>
      <c r="K444" s="109"/>
      <c r="L444" s="110"/>
      <c r="M444" s="109"/>
      <c r="N444" s="110"/>
    </row>
    <row r="445" spans="6:14" ht="14.25" customHeight="1" x14ac:dyDescent="0.3">
      <c r="F445" s="108"/>
      <c r="G445" s="108"/>
      <c r="H445" s="108"/>
      <c r="I445" s="109"/>
      <c r="J445" s="110"/>
      <c r="K445" s="109"/>
      <c r="L445" s="110"/>
      <c r="M445" s="109"/>
      <c r="N445" s="110"/>
    </row>
    <row r="446" spans="6:14" ht="14.25" customHeight="1" x14ac:dyDescent="0.3">
      <c r="F446" s="108"/>
      <c r="G446" s="108"/>
      <c r="H446" s="108"/>
      <c r="I446" s="109"/>
      <c r="J446" s="110"/>
      <c r="K446" s="109"/>
      <c r="L446" s="110"/>
      <c r="M446" s="109"/>
      <c r="N446" s="110"/>
    </row>
    <row r="447" spans="6:14" ht="14.25" customHeight="1" x14ac:dyDescent="0.3">
      <c r="F447" s="108"/>
      <c r="G447" s="108"/>
      <c r="H447" s="108"/>
      <c r="I447" s="109"/>
      <c r="J447" s="110"/>
      <c r="K447" s="109"/>
      <c r="L447" s="110"/>
      <c r="M447" s="109"/>
      <c r="N447" s="110"/>
    </row>
    <row r="448" spans="6:14" ht="14.25" customHeight="1" x14ac:dyDescent="0.3">
      <c r="F448" s="108"/>
      <c r="G448" s="108"/>
      <c r="H448" s="108"/>
      <c r="I448" s="109"/>
      <c r="J448" s="110"/>
      <c r="K448" s="109"/>
      <c r="L448" s="110"/>
      <c r="M448" s="109"/>
      <c r="N448" s="110"/>
    </row>
    <row r="449" spans="6:14" ht="14.25" customHeight="1" x14ac:dyDescent="0.3">
      <c r="F449" s="108"/>
      <c r="G449" s="108"/>
      <c r="H449" s="108"/>
      <c r="I449" s="109"/>
      <c r="J449" s="110"/>
      <c r="K449" s="109"/>
      <c r="L449" s="110"/>
      <c r="M449" s="109"/>
      <c r="N449" s="110"/>
    </row>
    <row r="450" spans="6:14" ht="14.25" customHeight="1" x14ac:dyDescent="0.3">
      <c r="F450" s="108"/>
      <c r="G450" s="108"/>
      <c r="H450" s="108"/>
      <c r="I450" s="109"/>
      <c r="J450" s="110"/>
      <c r="K450" s="109"/>
      <c r="L450" s="110"/>
      <c r="M450" s="109"/>
      <c r="N450" s="110"/>
    </row>
    <row r="451" spans="6:14" ht="14.25" customHeight="1" x14ac:dyDescent="0.3">
      <c r="F451" s="108"/>
      <c r="G451" s="108"/>
      <c r="H451" s="108"/>
      <c r="I451" s="109"/>
      <c r="J451" s="110"/>
      <c r="K451" s="109"/>
      <c r="L451" s="110"/>
      <c r="M451" s="109"/>
      <c r="N451" s="110"/>
    </row>
    <row r="452" spans="6:14" ht="14.25" customHeight="1" x14ac:dyDescent="0.3">
      <c r="F452" s="108"/>
      <c r="G452" s="108"/>
      <c r="H452" s="108"/>
      <c r="I452" s="109"/>
      <c r="J452" s="110"/>
      <c r="K452" s="109"/>
      <c r="L452" s="110"/>
      <c r="M452" s="109"/>
      <c r="N452" s="110"/>
    </row>
    <row r="453" spans="6:14" ht="14.25" customHeight="1" x14ac:dyDescent="0.3">
      <c r="F453" s="108"/>
      <c r="G453" s="108"/>
      <c r="H453" s="108"/>
      <c r="I453" s="109"/>
      <c r="J453" s="110"/>
      <c r="K453" s="109"/>
      <c r="L453" s="110"/>
      <c r="M453" s="109"/>
      <c r="N453" s="110"/>
    </row>
    <row r="454" spans="6:14" ht="14.25" customHeight="1" x14ac:dyDescent="0.3">
      <c r="F454" s="108"/>
      <c r="G454" s="108"/>
      <c r="H454" s="108"/>
      <c r="I454" s="109"/>
      <c r="J454" s="110"/>
      <c r="K454" s="109"/>
      <c r="L454" s="110"/>
      <c r="M454" s="109"/>
      <c r="N454" s="110"/>
    </row>
    <row r="455" spans="6:14" ht="14.25" customHeight="1" x14ac:dyDescent="0.3">
      <c r="F455" s="108"/>
      <c r="G455" s="108"/>
      <c r="H455" s="108"/>
      <c r="I455" s="109"/>
      <c r="J455" s="110"/>
      <c r="K455" s="109"/>
      <c r="L455" s="110"/>
      <c r="M455" s="109"/>
      <c r="N455" s="110"/>
    </row>
    <row r="456" spans="6:14" ht="14.25" customHeight="1" x14ac:dyDescent="0.3">
      <c r="F456" s="108"/>
      <c r="G456" s="108"/>
      <c r="H456" s="108"/>
      <c r="I456" s="109"/>
      <c r="J456" s="110"/>
      <c r="K456" s="109"/>
      <c r="L456" s="110"/>
      <c r="M456" s="109"/>
      <c r="N456" s="110"/>
    </row>
    <row r="457" spans="6:14" ht="14.25" customHeight="1" x14ac:dyDescent="0.3">
      <c r="F457" s="108"/>
      <c r="G457" s="108"/>
      <c r="H457" s="108"/>
      <c r="I457" s="109"/>
      <c r="J457" s="110"/>
      <c r="K457" s="109"/>
      <c r="L457" s="110"/>
      <c r="M457" s="109"/>
      <c r="N457" s="110"/>
    </row>
    <row r="458" spans="6:14" ht="14.25" customHeight="1" x14ac:dyDescent="0.3">
      <c r="F458" s="108"/>
      <c r="G458" s="108"/>
      <c r="H458" s="108"/>
      <c r="I458" s="109"/>
      <c r="J458" s="110"/>
      <c r="K458" s="109"/>
      <c r="L458" s="110"/>
      <c r="M458" s="109"/>
      <c r="N458" s="110"/>
    </row>
    <row r="459" spans="6:14" ht="14.25" customHeight="1" x14ac:dyDescent="0.3">
      <c r="F459" s="108"/>
      <c r="G459" s="108"/>
      <c r="H459" s="108"/>
      <c r="I459" s="109"/>
      <c r="J459" s="110"/>
      <c r="K459" s="109"/>
      <c r="L459" s="110"/>
      <c r="M459" s="109"/>
      <c r="N459" s="110"/>
    </row>
    <row r="460" spans="6:14" ht="14.25" customHeight="1" x14ac:dyDescent="0.3">
      <c r="F460" s="108"/>
      <c r="G460" s="108"/>
      <c r="H460" s="108"/>
      <c r="I460" s="109"/>
      <c r="J460" s="110"/>
      <c r="K460" s="109"/>
      <c r="L460" s="110"/>
      <c r="M460" s="109"/>
      <c r="N460" s="110"/>
    </row>
    <row r="461" spans="6:14" ht="14.25" customHeight="1" x14ac:dyDescent="0.3">
      <c r="F461" s="108"/>
      <c r="G461" s="108"/>
      <c r="H461" s="108"/>
      <c r="I461" s="109"/>
      <c r="J461" s="110"/>
      <c r="K461" s="109"/>
      <c r="L461" s="110"/>
      <c r="M461" s="109"/>
      <c r="N461" s="110"/>
    </row>
    <row r="462" spans="6:14" ht="14.25" customHeight="1" x14ac:dyDescent="0.3">
      <c r="F462" s="108"/>
      <c r="G462" s="108"/>
      <c r="H462" s="108"/>
      <c r="I462" s="109"/>
      <c r="J462" s="110"/>
      <c r="K462" s="109"/>
      <c r="L462" s="110"/>
      <c r="M462" s="109"/>
      <c r="N462" s="110"/>
    </row>
    <row r="463" spans="6:14" ht="14.25" customHeight="1" x14ac:dyDescent="0.3">
      <c r="F463" s="108"/>
      <c r="G463" s="108"/>
      <c r="H463" s="108"/>
      <c r="I463" s="109"/>
      <c r="J463" s="110"/>
      <c r="K463" s="109"/>
      <c r="L463" s="110"/>
      <c r="M463" s="109"/>
      <c r="N463" s="110"/>
    </row>
    <row r="464" spans="6:14" ht="14.25" customHeight="1" x14ac:dyDescent="0.3">
      <c r="F464" s="108"/>
      <c r="G464" s="108"/>
      <c r="H464" s="108"/>
      <c r="I464" s="109"/>
      <c r="J464" s="110"/>
      <c r="K464" s="109"/>
      <c r="L464" s="110"/>
      <c r="M464" s="109"/>
      <c r="N464" s="110"/>
    </row>
    <row r="465" spans="6:14" ht="14.25" customHeight="1" x14ac:dyDescent="0.3">
      <c r="F465" s="108"/>
      <c r="G465" s="108"/>
      <c r="H465" s="108"/>
      <c r="I465" s="109"/>
      <c r="J465" s="110"/>
      <c r="K465" s="109"/>
      <c r="L465" s="110"/>
      <c r="M465" s="109"/>
      <c r="N465" s="110"/>
    </row>
    <row r="466" spans="6:14" ht="14.25" customHeight="1" x14ac:dyDescent="0.3">
      <c r="F466" s="108"/>
      <c r="G466" s="108"/>
      <c r="H466" s="108"/>
      <c r="I466" s="109"/>
      <c r="J466" s="110"/>
      <c r="K466" s="109"/>
      <c r="L466" s="110"/>
      <c r="M466" s="109"/>
      <c r="N466" s="110"/>
    </row>
    <row r="467" spans="6:14" ht="14.25" customHeight="1" x14ac:dyDescent="0.3">
      <c r="F467" s="108"/>
      <c r="G467" s="108"/>
      <c r="H467" s="108"/>
      <c r="I467" s="109"/>
      <c r="J467" s="110"/>
      <c r="K467" s="109"/>
      <c r="L467" s="110"/>
      <c r="M467" s="109"/>
      <c r="N467" s="110"/>
    </row>
    <row r="468" spans="6:14" ht="14.25" customHeight="1" x14ac:dyDescent="0.3">
      <c r="F468" s="108"/>
      <c r="G468" s="108"/>
      <c r="H468" s="108"/>
      <c r="I468" s="109"/>
      <c r="J468" s="110"/>
      <c r="K468" s="109"/>
      <c r="L468" s="110"/>
      <c r="M468" s="109"/>
      <c r="N468" s="110"/>
    </row>
    <row r="469" spans="6:14" ht="14.25" customHeight="1" x14ac:dyDescent="0.3">
      <c r="F469" s="108"/>
      <c r="G469" s="108"/>
      <c r="H469" s="108"/>
      <c r="I469" s="109"/>
      <c r="J469" s="110"/>
      <c r="K469" s="109"/>
      <c r="L469" s="110"/>
      <c r="M469" s="109"/>
      <c r="N469" s="110"/>
    </row>
    <row r="470" spans="6:14" ht="14.25" customHeight="1" x14ac:dyDescent="0.3">
      <c r="F470" s="108"/>
      <c r="G470" s="108"/>
      <c r="H470" s="108"/>
      <c r="I470" s="109"/>
      <c r="J470" s="110"/>
      <c r="K470" s="109"/>
      <c r="L470" s="110"/>
      <c r="M470" s="109"/>
      <c r="N470" s="110"/>
    </row>
    <row r="471" spans="6:14" ht="14.25" customHeight="1" x14ac:dyDescent="0.3">
      <c r="F471" s="108"/>
      <c r="G471" s="108"/>
      <c r="H471" s="108"/>
      <c r="I471" s="109"/>
      <c r="J471" s="110"/>
      <c r="K471" s="109"/>
      <c r="L471" s="110"/>
      <c r="M471" s="109"/>
      <c r="N471" s="110"/>
    </row>
    <row r="472" spans="6:14" ht="14.25" customHeight="1" x14ac:dyDescent="0.3">
      <c r="F472" s="108"/>
      <c r="G472" s="108"/>
      <c r="H472" s="108"/>
      <c r="I472" s="109"/>
      <c r="J472" s="110"/>
      <c r="K472" s="109"/>
      <c r="L472" s="110"/>
      <c r="M472" s="109"/>
      <c r="N472" s="110"/>
    </row>
    <row r="473" spans="6:14" ht="14.25" customHeight="1" x14ac:dyDescent="0.3">
      <c r="F473" s="108"/>
      <c r="G473" s="108"/>
      <c r="H473" s="108"/>
      <c r="I473" s="109"/>
      <c r="J473" s="110"/>
      <c r="K473" s="109"/>
      <c r="L473" s="110"/>
      <c r="M473" s="109"/>
      <c r="N473" s="110"/>
    </row>
    <row r="474" spans="6:14" ht="14.25" customHeight="1" x14ac:dyDescent="0.3">
      <c r="F474" s="108"/>
      <c r="G474" s="108"/>
      <c r="H474" s="108"/>
      <c r="I474" s="109"/>
      <c r="J474" s="110"/>
      <c r="K474" s="109"/>
      <c r="L474" s="110"/>
      <c r="M474" s="109"/>
      <c r="N474" s="110"/>
    </row>
    <row r="475" spans="6:14" ht="14.25" customHeight="1" x14ac:dyDescent="0.3">
      <c r="F475" s="108"/>
      <c r="G475" s="108"/>
      <c r="H475" s="108"/>
      <c r="I475" s="109"/>
      <c r="J475" s="110"/>
      <c r="K475" s="109"/>
      <c r="L475" s="110"/>
      <c r="M475" s="109"/>
      <c r="N475" s="110"/>
    </row>
    <row r="476" spans="6:14" ht="14.25" customHeight="1" x14ac:dyDescent="0.3">
      <c r="F476" s="108"/>
      <c r="G476" s="108"/>
      <c r="H476" s="108"/>
      <c r="I476" s="109"/>
      <c r="J476" s="110"/>
      <c r="K476" s="109"/>
      <c r="L476" s="110"/>
      <c r="M476" s="109"/>
      <c r="N476" s="110"/>
    </row>
    <row r="477" spans="6:14" ht="14.25" customHeight="1" x14ac:dyDescent="0.3">
      <c r="F477" s="108"/>
      <c r="G477" s="108"/>
      <c r="H477" s="108"/>
      <c r="I477" s="109"/>
      <c r="J477" s="110"/>
      <c r="K477" s="109"/>
      <c r="L477" s="110"/>
      <c r="M477" s="109"/>
      <c r="N477" s="110"/>
    </row>
    <row r="478" spans="6:14" ht="14.25" customHeight="1" x14ac:dyDescent="0.3">
      <c r="F478" s="108"/>
      <c r="G478" s="108"/>
      <c r="H478" s="108"/>
      <c r="I478" s="109"/>
      <c r="J478" s="110"/>
      <c r="K478" s="109"/>
      <c r="L478" s="110"/>
      <c r="M478" s="109"/>
      <c r="N478" s="110"/>
    </row>
    <row r="479" spans="6:14" ht="14.25" customHeight="1" x14ac:dyDescent="0.3">
      <c r="F479" s="108"/>
      <c r="G479" s="108"/>
      <c r="H479" s="108"/>
      <c r="I479" s="109"/>
      <c r="J479" s="110"/>
      <c r="K479" s="109"/>
      <c r="L479" s="110"/>
      <c r="M479" s="109"/>
      <c r="N479" s="110"/>
    </row>
    <row r="480" spans="6:14" ht="14.25" customHeight="1" x14ac:dyDescent="0.3">
      <c r="F480" s="108"/>
      <c r="G480" s="108"/>
      <c r="H480" s="108"/>
      <c r="I480" s="109"/>
      <c r="J480" s="110"/>
      <c r="K480" s="109"/>
      <c r="L480" s="110"/>
      <c r="M480" s="109"/>
      <c r="N480" s="110"/>
    </row>
    <row r="481" spans="6:14" ht="14.25" customHeight="1" x14ac:dyDescent="0.3">
      <c r="F481" s="108"/>
      <c r="G481" s="108"/>
      <c r="H481" s="108"/>
      <c r="I481" s="109"/>
      <c r="J481" s="110"/>
      <c r="K481" s="109"/>
      <c r="L481" s="110"/>
      <c r="M481" s="109"/>
      <c r="N481" s="110"/>
    </row>
    <row r="482" spans="6:14" ht="14.25" customHeight="1" x14ac:dyDescent="0.3">
      <c r="F482" s="108"/>
      <c r="G482" s="108"/>
      <c r="H482" s="108"/>
      <c r="I482" s="109"/>
      <c r="J482" s="110"/>
      <c r="K482" s="109"/>
      <c r="L482" s="110"/>
      <c r="M482" s="109"/>
      <c r="N482" s="110"/>
    </row>
    <row r="483" spans="6:14" ht="14.25" customHeight="1" x14ac:dyDescent="0.3">
      <c r="F483" s="108"/>
      <c r="G483" s="108"/>
      <c r="H483" s="108"/>
      <c r="I483" s="109"/>
      <c r="J483" s="110"/>
      <c r="K483" s="109"/>
      <c r="L483" s="110"/>
      <c r="M483" s="109"/>
      <c r="N483" s="110"/>
    </row>
    <row r="484" spans="6:14" ht="14.25" customHeight="1" x14ac:dyDescent="0.3">
      <c r="F484" s="108"/>
      <c r="G484" s="108"/>
      <c r="H484" s="108"/>
      <c r="I484" s="109"/>
      <c r="J484" s="110"/>
      <c r="K484" s="109"/>
      <c r="L484" s="110"/>
      <c r="M484" s="109"/>
      <c r="N484" s="110"/>
    </row>
    <row r="485" spans="6:14" ht="14.25" customHeight="1" x14ac:dyDescent="0.3">
      <c r="F485" s="108"/>
      <c r="G485" s="108"/>
      <c r="H485" s="108"/>
      <c r="I485" s="109"/>
      <c r="J485" s="110"/>
      <c r="K485" s="109"/>
      <c r="L485" s="110"/>
      <c r="M485" s="109"/>
      <c r="N485" s="110"/>
    </row>
    <row r="486" spans="6:14" ht="14.25" customHeight="1" x14ac:dyDescent="0.3">
      <c r="F486" s="108"/>
      <c r="G486" s="108"/>
      <c r="H486" s="108"/>
      <c r="I486" s="109"/>
      <c r="J486" s="110"/>
      <c r="K486" s="109"/>
      <c r="L486" s="110"/>
      <c r="M486" s="109"/>
      <c r="N486" s="110"/>
    </row>
    <row r="487" spans="6:14" ht="14.25" customHeight="1" x14ac:dyDescent="0.3">
      <c r="F487" s="108"/>
      <c r="G487" s="108"/>
      <c r="H487" s="108"/>
      <c r="I487" s="109"/>
      <c r="J487" s="110"/>
      <c r="K487" s="109"/>
      <c r="L487" s="110"/>
      <c r="M487" s="109"/>
      <c r="N487" s="110"/>
    </row>
    <row r="488" spans="6:14" ht="14.25" customHeight="1" x14ac:dyDescent="0.3">
      <c r="F488" s="108"/>
      <c r="G488" s="108"/>
      <c r="H488" s="108"/>
      <c r="I488" s="109"/>
      <c r="J488" s="110"/>
      <c r="K488" s="109"/>
      <c r="L488" s="110"/>
      <c r="M488" s="109"/>
      <c r="N488" s="110"/>
    </row>
    <row r="489" spans="6:14" ht="14.25" customHeight="1" x14ac:dyDescent="0.3">
      <c r="F489" s="108"/>
      <c r="G489" s="108"/>
      <c r="H489" s="108"/>
      <c r="I489" s="109"/>
      <c r="J489" s="110"/>
      <c r="K489" s="109"/>
      <c r="L489" s="110"/>
      <c r="M489" s="109"/>
      <c r="N489" s="110"/>
    </row>
    <row r="490" spans="6:14" ht="14.25" customHeight="1" x14ac:dyDescent="0.3">
      <c r="F490" s="108"/>
      <c r="G490" s="108"/>
      <c r="H490" s="108"/>
      <c r="I490" s="109"/>
      <c r="J490" s="110"/>
      <c r="K490" s="109"/>
      <c r="L490" s="110"/>
      <c r="M490" s="109"/>
      <c r="N490" s="110"/>
    </row>
    <row r="491" spans="6:14" ht="14.25" customHeight="1" x14ac:dyDescent="0.3">
      <c r="F491" s="108"/>
      <c r="G491" s="108"/>
      <c r="H491" s="108"/>
      <c r="I491" s="109"/>
      <c r="J491" s="110"/>
      <c r="K491" s="109"/>
      <c r="L491" s="110"/>
      <c r="M491" s="109"/>
      <c r="N491" s="110"/>
    </row>
    <row r="492" spans="6:14" ht="14.25" customHeight="1" x14ac:dyDescent="0.3">
      <c r="F492" s="108"/>
      <c r="G492" s="108"/>
      <c r="H492" s="108"/>
      <c r="I492" s="109"/>
      <c r="J492" s="110"/>
      <c r="K492" s="109"/>
      <c r="L492" s="110"/>
      <c r="M492" s="109"/>
      <c r="N492" s="110"/>
    </row>
    <row r="493" spans="6:14" ht="14.25" customHeight="1" x14ac:dyDescent="0.3">
      <c r="F493" s="108"/>
      <c r="G493" s="108"/>
      <c r="H493" s="108"/>
      <c r="I493" s="109"/>
      <c r="J493" s="110"/>
      <c r="K493" s="109"/>
      <c r="L493" s="110"/>
      <c r="M493" s="109"/>
      <c r="N493" s="110"/>
    </row>
    <row r="494" spans="6:14" ht="14.25" customHeight="1" x14ac:dyDescent="0.3">
      <c r="F494" s="108"/>
      <c r="G494" s="108"/>
      <c r="H494" s="108"/>
      <c r="I494" s="109"/>
      <c r="J494" s="110"/>
      <c r="K494" s="109"/>
      <c r="L494" s="110"/>
      <c r="M494" s="109"/>
      <c r="N494" s="110"/>
    </row>
    <row r="495" spans="6:14" ht="14.25" customHeight="1" x14ac:dyDescent="0.3">
      <c r="F495" s="108"/>
      <c r="G495" s="108"/>
      <c r="H495" s="108"/>
      <c r="I495" s="109"/>
      <c r="J495" s="110"/>
      <c r="K495" s="109"/>
      <c r="L495" s="110"/>
      <c r="M495" s="109"/>
      <c r="N495" s="110"/>
    </row>
    <row r="496" spans="6:14" ht="14.25" customHeight="1" x14ac:dyDescent="0.3">
      <c r="F496" s="108"/>
      <c r="G496" s="108"/>
      <c r="H496" s="108"/>
      <c r="I496" s="109"/>
      <c r="J496" s="110"/>
      <c r="K496" s="109"/>
      <c r="L496" s="110"/>
      <c r="M496" s="109"/>
      <c r="N496" s="110"/>
    </row>
    <row r="497" spans="6:14" ht="14.25" customHeight="1" x14ac:dyDescent="0.3">
      <c r="F497" s="108"/>
      <c r="G497" s="108"/>
      <c r="H497" s="108"/>
      <c r="I497" s="109"/>
      <c r="J497" s="110"/>
      <c r="K497" s="109"/>
      <c r="L497" s="110"/>
      <c r="M497" s="109"/>
      <c r="N497" s="110"/>
    </row>
    <row r="498" spans="6:14" ht="14.25" customHeight="1" x14ac:dyDescent="0.3">
      <c r="F498" s="108"/>
      <c r="G498" s="108"/>
      <c r="H498" s="108"/>
      <c r="I498" s="109"/>
      <c r="J498" s="110"/>
      <c r="K498" s="109"/>
      <c r="L498" s="110"/>
      <c r="M498" s="109"/>
      <c r="N498" s="110"/>
    </row>
    <row r="499" spans="6:14" ht="14.25" customHeight="1" x14ac:dyDescent="0.3">
      <c r="F499" s="108"/>
      <c r="G499" s="108"/>
      <c r="H499" s="108"/>
      <c r="I499" s="109"/>
      <c r="J499" s="110"/>
      <c r="K499" s="109"/>
      <c r="L499" s="110"/>
      <c r="M499" s="109"/>
      <c r="N499" s="110"/>
    </row>
    <row r="500" spans="6:14" ht="14.25" customHeight="1" x14ac:dyDescent="0.3">
      <c r="F500" s="108"/>
      <c r="G500" s="108"/>
      <c r="H500" s="108"/>
      <c r="I500" s="109"/>
      <c r="J500" s="110"/>
      <c r="K500" s="109"/>
      <c r="L500" s="110"/>
      <c r="M500" s="109"/>
      <c r="N500" s="110"/>
    </row>
    <row r="501" spans="6:14" ht="14.25" customHeight="1" x14ac:dyDescent="0.3">
      <c r="F501" s="108"/>
      <c r="G501" s="108"/>
      <c r="H501" s="108"/>
      <c r="I501" s="109"/>
      <c r="J501" s="110"/>
      <c r="K501" s="109"/>
      <c r="L501" s="110"/>
      <c r="M501" s="109"/>
      <c r="N501" s="110"/>
    </row>
    <row r="502" spans="6:14" ht="14.25" customHeight="1" x14ac:dyDescent="0.3">
      <c r="F502" s="108"/>
      <c r="G502" s="108"/>
      <c r="H502" s="108"/>
      <c r="I502" s="109"/>
      <c r="J502" s="110"/>
      <c r="K502" s="109"/>
      <c r="L502" s="110"/>
      <c r="M502" s="109"/>
      <c r="N502" s="110"/>
    </row>
    <row r="503" spans="6:14" ht="14.25" customHeight="1" x14ac:dyDescent="0.3">
      <c r="F503" s="108"/>
      <c r="G503" s="108"/>
      <c r="H503" s="108"/>
      <c r="I503" s="109"/>
      <c r="J503" s="110"/>
      <c r="K503" s="109"/>
      <c r="L503" s="110"/>
      <c r="M503" s="109"/>
      <c r="N503" s="110"/>
    </row>
    <row r="504" spans="6:14" ht="14.25" customHeight="1" x14ac:dyDescent="0.3">
      <c r="F504" s="108"/>
      <c r="G504" s="108"/>
      <c r="H504" s="108"/>
      <c r="I504" s="109"/>
      <c r="J504" s="110"/>
      <c r="K504" s="109"/>
      <c r="L504" s="110"/>
      <c r="M504" s="109"/>
      <c r="N504" s="110"/>
    </row>
    <row r="505" spans="6:14" ht="14.25" customHeight="1" x14ac:dyDescent="0.3">
      <c r="F505" s="108"/>
      <c r="G505" s="108"/>
      <c r="H505" s="108"/>
      <c r="I505" s="109"/>
      <c r="J505" s="110"/>
      <c r="K505" s="109"/>
      <c r="L505" s="110"/>
      <c r="M505" s="109"/>
      <c r="N505" s="110"/>
    </row>
    <row r="506" spans="6:14" ht="14.25" customHeight="1" x14ac:dyDescent="0.3">
      <c r="F506" s="108"/>
      <c r="G506" s="108"/>
      <c r="H506" s="108"/>
      <c r="I506" s="109"/>
      <c r="J506" s="110"/>
      <c r="K506" s="109"/>
      <c r="L506" s="110"/>
      <c r="M506" s="109"/>
      <c r="N506" s="110"/>
    </row>
    <row r="507" spans="6:14" ht="14.25" customHeight="1" x14ac:dyDescent="0.3">
      <c r="F507" s="108"/>
      <c r="G507" s="108"/>
      <c r="H507" s="108"/>
      <c r="I507" s="109"/>
      <c r="J507" s="110"/>
      <c r="K507" s="109"/>
      <c r="L507" s="110"/>
      <c r="M507" s="109"/>
      <c r="N507" s="110"/>
    </row>
    <row r="508" spans="6:14" ht="14.25" customHeight="1" x14ac:dyDescent="0.3">
      <c r="F508" s="108"/>
      <c r="G508" s="108"/>
      <c r="H508" s="108"/>
      <c r="I508" s="109"/>
      <c r="J508" s="110"/>
      <c r="K508" s="109"/>
      <c r="L508" s="110"/>
      <c r="M508" s="109"/>
      <c r="N508" s="110"/>
    </row>
    <row r="509" spans="6:14" ht="14.25" customHeight="1" x14ac:dyDescent="0.3">
      <c r="F509" s="108"/>
      <c r="G509" s="108"/>
      <c r="H509" s="108"/>
      <c r="I509" s="109"/>
      <c r="J509" s="110"/>
      <c r="K509" s="109"/>
      <c r="L509" s="110"/>
      <c r="M509" s="109"/>
      <c r="N509" s="110"/>
    </row>
    <row r="510" spans="6:14" ht="14.25" customHeight="1" x14ac:dyDescent="0.3">
      <c r="F510" s="108"/>
      <c r="G510" s="108"/>
      <c r="H510" s="108"/>
      <c r="I510" s="109"/>
      <c r="J510" s="110"/>
      <c r="K510" s="109"/>
      <c r="L510" s="110"/>
      <c r="M510" s="109"/>
      <c r="N510" s="110"/>
    </row>
    <row r="511" spans="6:14" ht="14.25" customHeight="1" x14ac:dyDescent="0.3">
      <c r="F511" s="108"/>
      <c r="G511" s="108"/>
      <c r="H511" s="108"/>
      <c r="I511" s="109"/>
      <c r="J511" s="110"/>
      <c r="K511" s="109"/>
      <c r="L511" s="110"/>
      <c r="M511" s="109"/>
      <c r="N511" s="110"/>
    </row>
    <row r="512" spans="6:14" ht="14.25" customHeight="1" x14ac:dyDescent="0.3">
      <c r="F512" s="108"/>
      <c r="G512" s="108"/>
      <c r="H512" s="108"/>
      <c r="I512" s="109"/>
      <c r="J512" s="110"/>
      <c r="K512" s="109"/>
      <c r="L512" s="110"/>
      <c r="M512" s="109"/>
      <c r="N512" s="110"/>
    </row>
    <row r="513" spans="6:14" ht="14.25" customHeight="1" x14ac:dyDescent="0.3">
      <c r="F513" s="108"/>
      <c r="G513" s="108"/>
      <c r="H513" s="108"/>
      <c r="I513" s="109"/>
      <c r="J513" s="110"/>
      <c r="K513" s="109"/>
      <c r="L513" s="110"/>
      <c r="M513" s="109"/>
      <c r="N513" s="110"/>
    </row>
    <row r="514" spans="6:14" ht="14.25" customHeight="1" x14ac:dyDescent="0.3">
      <c r="F514" s="108"/>
      <c r="G514" s="108"/>
      <c r="H514" s="108"/>
      <c r="I514" s="109"/>
      <c r="J514" s="110"/>
      <c r="K514" s="109"/>
      <c r="L514" s="110"/>
      <c r="M514" s="109"/>
      <c r="N514" s="110"/>
    </row>
    <row r="515" spans="6:14" ht="14.25" customHeight="1" x14ac:dyDescent="0.3">
      <c r="F515" s="108"/>
      <c r="G515" s="108"/>
      <c r="H515" s="108"/>
      <c r="I515" s="109"/>
      <c r="J515" s="110"/>
      <c r="K515" s="109"/>
      <c r="L515" s="110"/>
      <c r="M515" s="109"/>
      <c r="N515" s="110"/>
    </row>
    <row r="516" spans="6:14" ht="14.25" customHeight="1" x14ac:dyDescent="0.3">
      <c r="F516" s="108"/>
      <c r="G516" s="108"/>
      <c r="H516" s="108"/>
      <c r="I516" s="109"/>
      <c r="J516" s="110"/>
      <c r="K516" s="109"/>
      <c r="L516" s="110"/>
      <c r="M516" s="109"/>
      <c r="N516" s="110"/>
    </row>
    <row r="517" spans="6:14" ht="14.25" customHeight="1" x14ac:dyDescent="0.3">
      <c r="F517" s="108"/>
      <c r="G517" s="108"/>
      <c r="H517" s="108"/>
      <c r="I517" s="109"/>
      <c r="J517" s="110"/>
      <c r="K517" s="109"/>
      <c r="L517" s="110"/>
      <c r="M517" s="109"/>
      <c r="N517" s="110"/>
    </row>
    <row r="518" spans="6:14" ht="14.25" customHeight="1" x14ac:dyDescent="0.3">
      <c r="F518" s="108"/>
      <c r="G518" s="108"/>
      <c r="H518" s="108"/>
      <c r="I518" s="109"/>
      <c r="J518" s="110"/>
      <c r="K518" s="109"/>
      <c r="L518" s="110"/>
      <c r="M518" s="109"/>
      <c r="N518" s="110"/>
    </row>
    <row r="519" spans="6:14" ht="14.25" customHeight="1" x14ac:dyDescent="0.3">
      <c r="F519" s="108"/>
      <c r="G519" s="108"/>
      <c r="H519" s="108"/>
      <c r="I519" s="109"/>
      <c r="J519" s="110"/>
      <c r="K519" s="109"/>
      <c r="L519" s="110"/>
      <c r="M519" s="109"/>
      <c r="N519" s="110"/>
    </row>
    <row r="520" spans="6:14" ht="14.25" customHeight="1" x14ac:dyDescent="0.3">
      <c r="F520" s="108"/>
      <c r="G520" s="108"/>
      <c r="H520" s="108"/>
      <c r="I520" s="109"/>
      <c r="J520" s="110"/>
      <c r="K520" s="109"/>
      <c r="L520" s="110"/>
      <c r="M520" s="109"/>
      <c r="N520" s="110"/>
    </row>
    <row r="521" spans="6:14" ht="14.25" customHeight="1" x14ac:dyDescent="0.3">
      <c r="F521" s="108"/>
      <c r="G521" s="108"/>
      <c r="H521" s="108"/>
      <c r="I521" s="109"/>
      <c r="J521" s="110"/>
      <c r="K521" s="109"/>
      <c r="L521" s="110"/>
      <c r="M521" s="109"/>
      <c r="N521" s="110"/>
    </row>
    <row r="522" spans="6:14" ht="14.25" customHeight="1" x14ac:dyDescent="0.3">
      <c r="F522" s="108"/>
      <c r="G522" s="108"/>
      <c r="H522" s="108"/>
      <c r="I522" s="109"/>
      <c r="J522" s="110"/>
      <c r="K522" s="109"/>
      <c r="L522" s="110"/>
      <c r="M522" s="109"/>
      <c r="N522" s="110"/>
    </row>
    <row r="523" spans="6:14" ht="14.25" customHeight="1" x14ac:dyDescent="0.3">
      <c r="F523" s="108"/>
      <c r="G523" s="108"/>
      <c r="H523" s="108"/>
      <c r="I523" s="109"/>
      <c r="J523" s="110"/>
      <c r="K523" s="109"/>
      <c r="L523" s="110"/>
      <c r="M523" s="109"/>
      <c r="N523" s="110"/>
    </row>
    <row r="524" spans="6:14" ht="14.25" customHeight="1" x14ac:dyDescent="0.3">
      <c r="F524" s="108"/>
      <c r="G524" s="108"/>
      <c r="H524" s="108"/>
      <c r="I524" s="109"/>
      <c r="J524" s="110"/>
      <c r="K524" s="109"/>
      <c r="L524" s="110"/>
      <c r="M524" s="109"/>
      <c r="N524" s="110"/>
    </row>
    <row r="525" spans="6:14" ht="14.25" customHeight="1" x14ac:dyDescent="0.3">
      <c r="F525" s="108"/>
      <c r="G525" s="108"/>
      <c r="H525" s="108"/>
      <c r="I525" s="109"/>
      <c r="J525" s="110"/>
      <c r="K525" s="109"/>
      <c r="L525" s="110"/>
      <c r="M525" s="109"/>
      <c r="N525" s="110"/>
    </row>
    <row r="526" spans="6:14" ht="14.25" customHeight="1" x14ac:dyDescent="0.3">
      <c r="F526" s="108"/>
      <c r="G526" s="108"/>
      <c r="H526" s="108"/>
      <c r="I526" s="109"/>
      <c r="J526" s="110"/>
      <c r="K526" s="109"/>
      <c r="L526" s="110"/>
      <c r="M526" s="109"/>
      <c r="N526" s="110"/>
    </row>
    <row r="527" spans="6:14" ht="14.25" customHeight="1" x14ac:dyDescent="0.3">
      <c r="F527" s="108"/>
      <c r="G527" s="108"/>
      <c r="H527" s="108"/>
      <c r="I527" s="109"/>
      <c r="J527" s="110"/>
      <c r="K527" s="109"/>
      <c r="L527" s="110"/>
      <c r="M527" s="109"/>
      <c r="N527" s="110"/>
    </row>
    <row r="528" spans="6:14" ht="14.25" customHeight="1" x14ac:dyDescent="0.3">
      <c r="F528" s="108"/>
      <c r="G528" s="108"/>
      <c r="H528" s="108"/>
      <c r="I528" s="109"/>
      <c r="J528" s="110"/>
      <c r="K528" s="109"/>
      <c r="L528" s="110"/>
      <c r="M528" s="109"/>
      <c r="N528" s="110"/>
    </row>
    <row r="529" spans="6:14" ht="14.25" customHeight="1" x14ac:dyDescent="0.3">
      <c r="F529" s="108"/>
      <c r="G529" s="108"/>
      <c r="H529" s="108"/>
      <c r="I529" s="109"/>
      <c r="J529" s="110"/>
      <c r="K529" s="109"/>
      <c r="L529" s="110"/>
      <c r="M529" s="109"/>
      <c r="N529" s="110"/>
    </row>
    <row r="530" spans="6:14" ht="14.25" customHeight="1" x14ac:dyDescent="0.3">
      <c r="F530" s="108"/>
      <c r="G530" s="108"/>
      <c r="H530" s="108"/>
      <c r="I530" s="109"/>
      <c r="J530" s="110"/>
      <c r="K530" s="109"/>
      <c r="L530" s="110"/>
      <c r="M530" s="109"/>
      <c r="N530" s="110"/>
    </row>
    <row r="531" spans="6:14" ht="14.25" customHeight="1" x14ac:dyDescent="0.3">
      <c r="F531" s="108"/>
      <c r="G531" s="108"/>
      <c r="H531" s="108"/>
      <c r="I531" s="109"/>
      <c r="J531" s="110"/>
      <c r="K531" s="109"/>
      <c r="L531" s="110"/>
      <c r="M531" s="109"/>
      <c r="N531" s="110"/>
    </row>
    <row r="532" spans="6:14" ht="14.25" customHeight="1" x14ac:dyDescent="0.3">
      <c r="F532" s="108"/>
      <c r="G532" s="108"/>
      <c r="H532" s="108"/>
      <c r="I532" s="109"/>
      <c r="J532" s="110"/>
      <c r="K532" s="109"/>
      <c r="L532" s="110"/>
      <c r="M532" s="109"/>
      <c r="N532" s="110"/>
    </row>
    <row r="533" spans="6:14" ht="14.25" customHeight="1" x14ac:dyDescent="0.3">
      <c r="F533" s="108"/>
      <c r="G533" s="108"/>
      <c r="H533" s="108"/>
      <c r="I533" s="109"/>
      <c r="J533" s="110"/>
      <c r="K533" s="109"/>
      <c r="L533" s="110"/>
      <c r="M533" s="109"/>
      <c r="N533" s="110"/>
    </row>
    <row r="534" spans="6:14" ht="14.25" customHeight="1" x14ac:dyDescent="0.3">
      <c r="F534" s="108"/>
      <c r="G534" s="108"/>
      <c r="H534" s="108"/>
      <c r="I534" s="109"/>
      <c r="J534" s="110"/>
      <c r="K534" s="109"/>
      <c r="L534" s="110"/>
      <c r="M534" s="109"/>
      <c r="N534" s="110"/>
    </row>
    <row r="535" spans="6:14" ht="14.25" customHeight="1" x14ac:dyDescent="0.3">
      <c r="F535" s="108"/>
      <c r="G535" s="108"/>
      <c r="H535" s="108"/>
      <c r="I535" s="109"/>
      <c r="J535" s="110"/>
      <c r="K535" s="109"/>
      <c r="L535" s="110"/>
      <c r="M535" s="109"/>
      <c r="N535" s="110"/>
    </row>
    <row r="536" spans="6:14" ht="14.25" customHeight="1" x14ac:dyDescent="0.3">
      <c r="F536" s="108"/>
      <c r="G536" s="108"/>
      <c r="H536" s="108"/>
      <c r="I536" s="109"/>
      <c r="J536" s="110"/>
      <c r="K536" s="109"/>
      <c r="L536" s="110"/>
      <c r="M536" s="109"/>
      <c r="N536" s="110"/>
    </row>
    <row r="537" spans="6:14" ht="14.25" customHeight="1" x14ac:dyDescent="0.3">
      <c r="F537" s="108"/>
      <c r="G537" s="108"/>
      <c r="H537" s="108"/>
      <c r="I537" s="109"/>
      <c r="J537" s="110"/>
      <c r="K537" s="109"/>
      <c r="L537" s="110"/>
      <c r="M537" s="109"/>
      <c r="N537" s="110"/>
    </row>
    <row r="538" spans="6:14" ht="14.25" customHeight="1" x14ac:dyDescent="0.3">
      <c r="F538" s="108"/>
      <c r="G538" s="108"/>
      <c r="H538" s="108"/>
      <c r="I538" s="109"/>
      <c r="J538" s="110"/>
      <c r="K538" s="109"/>
      <c r="L538" s="110"/>
      <c r="M538" s="109"/>
      <c r="N538" s="110"/>
    </row>
    <row r="539" spans="6:14" ht="14.25" customHeight="1" x14ac:dyDescent="0.3">
      <c r="F539" s="108"/>
      <c r="G539" s="108"/>
      <c r="H539" s="108"/>
      <c r="I539" s="109"/>
      <c r="J539" s="110"/>
      <c r="K539" s="109"/>
      <c r="L539" s="110"/>
      <c r="M539" s="109"/>
      <c r="N539" s="110"/>
    </row>
    <row r="540" spans="6:14" ht="14.25" customHeight="1" x14ac:dyDescent="0.3">
      <c r="F540" s="108"/>
      <c r="G540" s="108"/>
      <c r="H540" s="108"/>
      <c r="I540" s="109"/>
      <c r="J540" s="110"/>
      <c r="K540" s="109"/>
      <c r="L540" s="110"/>
      <c r="M540" s="109"/>
      <c r="N540" s="110"/>
    </row>
    <row r="541" spans="6:14" ht="14.25" customHeight="1" x14ac:dyDescent="0.3">
      <c r="F541" s="108"/>
      <c r="G541" s="108"/>
      <c r="H541" s="108"/>
      <c r="I541" s="109"/>
      <c r="J541" s="110"/>
      <c r="K541" s="109"/>
      <c r="L541" s="110"/>
      <c r="M541" s="109"/>
      <c r="N541" s="110"/>
    </row>
    <row r="542" spans="6:14" ht="14.25" customHeight="1" x14ac:dyDescent="0.3">
      <c r="F542" s="108"/>
      <c r="G542" s="108"/>
      <c r="H542" s="108"/>
      <c r="I542" s="109"/>
      <c r="J542" s="110"/>
      <c r="K542" s="109"/>
      <c r="L542" s="110"/>
      <c r="M542" s="109"/>
      <c r="N542" s="110"/>
    </row>
    <row r="543" spans="6:14" ht="14.25" customHeight="1" x14ac:dyDescent="0.3">
      <c r="F543" s="108"/>
      <c r="G543" s="108"/>
      <c r="H543" s="108"/>
      <c r="I543" s="109"/>
      <c r="J543" s="110"/>
      <c r="K543" s="109"/>
      <c r="L543" s="110"/>
      <c r="M543" s="109"/>
      <c r="N543" s="110"/>
    </row>
    <row r="544" spans="6:14" ht="14.25" customHeight="1" x14ac:dyDescent="0.3">
      <c r="F544" s="108"/>
      <c r="G544" s="108"/>
      <c r="H544" s="108"/>
      <c r="I544" s="109"/>
      <c r="J544" s="110"/>
      <c r="K544" s="109"/>
      <c r="L544" s="110"/>
      <c r="M544" s="109"/>
      <c r="N544" s="110"/>
    </row>
    <row r="545" spans="6:14" ht="14.25" customHeight="1" x14ac:dyDescent="0.3">
      <c r="F545" s="108"/>
      <c r="G545" s="108"/>
      <c r="H545" s="108"/>
      <c r="I545" s="109"/>
      <c r="J545" s="110"/>
      <c r="K545" s="109"/>
      <c r="L545" s="110"/>
      <c r="M545" s="109"/>
      <c r="N545" s="110"/>
    </row>
    <row r="546" spans="6:14" ht="14.25" customHeight="1" x14ac:dyDescent="0.3">
      <c r="F546" s="108"/>
      <c r="G546" s="108"/>
      <c r="H546" s="108"/>
      <c r="I546" s="109"/>
      <c r="J546" s="110"/>
      <c r="K546" s="109"/>
      <c r="L546" s="110"/>
      <c r="M546" s="109"/>
      <c r="N546" s="110"/>
    </row>
    <row r="547" spans="6:14" ht="14.25" customHeight="1" x14ac:dyDescent="0.3">
      <c r="F547" s="108"/>
      <c r="G547" s="108"/>
      <c r="H547" s="108"/>
      <c r="I547" s="109"/>
      <c r="J547" s="110"/>
      <c r="K547" s="109"/>
      <c r="L547" s="110"/>
      <c r="M547" s="109"/>
      <c r="N547" s="110"/>
    </row>
    <row r="548" spans="6:14" ht="14.25" customHeight="1" x14ac:dyDescent="0.3">
      <c r="F548" s="108"/>
      <c r="G548" s="108"/>
      <c r="H548" s="108"/>
      <c r="I548" s="109"/>
      <c r="J548" s="110"/>
      <c r="K548" s="109"/>
      <c r="L548" s="110"/>
      <c r="M548" s="109"/>
      <c r="N548" s="110"/>
    </row>
    <row r="549" spans="6:14" ht="14.25" customHeight="1" x14ac:dyDescent="0.3">
      <c r="F549" s="108"/>
      <c r="G549" s="108"/>
      <c r="H549" s="108"/>
      <c r="I549" s="109"/>
      <c r="J549" s="110"/>
      <c r="K549" s="109"/>
      <c r="L549" s="110"/>
      <c r="M549" s="109"/>
      <c r="N549" s="110"/>
    </row>
    <row r="550" spans="6:14" ht="14.25" customHeight="1" x14ac:dyDescent="0.3">
      <c r="F550" s="108"/>
      <c r="G550" s="108"/>
      <c r="H550" s="108"/>
      <c r="I550" s="109"/>
      <c r="J550" s="110"/>
      <c r="K550" s="109"/>
      <c r="L550" s="110"/>
      <c r="M550" s="109"/>
      <c r="N550" s="110"/>
    </row>
    <row r="551" spans="6:14" ht="14.25" customHeight="1" x14ac:dyDescent="0.3">
      <c r="F551" s="108"/>
      <c r="G551" s="108"/>
      <c r="H551" s="108"/>
      <c r="I551" s="109"/>
      <c r="J551" s="110"/>
      <c r="K551" s="109"/>
      <c r="L551" s="110"/>
      <c r="M551" s="109"/>
      <c r="N551" s="110"/>
    </row>
    <row r="552" spans="6:14" ht="14.25" customHeight="1" x14ac:dyDescent="0.3">
      <c r="F552" s="108"/>
      <c r="G552" s="108"/>
      <c r="H552" s="108"/>
      <c r="I552" s="109"/>
      <c r="J552" s="110"/>
      <c r="K552" s="109"/>
      <c r="L552" s="110"/>
      <c r="M552" s="109"/>
      <c r="N552" s="110"/>
    </row>
    <row r="553" spans="6:14" ht="14.25" customHeight="1" x14ac:dyDescent="0.3">
      <c r="F553" s="108"/>
      <c r="G553" s="108"/>
      <c r="H553" s="108"/>
      <c r="I553" s="109"/>
      <c r="J553" s="110"/>
      <c r="K553" s="109"/>
      <c r="L553" s="110"/>
      <c r="M553" s="109"/>
      <c r="N553" s="110"/>
    </row>
    <row r="554" spans="6:14" ht="14.25" customHeight="1" x14ac:dyDescent="0.3">
      <c r="F554" s="108"/>
      <c r="G554" s="108"/>
      <c r="H554" s="108"/>
      <c r="I554" s="109"/>
      <c r="J554" s="110"/>
      <c r="K554" s="109"/>
      <c r="L554" s="110"/>
      <c r="M554" s="109"/>
      <c r="N554" s="110"/>
    </row>
    <row r="555" spans="6:14" ht="14.25" customHeight="1" x14ac:dyDescent="0.3">
      <c r="F555" s="108"/>
      <c r="G555" s="108"/>
      <c r="H555" s="108"/>
      <c r="I555" s="109"/>
      <c r="J555" s="110"/>
      <c r="K555" s="109"/>
      <c r="L555" s="110"/>
      <c r="M555" s="109"/>
      <c r="N555" s="110"/>
    </row>
    <row r="556" spans="6:14" ht="14.25" customHeight="1" x14ac:dyDescent="0.3">
      <c r="F556" s="108"/>
      <c r="G556" s="108"/>
      <c r="H556" s="108"/>
      <c r="I556" s="109"/>
      <c r="J556" s="110"/>
      <c r="K556" s="109"/>
      <c r="L556" s="110"/>
      <c r="M556" s="109"/>
      <c r="N556" s="110"/>
    </row>
    <row r="557" spans="6:14" ht="14.25" customHeight="1" x14ac:dyDescent="0.3">
      <c r="F557" s="108"/>
      <c r="G557" s="108"/>
      <c r="H557" s="108"/>
      <c r="I557" s="109"/>
      <c r="J557" s="110"/>
      <c r="K557" s="109"/>
      <c r="L557" s="110"/>
      <c r="M557" s="109"/>
      <c r="N557" s="110"/>
    </row>
    <row r="558" spans="6:14" ht="14.25" customHeight="1" x14ac:dyDescent="0.3">
      <c r="F558" s="108"/>
      <c r="G558" s="108"/>
      <c r="H558" s="108"/>
      <c r="I558" s="109"/>
      <c r="J558" s="110"/>
      <c r="K558" s="109"/>
      <c r="L558" s="110"/>
      <c r="M558" s="109"/>
      <c r="N558" s="110"/>
    </row>
    <row r="559" spans="6:14" ht="14.25" customHeight="1" x14ac:dyDescent="0.3">
      <c r="F559" s="108"/>
      <c r="G559" s="108"/>
      <c r="H559" s="108"/>
      <c r="I559" s="109"/>
      <c r="J559" s="110"/>
      <c r="K559" s="109"/>
      <c r="L559" s="110"/>
      <c r="M559" s="109"/>
      <c r="N559" s="110"/>
    </row>
    <row r="560" spans="6:14" ht="14.25" customHeight="1" x14ac:dyDescent="0.3">
      <c r="F560" s="108"/>
      <c r="G560" s="108"/>
      <c r="H560" s="108"/>
      <c r="I560" s="109"/>
      <c r="J560" s="110"/>
      <c r="K560" s="109"/>
      <c r="L560" s="110"/>
      <c r="M560" s="109"/>
      <c r="N560" s="110"/>
    </row>
    <row r="561" spans="6:14" ht="14.25" customHeight="1" x14ac:dyDescent="0.3">
      <c r="F561" s="108"/>
      <c r="G561" s="108"/>
      <c r="H561" s="108"/>
      <c r="I561" s="109"/>
      <c r="J561" s="110"/>
      <c r="K561" s="109"/>
      <c r="L561" s="110"/>
      <c r="M561" s="109"/>
      <c r="N561" s="110"/>
    </row>
    <row r="562" spans="6:14" ht="14.25" customHeight="1" x14ac:dyDescent="0.3">
      <c r="F562" s="108"/>
      <c r="G562" s="108"/>
      <c r="H562" s="108"/>
      <c r="I562" s="109"/>
      <c r="J562" s="110"/>
      <c r="K562" s="109"/>
      <c r="L562" s="110"/>
      <c r="M562" s="109"/>
      <c r="N562" s="110"/>
    </row>
    <row r="563" spans="6:14" ht="14.25" customHeight="1" x14ac:dyDescent="0.3">
      <c r="F563" s="108"/>
      <c r="G563" s="108"/>
      <c r="H563" s="108"/>
      <c r="I563" s="109"/>
      <c r="J563" s="110"/>
      <c r="K563" s="109"/>
      <c r="L563" s="110"/>
      <c r="M563" s="109"/>
      <c r="N563" s="110"/>
    </row>
    <row r="564" spans="6:14" ht="14.25" customHeight="1" x14ac:dyDescent="0.3">
      <c r="F564" s="108"/>
      <c r="G564" s="108"/>
      <c r="H564" s="108"/>
      <c r="I564" s="109"/>
      <c r="J564" s="110"/>
      <c r="K564" s="109"/>
      <c r="L564" s="110"/>
      <c r="M564" s="109"/>
      <c r="N564" s="110"/>
    </row>
    <row r="565" spans="6:14" ht="14.25" customHeight="1" x14ac:dyDescent="0.3">
      <c r="F565" s="108"/>
      <c r="G565" s="108"/>
      <c r="H565" s="108"/>
      <c r="I565" s="109"/>
      <c r="J565" s="110"/>
      <c r="K565" s="109"/>
      <c r="L565" s="110"/>
      <c r="M565" s="109"/>
      <c r="N565" s="110"/>
    </row>
    <row r="566" spans="6:14" ht="14.25" customHeight="1" x14ac:dyDescent="0.3">
      <c r="F566" s="108"/>
      <c r="G566" s="108"/>
      <c r="H566" s="108"/>
      <c r="I566" s="109"/>
      <c r="J566" s="110"/>
      <c r="K566" s="109"/>
      <c r="L566" s="110"/>
      <c r="M566" s="109"/>
      <c r="N566" s="110"/>
    </row>
    <row r="567" spans="6:14" ht="14.25" customHeight="1" x14ac:dyDescent="0.3">
      <c r="F567" s="108"/>
      <c r="G567" s="108"/>
      <c r="H567" s="108"/>
      <c r="I567" s="109"/>
      <c r="J567" s="110"/>
      <c r="K567" s="109"/>
      <c r="L567" s="110"/>
      <c r="M567" s="109"/>
      <c r="N567" s="110"/>
    </row>
    <row r="568" spans="6:14" ht="14.25" customHeight="1" x14ac:dyDescent="0.3">
      <c r="F568" s="108"/>
      <c r="G568" s="108"/>
      <c r="H568" s="108"/>
      <c r="I568" s="109"/>
      <c r="J568" s="110"/>
      <c r="K568" s="109"/>
      <c r="L568" s="110"/>
      <c r="M568" s="109"/>
      <c r="N568" s="110"/>
    </row>
    <row r="569" spans="6:14" ht="14.25" customHeight="1" x14ac:dyDescent="0.3">
      <c r="F569" s="108"/>
      <c r="G569" s="108"/>
      <c r="H569" s="108"/>
      <c r="I569" s="109"/>
      <c r="J569" s="110"/>
      <c r="K569" s="109"/>
      <c r="L569" s="110"/>
      <c r="M569" s="109"/>
      <c r="N569" s="110"/>
    </row>
    <row r="570" spans="6:14" ht="14.25" customHeight="1" x14ac:dyDescent="0.3">
      <c r="F570" s="108"/>
      <c r="G570" s="108"/>
      <c r="H570" s="108"/>
      <c r="I570" s="109"/>
      <c r="J570" s="110"/>
      <c r="K570" s="109"/>
      <c r="L570" s="110"/>
      <c r="M570" s="109"/>
      <c r="N570" s="110"/>
    </row>
    <row r="571" spans="6:14" ht="14.25" customHeight="1" x14ac:dyDescent="0.3">
      <c r="F571" s="108"/>
      <c r="G571" s="108"/>
      <c r="H571" s="108"/>
      <c r="I571" s="109"/>
      <c r="J571" s="110"/>
      <c r="K571" s="109"/>
      <c r="L571" s="110"/>
      <c r="M571" s="109"/>
      <c r="N571" s="110"/>
    </row>
    <row r="572" spans="6:14" ht="14.25" customHeight="1" x14ac:dyDescent="0.3">
      <c r="F572" s="108"/>
      <c r="G572" s="108"/>
      <c r="H572" s="108"/>
      <c r="I572" s="109"/>
      <c r="J572" s="110"/>
      <c r="K572" s="109"/>
      <c r="L572" s="110"/>
      <c r="M572" s="109"/>
      <c r="N572" s="110"/>
    </row>
    <row r="573" spans="6:14" ht="14.25" customHeight="1" x14ac:dyDescent="0.3">
      <c r="F573" s="108"/>
      <c r="G573" s="108"/>
      <c r="H573" s="108"/>
      <c r="I573" s="109"/>
      <c r="J573" s="110"/>
      <c r="K573" s="109"/>
      <c r="L573" s="110"/>
      <c r="M573" s="109"/>
      <c r="N573" s="110"/>
    </row>
    <row r="574" spans="6:14" ht="14.25" customHeight="1" x14ac:dyDescent="0.3">
      <c r="F574" s="108"/>
      <c r="G574" s="108"/>
      <c r="H574" s="108"/>
      <c r="I574" s="109"/>
      <c r="J574" s="110"/>
      <c r="K574" s="109"/>
      <c r="L574" s="110"/>
      <c r="M574" s="109"/>
      <c r="N574" s="110"/>
    </row>
    <row r="575" spans="6:14" ht="14.25" customHeight="1" x14ac:dyDescent="0.3">
      <c r="F575" s="108"/>
      <c r="G575" s="108"/>
      <c r="H575" s="108"/>
      <c r="I575" s="109"/>
      <c r="J575" s="110"/>
      <c r="K575" s="109"/>
      <c r="L575" s="110"/>
      <c r="M575" s="109"/>
      <c r="N575" s="110"/>
    </row>
    <row r="576" spans="6:14" ht="14.25" customHeight="1" x14ac:dyDescent="0.3">
      <c r="F576" s="108"/>
      <c r="G576" s="108"/>
      <c r="H576" s="108"/>
      <c r="I576" s="109"/>
      <c r="J576" s="110"/>
      <c r="K576" s="109"/>
      <c r="L576" s="110"/>
      <c r="M576" s="109"/>
      <c r="N576" s="110"/>
    </row>
    <row r="577" spans="6:14" ht="14.25" customHeight="1" x14ac:dyDescent="0.3">
      <c r="F577" s="108"/>
      <c r="G577" s="108"/>
      <c r="H577" s="108"/>
      <c r="I577" s="109"/>
      <c r="J577" s="110"/>
      <c r="K577" s="109"/>
      <c r="L577" s="110"/>
      <c r="M577" s="109"/>
      <c r="N577" s="110"/>
    </row>
    <row r="578" spans="6:14" ht="14.25" customHeight="1" x14ac:dyDescent="0.3">
      <c r="F578" s="108"/>
      <c r="G578" s="108"/>
      <c r="H578" s="108"/>
      <c r="I578" s="109"/>
      <c r="J578" s="110"/>
      <c r="K578" s="109"/>
      <c r="L578" s="110"/>
      <c r="M578" s="109"/>
      <c r="N578" s="110"/>
    </row>
    <row r="579" spans="6:14" ht="14.25" customHeight="1" x14ac:dyDescent="0.3">
      <c r="F579" s="108"/>
      <c r="G579" s="108"/>
      <c r="H579" s="108"/>
      <c r="I579" s="109"/>
      <c r="J579" s="110"/>
      <c r="K579" s="109"/>
      <c r="L579" s="110"/>
      <c r="M579" s="109"/>
      <c r="N579" s="110"/>
    </row>
    <row r="580" spans="6:14" ht="14.25" customHeight="1" x14ac:dyDescent="0.3">
      <c r="F580" s="108"/>
      <c r="G580" s="108"/>
      <c r="H580" s="108"/>
      <c r="I580" s="109"/>
      <c r="J580" s="110"/>
      <c r="K580" s="109"/>
      <c r="L580" s="110"/>
      <c r="M580" s="109"/>
      <c r="N580" s="110"/>
    </row>
    <row r="581" spans="6:14" ht="14.25" customHeight="1" x14ac:dyDescent="0.3">
      <c r="F581" s="108"/>
      <c r="G581" s="108"/>
      <c r="H581" s="108"/>
      <c r="I581" s="109"/>
      <c r="J581" s="110"/>
      <c r="K581" s="109"/>
      <c r="L581" s="110"/>
      <c r="M581" s="109"/>
      <c r="N581" s="110"/>
    </row>
    <row r="582" spans="6:14" ht="14.25" customHeight="1" x14ac:dyDescent="0.3">
      <c r="F582" s="108"/>
      <c r="G582" s="108"/>
      <c r="H582" s="108"/>
      <c r="I582" s="109"/>
      <c r="J582" s="110"/>
      <c r="K582" s="109"/>
      <c r="L582" s="110"/>
      <c r="M582" s="109"/>
      <c r="N582" s="110"/>
    </row>
    <row r="583" spans="6:14" ht="14.25" customHeight="1" x14ac:dyDescent="0.3">
      <c r="F583" s="108"/>
      <c r="G583" s="108"/>
      <c r="H583" s="108"/>
      <c r="I583" s="109"/>
      <c r="J583" s="110"/>
      <c r="K583" s="109"/>
      <c r="L583" s="110"/>
      <c r="M583" s="109"/>
      <c r="N583" s="110"/>
    </row>
    <row r="584" spans="6:14" ht="14.25" customHeight="1" x14ac:dyDescent="0.3">
      <c r="F584" s="108"/>
      <c r="G584" s="108"/>
      <c r="H584" s="108"/>
      <c r="I584" s="109"/>
      <c r="J584" s="110"/>
      <c r="K584" s="109"/>
      <c r="L584" s="110"/>
      <c r="M584" s="109"/>
      <c r="N584" s="110"/>
    </row>
    <row r="585" spans="6:14" ht="14.25" customHeight="1" x14ac:dyDescent="0.3">
      <c r="F585" s="108"/>
      <c r="G585" s="108"/>
      <c r="H585" s="108"/>
      <c r="I585" s="109"/>
      <c r="J585" s="110"/>
      <c r="K585" s="109"/>
      <c r="L585" s="110"/>
      <c r="M585" s="109"/>
      <c r="N585" s="110"/>
    </row>
    <row r="586" spans="6:14" ht="14.25" customHeight="1" x14ac:dyDescent="0.3">
      <c r="F586" s="108"/>
      <c r="G586" s="108"/>
      <c r="H586" s="108"/>
      <c r="I586" s="109"/>
      <c r="J586" s="110"/>
      <c r="K586" s="109"/>
      <c r="L586" s="110"/>
      <c r="M586" s="109"/>
      <c r="N586" s="110"/>
    </row>
    <row r="587" spans="6:14" ht="14.25" customHeight="1" x14ac:dyDescent="0.3">
      <c r="F587" s="108"/>
      <c r="G587" s="108"/>
      <c r="H587" s="108"/>
      <c r="I587" s="109"/>
      <c r="J587" s="110"/>
      <c r="K587" s="109"/>
      <c r="L587" s="110"/>
      <c r="M587" s="109"/>
      <c r="N587" s="110"/>
    </row>
    <row r="588" spans="6:14" ht="14.25" customHeight="1" x14ac:dyDescent="0.3">
      <c r="F588" s="108"/>
      <c r="G588" s="108"/>
      <c r="H588" s="108"/>
      <c r="I588" s="109"/>
      <c r="J588" s="110"/>
      <c r="K588" s="109"/>
      <c r="L588" s="110"/>
      <c r="M588" s="109"/>
      <c r="N588" s="110"/>
    </row>
    <row r="589" spans="6:14" ht="14.25" customHeight="1" x14ac:dyDescent="0.3">
      <c r="F589" s="108"/>
      <c r="G589" s="108"/>
      <c r="H589" s="108"/>
      <c r="I589" s="109"/>
      <c r="J589" s="110"/>
      <c r="K589" s="109"/>
      <c r="L589" s="110"/>
      <c r="M589" s="109"/>
      <c r="N589" s="110"/>
    </row>
    <row r="590" spans="6:14" ht="14.25" customHeight="1" x14ac:dyDescent="0.3">
      <c r="F590" s="108"/>
      <c r="G590" s="108"/>
      <c r="H590" s="108"/>
      <c r="I590" s="109"/>
      <c r="J590" s="110"/>
      <c r="K590" s="109"/>
      <c r="L590" s="110"/>
      <c r="M590" s="109"/>
      <c r="N590" s="110"/>
    </row>
    <row r="591" spans="6:14" ht="14.25" customHeight="1" x14ac:dyDescent="0.3">
      <c r="F591" s="108"/>
      <c r="G591" s="108"/>
      <c r="H591" s="108"/>
      <c r="I591" s="109"/>
      <c r="J591" s="110"/>
      <c r="K591" s="109"/>
      <c r="L591" s="110"/>
      <c r="M591" s="109"/>
      <c r="N591" s="110"/>
    </row>
    <row r="592" spans="6:14" ht="14.25" customHeight="1" x14ac:dyDescent="0.3">
      <c r="F592" s="108"/>
      <c r="G592" s="108"/>
      <c r="H592" s="108"/>
      <c r="I592" s="109"/>
      <c r="J592" s="110"/>
      <c r="K592" s="109"/>
      <c r="L592" s="110"/>
      <c r="M592" s="109"/>
      <c r="N592" s="110"/>
    </row>
    <row r="593" spans="6:14" ht="14.25" customHeight="1" x14ac:dyDescent="0.3">
      <c r="F593" s="108"/>
      <c r="G593" s="108"/>
      <c r="H593" s="108"/>
      <c r="I593" s="109"/>
      <c r="J593" s="110"/>
      <c r="K593" s="109"/>
      <c r="L593" s="110"/>
      <c r="M593" s="109"/>
      <c r="N593" s="110"/>
    </row>
    <row r="594" spans="6:14" ht="14.25" customHeight="1" x14ac:dyDescent="0.3">
      <c r="F594" s="108"/>
      <c r="G594" s="108"/>
      <c r="H594" s="108"/>
      <c r="I594" s="109"/>
      <c r="J594" s="110"/>
      <c r="K594" s="109"/>
      <c r="L594" s="110"/>
      <c r="M594" s="109"/>
      <c r="N594" s="110"/>
    </row>
    <row r="595" spans="6:14" ht="14.25" customHeight="1" x14ac:dyDescent="0.3">
      <c r="F595" s="108"/>
      <c r="G595" s="108"/>
      <c r="H595" s="108"/>
      <c r="I595" s="109"/>
      <c r="J595" s="110"/>
      <c r="K595" s="109"/>
      <c r="L595" s="110"/>
      <c r="M595" s="109"/>
      <c r="N595" s="110"/>
    </row>
    <row r="596" spans="6:14" ht="14.25" customHeight="1" x14ac:dyDescent="0.3">
      <c r="F596" s="108"/>
      <c r="G596" s="108"/>
      <c r="H596" s="108"/>
      <c r="I596" s="109"/>
      <c r="J596" s="110"/>
      <c r="K596" s="109"/>
      <c r="L596" s="110"/>
      <c r="M596" s="109"/>
      <c r="N596" s="110"/>
    </row>
    <row r="597" spans="6:14" ht="14.25" customHeight="1" x14ac:dyDescent="0.3">
      <c r="F597" s="108"/>
      <c r="G597" s="108"/>
      <c r="H597" s="108"/>
      <c r="I597" s="109"/>
      <c r="J597" s="110"/>
      <c r="K597" s="109"/>
      <c r="L597" s="110"/>
      <c r="M597" s="109"/>
      <c r="N597" s="110"/>
    </row>
    <row r="598" spans="6:14" ht="14.25" customHeight="1" x14ac:dyDescent="0.3">
      <c r="F598" s="108"/>
      <c r="G598" s="108"/>
      <c r="H598" s="108"/>
      <c r="I598" s="109"/>
      <c r="J598" s="110"/>
      <c r="K598" s="109"/>
      <c r="L598" s="110"/>
      <c r="M598" s="109"/>
      <c r="N598" s="110"/>
    </row>
    <row r="599" spans="6:14" ht="14.25" customHeight="1" x14ac:dyDescent="0.3">
      <c r="F599" s="108"/>
      <c r="G599" s="108"/>
      <c r="H599" s="108"/>
      <c r="I599" s="109"/>
      <c r="J599" s="110"/>
      <c r="K599" s="109"/>
      <c r="L599" s="110"/>
      <c r="M599" s="109"/>
      <c r="N599" s="110"/>
    </row>
    <row r="600" spans="6:14" ht="14.25" customHeight="1" x14ac:dyDescent="0.3">
      <c r="F600" s="108"/>
      <c r="G600" s="108"/>
      <c r="H600" s="108"/>
      <c r="I600" s="109"/>
      <c r="J600" s="110"/>
      <c r="K600" s="109"/>
      <c r="L600" s="110"/>
      <c r="M600" s="109"/>
      <c r="N600" s="110"/>
    </row>
    <row r="601" spans="6:14" ht="14.25" customHeight="1" x14ac:dyDescent="0.3">
      <c r="F601" s="108"/>
      <c r="G601" s="108"/>
      <c r="H601" s="108"/>
      <c r="I601" s="109"/>
      <c r="J601" s="110"/>
      <c r="K601" s="109"/>
      <c r="L601" s="110"/>
      <c r="M601" s="109"/>
      <c r="N601" s="110"/>
    </row>
    <row r="602" spans="6:14" ht="14.25" customHeight="1" x14ac:dyDescent="0.3">
      <c r="F602" s="108"/>
      <c r="G602" s="108"/>
      <c r="H602" s="108"/>
      <c r="I602" s="109"/>
      <c r="J602" s="110"/>
      <c r="K602" s="109"/>
      <c r="L602" s="110"/>
      <c r="M602" s="109"/>
      <c r="N602" s="110"/>
    </row>
    <row r="603" spans="6:14" ht="14.25" customHeight="1" x14ac:dyDescent="0.3">
      <c r="F603" s="108"/>
      <c r="G603" s="108"/>
      <c r="H603" s="108"/>
      <c r="I603" s="109"/>
      <c r="J603" s="110"/>
      <c r="K603" s="109"/>
      <c r="L603" s="110"/>
      <c r="M603" s="109"/>
      <c r="N603" s="110"/>
    </row>
    <row r="604" spans="6:14" ht="14.25" customHeight="1" x14ac:dyDescent="0.3">
      <c r="F604" s="108"/>
      <c r="G604" s="108"/>
      <c r="H604" s="108"/>
      <c r="I604" s="109"/>
      <c r="J604" s="110"/>
      <c r="K604" s="109"/>
      <c r="L604" s="110"/>
      <c r="M604" s="109"/>
      <c r="N604" s="110"/>
    </row>
    <row r="605" spans="6:14" ht="14.25" customHeight="1" x14ac:dyDescent="0.3">
      <c r="F605" s="108"/>
      <c r="G605" s="108"/>
      <c r="H605" s="108"/>
      <c r="I605" s="109"/>
      <c r="J605" s="110"/>
      <c r="K605" s="109"/>
      <c r="L605" s="110"/>
      <c r="M605" s="109"/>
      <c r="N605" s="110"/>
    </row>
    <row r="606" spans="6:14" ht="14.25" customHeight="1" x14ac:dyDescent="0.3">
      <c r="F606" s="108"/>
      <c r="G606" s="108"/>
      <c r="H606" s="108"/>
      <c r="I606" s="109"/>
      <c r="J606" s="110"/>
      <c r="K606" s="109"/>
      <c r="L606" s="110"/>
      <c r="M606" s="109"/>
      <c r="N606" s="110"/>
    </row>
    <row r="607" spans="6:14" ht="14.25" customHeight="1" x14ac:dyDescent="0.3">
      <c r="F607" s="108"/>
      <c r="G607" s="108"/>
      <c r="H607" s="108"/>
      <c r="I607" s="109"/>
      <c r="J607" s="110"/>
      <c r="K607" s="109"/>
      <c r="L607" s="110"/>
      <c r="M607" s="109"/>
      <c r="N607" s="110"/>
    </row>
    <row r="608" spans="6:14" ht="14.25" customHeight="1" x14ac:dyDescent="0.3">
      <c r="F608" s="108"/>
      <c r="G608" s="108"/>
      <c r="H608" s="108"/>
      <c r="I608" s="109"/>
      <c r="J608" s="110"/>
      <c r="K608" s="109"/>
      <c r="L608" s="110"/>
      <c r="M608" s="109"/>
      <c r="N608" s="110"/>
    </row>
    <row r="609" spans="6:14" ht="14.25" customHeight="1" x14ac:dyDescent="0.3">
      <c r="F609" s="108"/>
      <c r="G609" s="108"/>
      <c r="H609" s="108"/>
      <c r="I609" s="109"/>
      <c r="J609" s="110"/>
      <c r="K609" s="109"/>
      <c r="L609" s="110"/>
      <c r="M609" s="109"/>
      <c r="N609" s="110"/>
    </row>
    <row r="610" spans="6:14" ht="14.25" customHeight="1" x14ac:dyDescent="0.3">
      <c r="F610" s="108"/>
      <c r="G610" s="108"/>
      <c r="H610" s="108"/>
      <c r="I610" s="109"/>
      <c r="J610" s="110"/>
      <c r="K610" s="109"/>
      <c r="L610" s="110"/>
      <c r="M610" s="109"/>
      <c r="N610" s="110"/>
    </row>
    <row r="611" spans="6:14" ht="14.25" customHeight="1" x14ac:dyDescent="0.3">
      <c r="F611" s="108"/>
      <c r="G611" s="108"/>
      <c r="H611" s="108"/>
      <c r="I611" s="109"/>
      <c r="J611" s="110"/>
      <c r="K611" s="109"/>
      <c r="L611" s="110"/>
      <c r="M611" s="109"/>
      <c r="N611" s="110"/>
    </row>
    <row r="612" spans="6:14" ht="14.25" customHeight="1" x14ac:dyDescent="0.3">
      <c r="F612" s="108"/>
      <c r="G612" s="108"/>
      <c r="H612" s="108"/>
      <c r="I612" s="109"/>
      <c r="J612" s="110"/>
      <c r="K612" s="109"/>
      <c r="L612" s="110"/>
      <c r="M612" s="109"/>
      <c r="N612" s="110"/>
    </row>
    <row r="613" spans="6:14" ht="14.25" customHeight="1" x14ac:dyDescent="0.3">
      <c r="F613" s="108"/>
      <c r="G613" s="108"/>
      <c r="H613" s="108"/>
      <c r="I613" s="109"/>
      <c r="J613" s="110"/>
      <c r="K613" s="109"/>
      <c r="L613" s="110"/>
      <c r="M613" s="109"/>
      <c r="N613" s="110"/>
    </row>
    <row r="614" spans="6:14" ht="14.25" customHeight="1" x14ac:dyDescent="0.3">
      <c r="F614" s="108"/>
      <c r="G614" s="108"/>
      <c r="H614" s="108"/>
      <c r="I614" s="109"/>
      <c r="J614" s="110"/>
      <c r="K614" s="109"/>
      <c r="L614" s="110"/>
      <c r="M614" s="109"/>
      <c r="N614" s="110"/>
    </row>
    <row r="615" spans="6:14" ht="14.25" customHeight="1" x14ac:dyDescent="0.3">
      <c r="F615" s="108"/>
      <c r="G615" s="108"/>
      <c r="H615" s="108"/>
      <c r="I615" s="109"/>
      <c r="J615" s="110"/>
      <c r="K615" s="109"/>
      <c r="L615" s="110"/>
      <c r="M615" s="109"/>
      <c r="N615" s="110"/>
    </row>
    <row r="616" spans="6:14" ht="14.25" customHeight="1" x14ac:dyDescent="0.3">
      <c r="F616" s="108"/>
      <c r="G616" s="108"/>
      <c r="H616" s="108"/>
      <c r="I616" s="109"/>
      <c r="J616" s="110"/>
      <c r="K616" s="109"/>
      <c r="L616" s="110"/>
      <c r="M616" s="109"/>
      <c r="N616" s="110"/>
    </row>
    <row r="617" spans="6:14" ht="14.25" customHeight="1" x14ac:dyDescent="0.3">
      <c r="F617" s="108"/>
      <c r="G617" s="108"/>
      <c r="H617" s="108"/>
      <c r="I617" s="109"/>
      <c r="J617" s="110"/>
      <c r="K617" s="109"/>
      <c r="L617" s="110"/>
      <c r="M617" s="109"/>
      <c r="N617" s="110"/>
    </row>
    <row r="618" spans="6:14" ht="14.25" customHeight="1" x14ac:dyDescent="0.3">
      <c r="F618" s="108"/>
      <c r="G618" s="108"/>
      <c r="H618" s="108"/>
      <c r="I618" s="109"/>
      <c r="J618" s="110"/>
      <c r="K618" s="109"/>
      <c r="L618" s="110"/>
      <c r="M618" s="109"/>
      <c r="N618" s="110"/>
    </row>
    <row r="619" spans="6:14" ht="14.25" customHeight="1" x14ac:dyDescent="0.3">
      <c r="F619" s="108"/>
      <c r="G619" s="108"/>
      <c r="H619" s="108"/>
      <c r="I619" s="109"/>
      <c r="J619" s="110"/>
      <c r="K619" s="109"/>
      <c r="L619" s="110"/>
      <c r="M619" s="109"/>
      <c r="N619" s="110"/>
    </row>
    <row r="620" spans="6:14" ht="14.25" customHeight="1" x14ac:dyDescent="0.3">
      <c r="F620" s="108"/>
      <c r="G620" s="108"/>
      <c r="H620" s="108"/>
      <c r="I620" s="109"/>
      <c r="J620" s="110"/>
      <c r="K620" s="109"/>
      <c r="L620" s="110"/>
      <c r="M620" s="109"/>
      <c r="N620" s="110"/>
    </row>
    <row r="621" spans="6:14" ht="14.25" customHeight="1" x14ac:dyDescent="0.3">
      <c r="F621" s="108"/>
      <c r="G621" s="108"/>
      <c r="H621" s="108"/>
      <c r="I621" s="109"/>
      <c r="J621" s="110"/>
      <c r="K621" s="109"/>
      <c r="L621" s="110"/>
      <c r="M621" s="109"/>
      <c r="N621" s="110"/>
    </row>
    <row r="622" spans="6:14" ht="14.25" customHeight="1" x14ac:dyDescent="0.3">
      <c r="F622" s="108"/>
      <c r="G622" s="108"/>
      <c r="H622" s="108"/>
      <c r="I622" s="109"/>
      <c r="J622" s="110"/>
      <c r="K622" s="109"/>
      <c r="L622" s="110"/>
      <c r="M622" s="109"/>
      <c r="N622" s="110"/>
    </row>
    <row r="623" spans="6:14" ht="14.25" customHeight="1" x14ac:dyDescent="0.3">
      <c r="F623" s="108"/>
      <c r="G623" s="108"/>
      <c r="H623" s="108"/>
      <c r="I623" s="109"/>
      <c r="J623" s="110"/>
      <c r="K623" s="109"/>
      <c r="L623" s="110"/>
      <c r="M623" s="109"/>
      <c r="N623" s="110"/>
    </row>
    <row r="624" spans="6:14" ht="14.25" customHeight="1" x14ac:dyDescent="0.3">
      <c r="F624" s="108"/>
      <c r="G624" s="108"/>
      <c r="H624" s="108"/>
      <c r="I624" s="109"/>
      <c r="J624" s="110"/>
      <c r="K624" s="109"/>
      <c r="L624" s="110"/>
      <c r="M624" s="109"/>
      <c r="N624" s="110"/>
    </row>
    <row r="625" spans="6:14" ht="14.25" customHeight="1" x14ac:dyDescent="0.3">
      <c r="F625" s="108"/>
      <c r="G625" s="108"/>
      <c r="H625" s="108"/>
      <c r="I625" s="109"/>
      <c r="J625" s="110"/>
      <c r="K625" s="109"/>
      <c r="L625" s="110"/>
      <c r="M625" s="109"/>
      <c r="N625" s="110"/>
    </row>
    <row r="626" spans="6:14" ht="14.25" customHeight="1" x14ac:dyDescent="0.3">
      <c r="F626" s="108"/>
      <c r="G626" s="108"/>
      <c r="H626" s="108"/>
      <c r="I626" s="109"/>
      <c r="J626" s="110"/>
      <c r="K626" s="109"/>
      <c r="L626" s="110"/>
      <c r="M626" s="109"/>
      <c r="N626" s="110"/>
    </row>
    <row r="627" spans="6:14" ht="14.25" customHeight="1" x14ac:dyDescent="0.3">
      <c r="F627" s="108"/>
      <c r="G627" s="108"/>
      <c r="H627" s="108"/>
      <c r="I627" s="109"/>
      <c r="J627" s="110"/>
      <c r="K627" s="109"/>
      <c r="L627" s="110"/>
      <c r="M627" s="109"/>
      <c r="N627" s="110"/>
    </row>
    <row r="628" spans="6:14" ht="14.25" customHeight="1" x14ac:dyDescent="0.3">
      <c r="F628" s="108"/>
      <c r="G628" s="108"/>
      <c r="H628" s="108"/>
      <c r="I628" s="109"/>
      <c r="J628" s="110"/>
      <c r="K628" s="109"/>
      <c r="L628" s="110"/>
      <c r="M628" s="109"/>
      <c r="N628" s="110"/>
    </row>
    <row r="629" spans="6:14" ht="14.25" customHeight="1" x14ac:dyDescent="0.3">
      <c r="F629" s="108"/>
      <c r="G629" s="108"/>
      <c r="H629" s="108"/>
      <c r="I629" s="109"/>
      <c r="J629" s="110"/>
      <c r="K629" s="109"/>
      <c r="L629" s="110"/>
      <c r="M629" s="109"/>
      <c r="N629" s="110"/>
    </row>
    <row r="630" spans="6:14" ht="14.25" customHeight="1" x14ac:dyDescent="0.3">
      <c r="F630" s="108"/>
      <c r="G630" s="108"/>
      <c r="H630" s="108"/>
      <c r="I630" s="109"/>
      <c r="J630" s="110"/>
      <c r="K630" s="109"/>
      <c r="L630" s="110"/>
      <c r="M630" s="109"/>
      <c r="N630" s="110"/>
    </row>
    <row r="631" spans="6:14" ht="14.25" customHeight="1" x14ac:dyDescent="0.3">
      <c r="F631" s="108"/>
      <c r="G631" s="108"/>
      <c r="H631" s="108"/>
      <c r="I631" s="109"/>
      <c r="J631" s="110"/>
      <c r="K631" s="109"/>
      <c r="L631" s="110"/>
      <c r="M631" s="109"/>
      <c r="N631" s="110"/>
    </row>
    <row r="632" spans="6:14" ht="14.25" customHeight="1" x14ac:dyDescent="0.3">
      <c r="F632" s="108"/>
      <c r="G632" s="108"/>
      <c r="H632" s="108"/>
      <c r="I632" s="109"/>
      <c r="J632" s="110"/>
      <c r="K632" s="109"/>
      <c r="L632" s="110"/>
      <c r="M632" s="109"/>
      <c r="N632" s="110"/>
    </row>
    <row r="633" spans="6:14" ht="14.25" customHeight="1" x14ac:dyDescent="0.3">
      <c r="F633" s="108"/>
      <c r="G633" s="108"/>
      <c r="H633" s="108"/>
      <c r="I633" s="109"/>
      <c r="J633" s="110"/>
      <c r="K633" s="109"/>
      <c r="L633" s="110"/>
      <c r="M633" s="109"/>
      <c r="N633" s="110"/>
    </row>
    <row r="634" spans="6:14" ht="14.25" customHeight="1" x14ac:dyDescent="0.3">
      <c r="F634" s="108"/>
      <c r="G634" s="108"/>
      <c r="H634" s="108"/>
      <c r="I634" s="109"/>
      <c r="J634" s="110"/>
      <c r="K634" s="109"/>
      <c r="L634" s="110"/>
      <c r="M634" s="109"/>
      <c r="N634" s="110"/>
    </row>
    <row r="635" spans="6:14" ht="14.25" customHeight="1" x14ac:dyDescent="0.3">
      <c r="F635" s="108"/>
      <c r="G635" s="108"/>
      <c r="H635" s="108"/>
      <c r="I635" s="109"/>
      <c r="J635" s="110"/>
      <c r="K635" s="109"/>
      <c r="L635" s="110"/>
      <c r="M635" s="109"/>
      <c r="N635" s="110"/>
    </row>
    <row r="636" spans="6:14" ht="14.25" customHeight="1" x14ac:dyDescent="0.3">
      <c r="F636" s="108"/>
      <c r="G636" s="108"/>
      <c r="H636" s="108"/>
      <c r="I636" s="109"/>
      <c r="J636" s="110"/>
      <c r="K636" s="109"/>
      <c r="L636" s="110"/>
      <c r="M636" s="109"/>
      <c r="N636" s="110"/>
    </row>
    <row r="637" spans="6:14" ht="14.25" customHeight="1" x14ac:dyDescent="0.3">
      <c r="F637" s="108"/>
      <c r="G637" s="108"/>
      <c r="H637" s="108"/>
      <c r="I637" s="109"/>
      <c r="J637" s="110"/>
      <c r="K637" s="109"/>
      <c r="L637" s="110"/>
      <c r="M637" s="109"/>
      <c r="N637" s="110"/>
    </row>
    <row r="638" spans="6:14" ht="14.25" customHeight="1" x14ac:dyDescent="0.3">
      <c r="F638" s="108"/>
      <c r="G638" s="108"/>
      <c r="H638" s="108"/>
      <c r="I638" s="109"/>
      <c r="J638" s="110"/>
      <c r="K638" s="109"/>
      <c r="L638" s="110"/>
      <c r="M638" s="109"/>
      <c r="N638" s="110"/>
    </row>
    <row r="639" spans="6:14" ht="14.25" customHeight="1" x14ac:dyDescent="0.3">
      <c r="F639" s="108"/>
      <c r="G639" s="108"/>
      <c r="H639" s="108"/>
      <c r="I639" s="109"/>
      <c r="J639" s="110"/>
      <c r="K639" s="109"/>
      <c r="L639" s="110"/>
      <c r="M639" s="109"/>
      <c r="N639" s="110"/>
    </row>
    <row r="640" spans="6:14" ht="14.25" customHeight="1" x14ac:dyDescent="0.3">
      <c r="F640" s="108"/>
      <c r="G640" s="108"/>
      <c r="H640" s="108"/>
      <c r="I640" s="109"/>
      <c r="J640" s="110"/>
      <c r="K640" s="109"/>
      <c r="L640" s="110"/>
      <c r="M640" s="109"/>
      <c r="N640" s="110"/>
    </row>
    <row r="641" spans="6:14" ht="14.25" customHeight="1" x14ac:dyDescent="0.3">
      <c r="F641" s="108"/>
      <c r="G641" s="108"/>
      <c r="H641" s="108"/>
      <c r="I641" s="109"/>
      <c r="J641" s="110"/>
      <c r="K641" s="109"/>
      <c r="L641" s="110"/>
      <c r="M641" s="109"/>
      <c r="N641" s="110"/>
    </row>
    <row r="642" spans="6:14" ht="14.25" customHeight="1" x14ac:dyDescent="0.3">
      <c r="F642" s="108"/>
      <c r="G642" s="108"/>
      <c r="H642" s="108"/>
      <c r="I642" s="109"/>
      <c r="J642" s="110"/>
      <c r="K642" s="109"/>
      <c r="L642" s="110"/>
      <c r="M642" s="109"/>
      <c r="N642" s="110"/>
    </row>
    <row r="643" spans="6:14" ht="14.25" customHeight="1" x14ac:dyDescent="0.3">
      <c r="F643" s="108"/>
      <c r="G643" s="108"/>
      <c r="H643" s="108"/>
      <c r="I643" s="109"/>
      <c r="J643" s="110"/>
      <c r="K643" s="109"/>
      <c r="L643" s="110"/>
      <c r="M643" s="109"/>
      <c r="N643" s="110"/>
    </row>
    <row r="644" spans="6:14" ht="14.25" customHeight="1" x14ac:dyDescent="0.3">
      <c r="F644" s="108"/>
      <c r="G644" s="108"/>
      <c r="H644" s="108"/>
      <c r="I644" s="109"/>
      <c r="J644" s="110"/>
      <c r="K644" s="109"/>
      <c r="L644" s="110"/>
      <c r="M644" s="109"/>
      <c r="N644" s="110"/>
    </row>
    <row r="645" spans="6:14" ht="14.25" customHeight="1" x14ac:dyDescent="0.3">
      <c r="F645" s="108"/>
      <c r="G645" s="108"/>
      <c r="H645" s="108"/>
      <c r="I645" s="109"/>
      <c r="J645" s="110"/>
      <c r="K645" s="109"/>
      <c r="L645" s="110"/>
      <c r="M645" s="109"/>
      <c r="N645" s="110"/>
    </row>
    <row r="646" spans="6:14" ht="14.25" customHeight="1" x14ac:dyDescent="0.3">
      <c r="F646" s="108"/>
      <c r="G646" s="108"/>
      <c r="H646" s="108"/>
      <c r="I646" s="109"/>
      <c r="J646" s="110"/>
      <c r="K646" s="109"/>
      <c r="L646" s="110"/>
      <c r="M646" s="109"/>
      <c r="N646" s="110"/>
    </row>
    <row r="647" spans="6:14" ht="14.25" customHeight="1" x14ac:dyDescent="0.3">
      <c r="F647" s="108"/>
      <c r="G647" s="108"/>
      <c r="H647" s="108"/>
      <c r="I647" s="109"/>
      <c r="J647" s="110"/>
      <c r="K647" s="109"/>
      <c r="L647" s="110"/>
      <c r="M647" s="109"/>
      <c r="N647" s="110"/>
    </row>
    <row r="648" spans="6:14" ht="14.25" customHeight="1" x14ac:dyDescent="0.3">
      <c r="F648" s="108"/>
      <c r="G648" s="108"/>
      <c r="H648" s="108"/>
      <c r="I648" s="109"/>
      <c r="J648" s="110"/>
      <c r="K648" s="109"/>
      <c r="L648" s="110"/>
      <c r="M648" s="109"/>
      <c r="N648" s="110"/>
    </row>
    <row r="649" spans="6:14" ht="14.25" customHeight="1" x14ac:dyDescent="0.3">
      <c r="F649" s="108"/>
      <c r="G649" s="108"/>
      <c r="H649" s="108"/>
      <c r="I649" s="109"/>
      <c r="J649" s="110"/>
      <c r="K649" s="109"/>
      <c r="L649" s="110"/>
      <c r="M649" s="109"/>
      <c r="N649" s="110"/>
    </row>
    <row r="650" spans="6:14" ht="14.25" customHeight="1" x14ac:dyDescent="0.3">
      <c r="F650" s="108"/>
      <c r="G650" s="108"/>
      <c r="H650" s="108"/>
      <c r="I650" s="109"/>
      <c r="J650" s="110"/>
      <c r="K650" s="109"/>
      <c r="L650" s="110"/>
      <c r="M650" s="109"/>
      <c r="N650" s="110"/>
    </row>
    <row r="651" spans="6:14" ht="14.25" customHeight="1" x14ac:dyDescent="0.3">
      <c r="F651" s="108"/>
      <c r="G651" s="108"/>
      <c r="H651" s="108"/>
      <c r="I651" s="109"/>
      <c r="J651" s="110"/>
      <c r="K651" s="109"/>
      <c r="L651" s="110"/>
      <c r="M651" s="109"/>
      <c r="N651" s="110"/>
    </row>
    <row r="652" spans="6:14" ht="14.25" customHeight="1" x14ac:dyDescent="0.3">
      <c r="F652" s="108"/>
      <c r="G652" s="108"/>
      <c r="H652" s="108"/>
      <c r="I652" s="109"/>
      <c r="J652" s="110"/>
      <c r="K652" s="109"/>
      <c r="L652" s="110"/>
      <c r="M652" s="109"/>
      <c r="N652" s="110"/>
    </row>
    <row r="653" spans="6:14" ht="14.25" customHeight="1" x14ac:dyDescent="0.3">
      <c r="F653" s="108"/>
      <c r="G653" s="108"/>
      <c r="H653" s="108"/>
      <c r="I653" s="109"/>
      <c r="J653" s="110"/>
      <c r="K653" s="109"/>
      <c r="L653" s="110"/>
      <c r="M653" s="109"/>
      <c r="N653" s="110"/>
    </row>
    <row r="654" spans="6:14" ht="14.25" customHeight="1" x14ac:dyDescent="0.3">
      <c r="F654" s="108"/>
      <c r="G654" s="108"/>
      <c r="H654" s="108"/>
      <c r="I654" s="109"/>
      <c r="J654" s="110"/>
      <c r="K654" s="109"/>
      <c r="L654" s="110"/>
      <c r="M654" s="109"/>
      <c r="N654" s="110"/>
    </row>
    <row r="655" spans="6:14" ht="14.25" customHeight="1" x14ac:dyDescent="0.3">
      <c r="F655" s="108"/>
      <c r="G655" s="108"/>
      <c r="H655" s="108"/>
      <c r="I655" s="109"/>
      <c r="J655" s="110"/>
      <c r="K655" s="109"/>
      <c r="L655" s="110"/>
      <c r="M655" s="109"/>
      <c r="N655" s="110"/>
    </row>
    <row r="656" spans="6:14" ht="14.25" customHeight="1" x14ac:dyDescent="0.3">
      <c r="F656" s="108"/>
      <c r="G656" s="108"/>
      <c r="H656" s="108"/>
      <c r="I656" s="109"/>
      <c r="J656" s="110"/>
      <c r="K656" s="109"/>
      <c r="L656" s="110"/>
      <c r="M656" s="109"/>
      <c r="N656" s="110"/>
    </row>
    <row r="657" spans="6:14" ht="14.25" customHeight="1" x14ac:dyDescent="0.3">
      <c r="F657" s="108"/>
      <c r="G657" s="108"/>
      <c r="H657" s="108"/>
      <c r="I657" s="109"/>
      <c r="J657" s="110"/>
      <c r="K657" s="109"/>
      <c r="L657" s="110"/>
      <c r="M657" s="109"/>
      <c r="N657" s="110"/>
    </row>
    <row r="658" spans="6:14" ht="14.25" customHeight="1" x14ac:dyDescent="0.3">
      <c r="F658" s="108"/>
      <c r="G658" s="108"/>
      <c r="H658" s="108"/>
      <c r="I658" s="109"/>
      <c r="J658" s="110"/>
      <c r="K658" s="109"/>
      <c r="L658" s="110"/>
      <c r="M658" s="109"/>
      <c r="N658" s="110"/>
    </row>
    <row r="659" spans="6:14" ht="14.25" customHeight="1" x14ac:dyDescent="0.3">
      <c r="F659" s="108"/>
      <c r="G659" s="108"/>
      <c r="H659" s="108"/>
      <c r="I659" s="109"/>
      <c r="J659" s="110"/>
      <c r="K659" s="109"/>
      <c r="L659" s="110"/>
      <c r="M659" s="109"/>
      <c r="N659" s="110"/>
    </row>
    <row r="660" spans="6:14" ht="14.25" customHeight="1" x14ac:dyDescent="0.3">
      <c r="F660" s="108"/>
      <c r="G660" s="108"/>
      <c r="H660" s="108"/>
      <c r="I660" s="109"/>
      <c r="J660" s="110"/>
      <c r="K660" s="109"/>
      <c r="L660" s="110"/>
      <c r="M660" s="109"/>
      <c r="N660" s="110"/>
    </row>
    <row r="661" spans="6:14" ht="14.25" customHeight="1" x14ac:dyDescent="0.3">
      <c r="F661" s="108"/>
      <c r="G661" s="108"/>
      <c r="H661" s="108"/>
      <c r="I661" s="109"/>
      <c r="J661" s="110"/>
      <c r="K661" s="109"/>
      <c r="L661" s="110"/>
      <c r="M661" s="109"/>
      <c r="N661" s="110"/>
    </row>
    <row r="662" spans="6:14" ht="14.25" customHeight="1" x14ac:dyDescent="0.3">
      <c r="F662" s="108"/>
      <c r="G662" s="108"/>
      <c r="H662" s="108"/>
      <c r="I662" s="109"/>
      <c r="J662" s="110"/>
      <c r="K662" s="109"/>
      <c r="L662" s="110"/>
      <c r="M662" s="109"/>
      <c r="N662" s="110"/>
    </row>
    <row r="663" spans="6:14" ht="14.25" customHeight="1" x14ac:dyDescent="0.3">
      <c r="F663" s="108"/>
      <c r="G663" s="108"/>
      <c r="H663" s="108"/>
      <c r="I663" s="109"/>
      <c r="J663" s="110"/>
      <c r="K663" s="109"/>
      <c r="L663" s="110"/>
      <c r="M663" s="109"/>
      <c r="N663" s="110"/>
    </row>
    <row r="664" spans="6:14" ht="14.25" customHeight="1" x14ac:dyDescent="0.3">
      <c r="F664" s="108"/>
      <c r="G664" s="108"/>
      <c r="H664" s="108"/>
      <c r="I664" s="109"/>
      <c r="J664" s="110"/>
      <c r="K664" s="109"/>
      <c r="L664" s="110"/>
      <c r="M664" s="109"/>
      <c r="N664" s="110"/>
    </row>
    <row r="665" spans="6:14" ht="14.25" customHeight="1" x14ac:dyDescent="0.3">
      <c r="F665" s="108"/>
      <c r="G665" s="108"/>
      <c r="H665" s="108"/>
      <c r="I665" s="109"/>
      <c r="J665" s="110"/>
      <c r="K665" s="109"/>
      <c r="L665" s="110"/>
      <c r="M665" s="109"/>
      <c r="N665" s="110"/>
    </row>
    <row r="666" spans="6:14" ht="14.25" customHeight="1" x14ac:dyDescent="0.3">
      <c r="F666" s="108"/>
      <c r="G666" s="108"/>
      <c r="H666" s="108"/>
      <c r="I666" s="109"/>
      <c r="J666" s="110"/>
      <c r="K666" s="109"/>
      <c r="L666" s="110"/>
      <c r="M666" s="109"/>
      <c r="N666" s="110"/>
    </row>
    <row r="667" spans="6:14" ht="14.25" customHeight="1" x14ac:dyDescent="0.3">
      <c r="F667" s="108"/>
      <c r="G667" s="108"/>
      <c r="H667" s="108"/>
      <c r="I667" s="109"/>
      <c r="J667" s="110"/>
      <c r="K667" s="109"/>
      <c r="L667" s="110"/>
      <c r="M667" s="109"/>
      <c r="N667" s="110"/>
    </row>
    <row r="668" spans="6:14" ht="14.25" customHeight="1" x14ac:dyDescent="0.3">
      <c r="F668" s="108"/>
      <c r="G668" s="108"/>
      <c r="H668" s="108"/>
      <c r="I668" s="109"/>
      <c r="J668" s="110"/>
      <c r="K668" s="109"/>
      <c r="L668" s="110"/>
      <c r="M668" s="109"/>
      <c r="N668" s="110"/>
    </row>
    <row r="669" spans="6:14" ht="14.25" customHeight="1" x14ac:dyDescent="0.3">
      <c r="F669" s="108"/>
      <c r="G669" s="108"/>
      <c r="H669" s="108"/>
      <c r="I669" s="109"/>
      <c r="J669" s="110"/>
      <c r="K669" s="109"/>
      <c r="L669" s="110"/>
      <c r="M669" s="109"/>
      <c r="N669" s="110"/>
    </row>
    <row r="670" spans="6:14" ht="14.25" customHeight="1" x14ac:dyDescent="0.3">
      <c r="F670" s="108"/>
      <c r="G670" s="108"/>
      <c r="H670" s="108"/>
      <c r="I670" s="109"/>
      <c r="J670" s="110"/>
      <c r="K670" s="109"/>
      <c r="L670" s="110"/>
      <c r="M670" s="109"/>
      <c r="N670" s="110"/>
    </row>
    <row r="671" spans="6:14" ht="14.25" customHeight="1" x14ac:dyDescent="0.3">
      <c r="F671" s="108"/>
      <c r="G671" s="108"/>
      <c r="H671" s="108"/>
      <c r="I671" s="109"/>
      <c r="J671" s="110"/>
      <c r="K671" s="109"/>
      <c r="L671" s="110"/>
      <c r="M671" s="109"/>
      <c r="N671" s="110"/>
    </row>
    <row r="672" spans="6:14" ht="14.25" customHeight="1" x14ac:dyDescent="0.3">
      <c r="F672" s="108"/>
      <c r="G672" s="108"/>
      <c r="H672" s="108"/>
      <c r="I672" s="109"/>
      <c r="J672" s="110"/>
      <c r="K672" s="109"/>
      <c r="L672" s="110"/>
      <c r="M672" s="109"/>
      <c r="N672" s="110"/>
    </row>
    <row r="673" spans="6:14" ht="14.25" customHeight="1" x14ac:dyDescent="0.3">
      <c r="F673" s="108"/>
      <c r="G673" s="108"/>
      <c r="H673" s="108"/>
      <c r="I673" s="109"/>
      <c r="J673" s="110"/>
      <c r="K673" s="109"/>
      <c r="L673" s="110"/>
      <c r="M673" s="109"/>
      <c r="N673" s="110"/>
    </row>
    <row r="674" spans="6:14" ht="14.25" customHeight="1" x14ac:dyDescent="0.3">
      <c r="F674" s="108"/>
      <c r="G674" s="108"/>
      <c r="H674" s="108"/>
      <c r="I674" s="109"/>
      <c r="J674" s="110"/>
      <c r="K674" s="109"/>
      <c r="L674" s="110"/>
      <c r="M674" s="109"/>
      <c r="N674" s="110"/>
    </row>
    <row r="675" spans="6:14" ht="14.25" customHeight="1" x14ac:dyDescent="0.3">
      <c r="F675" s="108"/>
      <c r="G675" s="108"/>
      <c r="H675" s="108"/>
      <c r="I675" s="109"/>
      <c r="J675" s="110"/>
      <c r="K675" s="109"/>
      <c r="L675" s="110"/>
      <c r="M675" s="109"/>
      <c r="N675" s="110"/>
    </row>
    <row r="676" spans="6:14" ht="14.25" customHeight="1" x14ac:dyDescent="0.3">
      <c r="F676" s="108"/>
      <c r="G676" s="108"/>
      <c r="H676" s="108"/>
      <c r="I676" s="109"/>
      <c r="J676" s="110"/>
      <c r="K676" s="109"/>
      <c r="L676" s="110"/>
      <c r="M676" s="109"/>
      <c r="N676" s="110"/>
    </row>
    <row r="677" spans="6:14" ht="14.25" customHeight="1" x14ac:dyDescent="0.3">
      <c r="F677" s="108"/>
      <c r="G677" s="108"/>
      <c r="H677" s="108"/>
      <c r="I677" s="109"/>
      <c r="J677" s="110"/>
      <c r="K677" s="109"/>
      <c r="L677" s="110"/>
      <c r="M677" s="109"/>
      <c r="N677" s="110"/>
    </row>
    <row r="678" spans="6:14" ht="14.25" customHeight="1" x14ac:dyDescent="0.3">
      <c r="F678" s="108"/>
      <c r="G678" s="108"/>
      <c r="H678" s="108"/>
      <c r="I678" s="109"/>
      <c r="J678" s="110"/>
      <c r="K678" s="109"/>
      <c r="L678" s="110"/>
      <c r="M678" s="109"/>
      <c r="N678" s="110"/>
    </row>
    <row r="679" spans="6:14" ht="14.25" customHeight="1" x14ac:dyDescent="0.3">
      <c r="F679" s="108"/>
      <c r="G679" s="108"/>
      <c r="H679" s="108"/>
      <c r="I679" s="109"/>
      <c r="J679" s="110"/>
      <c r="K679" s="109"/>
      <c r="L679" s="110"/>
      <c r="M679" s="109"/>
      <c r="N679" s="110"/>
    </row>
    <row r="680" spans="6:14" ht="14.25" customHeight="1" x14ac:dyDescent="0.3">
      <c r="F680" s="108"/>
      <c r="G680" s="108"/>
      <c r="H680" s="108"/>
      <c r="I680" s="109"/>
      <c r="J680" s="110"/>
      <c r="K680" s="109"/>
      <c r="L680" s="110"/>
      <c r="M680" s="109"/>
      <c r="N680" s="110"/>
    </row>
    <row r="681" spans="6:14" ht="14.25" customHeight="1" x14ac:dyDescent="0.3">
      <c r="F681" s="108"/>
      <c r="G681" s="108"/>
      <c r="H681" s="108"/>
      <c r="I681" s="109"/>
      <c r="J681" s="110"/>
      <c r="K681" s="109"/>
      <c r="L681" s="110"/>
      <c r="M681" s="109"/>
      <c r="N681" s="110"/>
    </row>
    <row r="682" spans="6:14" ht="14.25" customHeight="1" x14ac:dyDescent="0.3">
      <c r="F682" s="108"/>
      <c r="G682" s="108"/>
      <c r="H682" s="108"/>
      <c r="I682" s="109"/>
      <c r="J682" s="110"/>
      <c r="K682" s="109"/>
      <c r="L682" s="110"/>
      <c r="M682" s="109"/>
      <c r="N682" s="110"/>
    </row>
    <row r="683" spans="6:14" ht="14.25" customHeight="1" x14ac:dyDescent="0.3">
      <c r="F683" s="108"/>
      <c r="G683" s="108"/>
      <c r="H683" s="108"/>
      <c r="I683" s="109"/>
      <c r="J683" s="110"/>
      <c r="K683" s="109"/>
      <c r="L683" s="110"/>
      <c r="M683" s="109"/>
      <c r="N683" s="110"/>
    </row>
    <row r="684" spans="6:14" ht="14.25" customHeight="1" x14ac:dyDescent="0.3">
      <c r="F684" s="108"/>
      <c r="G684" s="108"/>
      <c r="H684" s="108"/>
      <c r="I684" s="109"/>
      <c r="J684" s="110"/>
      <c r="K684" s="109"/>
      <c r="L684" s="110"/>
      <c r="M684" s="109"/>
      <c r="N684" s="110"/>
    </row>
    <row r="685" spans="6:14" ht="14.25" customHeight="1" x14ac:dyDescent="0.3">
      <c r="F685" s="108"/>
      <c r="G685" s="108"/>
      <c r="H685" s="108"/>
      <c r="I685" s="109"/>
      <c r="J685" s="110"/>
      <c r="K685" s="109"/>
      <c r="L685" s="110"/>
      <c r="M685" s="109"/>
      <c r="N685" s="110"/>
    </row>
    <row r="686" spans="6:14" ht="14.25" customHeight="1" x14ac:dyDescent="0.3">
      <c r="F686" s="108"/>
      <c r="G686" s="108"/>
      <c r="H686" s="108"/>
      <c r="I686" s="109"/>
      <c r="J686" s="110"/>
      <c r="K686" s="109"/>
      <c r="L686" s="110"/>
      <c r="M686" s="109"/>
      <c r="N686" s="110"/>
    </row>
    <row r="687" spans="6:14" ht="14.25" customHeight="1" x14ac:dyDescent="0.3">
      <c r="F687" s="108"/>
      <c r="G687" s="108"/>
      <c r="H687" s="108"/>
      <c r="I687" s="109"/>
      <c r="J687" s="110"/>
      <c r="K687" s="109"/>
      <c r="L687" s="110"/>
      <c r="M687" s="109"/>
      <c r="N687" s="110"/>
    </row>
    <row r="688" spans="6:14" ht="14.25" customHeight="1" x14ac:dyDescent="0.3">
      <c r="F688" s="108"/>
      <c r="G688" s="108"/>
      <c r="H688" s="108"/>
      <c r="I688" s="109"/>
      <c r="J688" s="110"/>
      <c r="K688" s="109"/>
      <c r="L688" s="110"/>
      <c r="M688" s="109"/>
      <c r="N688" s="110"/>
    </row>
    <row r="689" spans="6:14" ht="14.25" customHeight="1" x14ac:dyDescent="0.3">
      <c r="F689" s="108"/>
      <c r="G689" s="108"/>
      <c r="H689" s="108"/>
      <c r="I689" s="109"/>
      <c r="J689" s="110"/>
      <c r="K689" s="109"/>
      <c r="L689" s="110"/>
      <c r="M689" s="109"/>
      <c r="N689" s="110"/>
    </row>
    <row r="690" spans="6:14" ht="14.25" customHeight="1" x14ac:dyDescent="0.3">
      <c r="F690" s="108"/>
      <c r="G690" s="108"/>
      <c r="H690" s="108"/>
      <c r="I690" s="109"/>
      <c r="J690" s="110"/>
      <c r="K690" s="109"/>
      <c r="L690" s="110"/>
      <c r="M690" s="109"/>
      <c r="N690" s="110"/>
    </row>
    <row r="691" spans="6:14" ht="14.25" customHeight="1" x14ac:dyDescent="0.3">
      <c r="F691" s="108"/>
      <c r="G691" s="108"/>
      <c r="H691" s="108"/>
      <c r="I691" s="109"/>
      <c r="J691" s="110"/>
      <c r="K691" s="109"/>
      <c r="L691" s="110"/>
      <c r="M691" s="109"/>
      <c r="N691" s="110"/>
    </row>
    <row r="692" spans="6:14" ht="14.25" customHeight="1" x14ac:dyDescent="0.3">
      <c r="F692" s="108"/>
      <c r="G692" s="108"/>
      <c r="H692" s="108"/>
      <c r="I692" s="109"/>
      <c r="J692" s="110"/>
      <c r="K692" s="109"/>
      <c r="L692" s="110"/>
      <c r="M692" s="109"/>
      <c r="N692" s="110"/>
    </row>
    <row r="693" spans="6:14" ht="14.25" customHeight="1" x14ac:dyDescent="0.3">
      <c r="F693" s="108"/>
      <c r="G693" s="108"/>
      <c r="H693" s="108"/>
      <c r="I693" s="109"/>
      <c r="J693" s="110"/>
      <c r="K693" s="109"/>
      <c r="L693" s="110"/>
      <c r="M693" s="109"/>
      <c r="N693" s="110"/>
    </row>
    <row r="694" spans="6:14" ht="14.25" customHeight="1" x14ac:dyDescent="0.3">
      <c r="F694" s="108"/>
      <c r="G694" s="108"/>
      <c r="H694" s="108"/>
      <c r="I694" s="109"/>
      <c r="J694" s="110"/>
      <c r="K694" s="109"/>
      <c r="L694" s="110"/>
      <c r="M694" s="109"/>
      <c r="N694" s="110"/>
    </row>
    <row r="695" spans="6:14" ht="14.25" customHeight="1" x14ac:dyDescent="0.3">
      <c r="F695" s="108"/>
      <c r="G695" s="108"/>
      <c r="H695" s="108"/>
      <c r="I695" s="109"/>
      <c r="J695" s="110"/>
      <c r="K695" s="109"/>
      <c r="L695" s="110"/>
      <c r="M695" s="109"/>
      <c r="N695" s="110"/>
    </row>
    <row r="696" spans="6:14" ht="14.25" customHeight="1" x14ac:dyDescent="0.3">
      <c r="F696" s="108"/>
      <c r="G696" s="108"/>
      <c r="H696" s="108"/>
      <c r="I696" s="109"/>
      <c r="J696" s="110"/>
      <c r="K696" s="109"/>
      <c r="L696" s="110"/>
      <c r="M696" s="109"/>
      <c r="N696" s="110"/>
    </row>
    <row r="697" spans="6:14" ht="14.25" customHeight="1" x14ac:dyDescent="0.3">
      <c r="F697" s="108"/>
      <c r="G697" s="108"/>
      <c r="H697" s="108"/>
      <c r="I697" s="109"/>
      <c r="J697" s="110"/>
      <c r="K697" s="109"/>
      <c r="L697" s="110"/>
      <c r="M697" s="109"/>
      <c r="N697" s="110"/>
    </row>
    <row r="698" spans="6:14" ht="14.25" customHeight="1" x14ac:dyDescent="0.3">
      <c r="F698" s="108"/>
      <c r="G698" s="108"/>
      <c r="H698" s="108"/>
      <c r="I698" s="109"/>
      <c r="J698" s="110"/>
      <c r="K698" s="109"/>
      <c r="L698" s="110"/>
      <c r="M698" s="109"/>
      <c r="N698" s="110"/>
    </row>
    <row r="699" spans="6:14" ht="14.25" customHeight="1" x14ac:dyDescent="0.3">
      <c r="F699" s="108"/>
      <c r="G699" s="108"/>
      <c r="H699" s="108"/>
      <c r="I699" s="109"/>
      <c r="J699" s="110"/>
      <c r="K699" s="109"/>
      <c r="L699" s="110"/>
      <c r="M699" s="109"/>
      <c r="N699" s="110"/>
    </row>
    <row r="700" spans="6:14" ht="14.25" customHeight="1" x14ac:dyDescent="0.3">
      <c r="F700" s="108"/>
      <c r="G700" s="108"/>
      <c r="H700" s="108"/>
      <c r="I700" s="109"/>
      <c r="J700" s="110"/>
      <c r="K700" s="109"/>
      <c r="L700" s="110"/>
      <c r="M700" s="109"/>
      <c r="N700" s="110"/>
    </row>
    <row r="701" spans="6:14" ht="14.25" customHeight="1" x14ac:dyDescent="0.3">
      <c r="F701" s="108"/>
      <c r="G701" s="108"/>
      <c r="H701" s="108"/>
      <c r="I701" s="109"/>
      <c r="J701" s="110"/>
      <c r="K701" s="109"/>
      <c r="L701" s="110"/>
      <c r="M701" s="109"/>
      <c r="N701" s="110"/>
    </row>
    <row r="702" spans="6:14" ht="14.25" customHeight="1" x14ac:dyDescent="0.3">
      <c r="F702" s="108"/>
      <c r="G702" s="108"/>
      <c r="H702" s="108"/>
      <c r="I702" s="109"/>
      <c r="J702" s="110"/>
      <c r="K702" s="109"/>
      <c r="L702" s="110"/>
      <c r="M702" s="109"/>
      <c r="N702" s="110"/>
    </row>
    <row r="703" spans="6:14" ht="14.25" customHeight="1" x14ac:dyDescent="0.3">
      <c r="F703" s="108"/>
      <c r="G703" s="108"/>
      <c r="H703" s="108"/>
      <c r="I703" s="109"/>
      <c r="J703" s="110"/>
      <c r="K703" s="109"/>
      <c r="L703" s="110"/>
      <c r="M703" s="109"/>
      <c r="N703" s="110"/>
    </row>
    <row r="704" spans="6:14" ht="14.25" customHeight="1" x14ac:dyDescent="0.3">
      <c r="F704" s="108"/>
      <c r="G704" s="108"/>
      <c r="H704" s="108"/>
      <c r="I704" s="109"/>
      <c r="J704" s="110"/>
      <c r="K704" s="109"/>
      <c r="L704" s="110"/>
      <c r="M704" s="109"/>
      <c r="N704" s="110"/>
    </row>
    <row r="705" spans="6:14" ht="14.25" customHeight="1" x14ac:dyDescent="0.3">
      <c r="F705" s="108"/>
      <c r="G705" s="108"/>
      <c r="H705" s="108"/>
      <c r="I705" s="109"/>
      <c r="J705" s="110"/>
      <c r="K705" s="109"/>
      <c r="L705" s="110"/>
      <c r="M705" s="109"/>
      <c r="N705" s="110"/>
    </row>
    <row r="706" spans="6:14" ht="14.25" customHeight="1" x14ac:dyDescent="0.3">
      <c r="F706" s="108"/>
      <c r="G706" s="108"/>
      <c r="H706" s="108"/>
      <c r="I706" s="109"/>
      <c r="J706" s="110"/>
      <c r="K706" s="109"/>
      <c r="L706" s="110"/>
      <c r="M706" s="109"/>
      <c r="N706" s="110"/>
    </row>
    <row r="707" spans="6:14" ht="14.25" customHeight="1" x14ac:dyDescent="0.3">
      <c r="F707" s="108"/>
      <c r="G707" s="108"/>
      <c r="H707" s="108"/>
      <c r="I707" s="109"/>
      <c r="J707" s="110"/>
      <c r="K707" s="109"/>
      <c r="L707" s="110"/>
      <c r="M707" s="109"/>
      <c r="N707" s="110"/>
    </row>
    <row r="708" spans="6:14" ht="14.25" customHeight="1" x14ac:dyDescent="0.3">
      <c r="F708" s="108"/>
      <c r="G708" s="108"/>
      <c r="H708" s="108"/>
      <c r="I708" s="109"/>
      <c r="J708" s="110"/>
      <c r="K708" s="109"/>
      <c r="L708" s="110"/>
      <c r="M708" s="109"/>
      <c r="N708" s="110"/>
    </row>
    <row r="709" spans="6:14" ht="14.25" customHeight="1" x14ac:dyDescent="0.3">
      <c r="F709" s="108"/>
      <c r="G709" s="108"/>
      <c r="H709" s="108"/>
      <c r="I709" s="109"/>
      <c r="J709" s="110"/>
      <c r="K709" s="109"/>
      <c r="L709" s="110"/>
      <c r="M709" s="109"/>
      <c r="N709" s="110"/>
    </row>
    <row r="710" spans="6:14" ht="14.25" customHeight="1" x14ac:dyDescent="0.3">
      <c r="F710" s="108"/>
      <c r="G710" s="108"/>
      <c r="H710" s="108"/>
      <c r="I710" s="109"/>
      <c r="J710" s="110"/>
      <c r="K710" s="109"/>
      <c r="L710" s="110"/>
      <c r="M710" s="109"/>
      <c r="N710" s="110"/>
    </row>
    <row r="711" spans="6:14" ht="14.25" customHeight="1" x14ac:dyDescent="0.3">
      <c r="F711" s="108"/>
      <c r="G711" s="108"/>
      <c r="H711" s="108"/>
      <c r="I711" s="109"/>
      <c r="J711" s="110"/>
      <c r="K711" s="109"/>
      <c r="L711" s="110"/>
      <c r="M711" s="109"/>
      <c r="N711" s="110"/>
    </row>
    <row r="712" spans="6:14" ht="14.25" customHeight="1" x14ac:dyDescent="0.3">
      <c r="F712" s="108"/>
      <c r="G712" s="108"/>
      <c r="H712" s="108"/>
      <c r="I712" s="109"/>
      <c r="J712" s="110"/>
      <c r="K712" s="109"/>
      <c r="L712" s="110"/>
      <c r="M712" s="109"/>
      <c r="N712" s="110"/>
    </row>
    <row r="713" spans="6:14" ht="14.25" customHeight="1" x14ac:dyDescent="0.3">
      <c r="F713" s="108"/>
      <c r="G713" s="108"/>
      <c r="H713" s="108"/>
      <c r="I713" s="109"/>
      <c r="J713" s="110"/>
      <c r="K713" s="109"/>
      <c r="L713" s="110"/>
      <c r="M713" s="109"/>
      <c r="N713" s="110"/>
    </row>
    <row r="714" spans="6:14" ht="14.25" customHeight="1" x14ac:dyDescent="0.3">
      <c r="F714" s="108"/>
      <c r="G714" s="108"/>
      <c r="H714" s="108"/>
      <c r="I714" s="109"/>
      <c r="J714" s="110"/>
      <c r="K714" s="109"/>
      <c r="L714" s="110"/>
      <c r="M714" s="109"/>
      <c r="N714" s="110"/>
    </row>
    <row r="715" spans="6:14" ht="14.25" customHeight="1" x14ac:dyDescent="0.3">
      <c r="F715" s="108"/>
      <c r="G715" s="108"/>
      <c r="H715" s="108"/>
      <c r="I715" s="109"/>
      <c r="J715" s="110"/>
      <c r="K715" s="109"/>
      <c r="L715" s="110"/>
      <c r="M715" s="109"/>
      <c r="N715" s="110"/>
    </row>
    <row r="716" spans="6:14" ht="14.25" customHeight="1" x14ac:dyDescent="0.3">
      <c r="F716" s="108"/>
      <c r="G716" s="108"/>
      <c r="H716" s="108"/>
      <c r="I716" s="109"/>
      <c r="J716" s="110"/>
      <c r="K716" s="109"/>
      <c r="L716" s="110"/>
      <c r="M716" s="109"/>
      <c r="N716" s="110"/>
    </row>
    <row r="717" spans="6:14" ht="14.25" customHeight="1" x14ac:dyDescent="0.3">
      <c r="F717" s="108"/>
      <c r="G717" s="108"/>
      <c r="H717" s="108"/>
      <c r="I717" s="109"/>
      <c r="J717" s="110"/>
      <c r="K717" s="109"/>
      <c r="L717" s="110"/>
      <c r="M717" s="109"/>
      <c r="N717" s="110"/>
    </row>
    <row r="718" spans="6:14" ht="14.25" customHeight="1" x14ac:dyDescent="0.3">
      <c r="F718" s="108"/>
      <c r="G718" s="108"/>
      <c r="H718" s="108"/>
      <c r="I718" s="109"/>
      <c r="J718" s="110"/>
      <c r="K718" s="109"/>
      <c r="L718" s="110"/>
      <c r="M718" s="109"/>
      <c r="N718" s="110"/>
    </row>
    <row r="719" spans="6:14" ht="14.25" customHeight="1" x14ac:dyDescent="0.3">
      <c r="F719" s="108"/>
      <c r="G719" s="108"/>
      <c r="H719" s="108"/>
      <c r="I719" s="109"/>
      <c r="J719" s="110"/>
      <c r="K719" s="109"/>
      <c r="L719" s="110"/>
      <c r="M719" s="109"/>
      <c r="N719" s="110"/>
    </row>
    <row r="720" spans="6:14" ht="14.25" customHeight="1" x14ac:dyDescent="0.3">
      <c r="F720" s="108"/>
      <c r="G720" s="108"/>
      <c r="H720" s="108"/>
      <c r="I720" s="109"/>
      <c r="J720" s="110"/>
      <c r="K720" s="109"/>
      <c r="L720" s="110"/>
      <c r="M720" s="109"/>
      <c r="N720" s="110"/>
    </row>
    <row r="721" spans="6:14" ht="14.25" customHeight="1" x14ac:dyDescent="0.3">
      <c r="F721" s="108"/>
      <c r="G721" s="108"/>
      <c r="H721" s="108"/>
      <c r="I721" s="109"/>
      <c r="J721" s="110"/>
      <c r="K721" s="109"/>
      <c r="L721" s="110"/>
      <c r="M721" s="109"/>
      <c r="N721" s="110"/>
    </row>
    <row r="722" spans="6:14" ht="14.25" customHeight="1" x14ac:dyDescent="0.3">
      <c r="F722" s="108"/>
      <c r="G722" s="108"/>
      <c r="H722" s="108"/>
      <c r="I722" s="109"/>
      <c r="J722" s="110"/>
      <c r="K722" s="109"/>
      <c r="L722" s="110"/>
      <c r="M722" s="109"/>
      <c r="N722" s="110"/>
    </row>
    <row r="723" spans="6:14" ht="14.25" customHeight="1" x14ac:dyDescent="0.3">
      <c r="F723" s="108"/>
      <c r="G723" s="108"/>
      <c r="H723" s="108"/>
      <c r="I723" s="109"/>
      <c r="J723" s="110"/>
      <c r="K723" s="109"/>
      <c r="L723" s="110"/>
      <c r="M723" s="109"/>
      <c r="N723" s="110"/>
    </row>
    <row r="724" spans="6:14" ht="14.25" customHeight="1" x14ac:dyDescent="0.3">
      <c r="F724" s="108"/>
      <c r="G724" s="108"/>
      <c r="H724" s="108"/>
      <c r="I724" s="109"/>
      <c r="J724" s="110"/>
      <c r="K724" s="109"/>
      <c r="L724" s="110"/>
      <c r="M724" s="109"/>
      <c r="N724" s="110"/>
    </row>
    <row r="725" spans="6:14" ht="14.25" customHeight="1" x14ac:dyDescent="0.3">
      <c r="F725" s="108"/>
      <c r="G725" s="108"/>
      <c r="H725" s="108"/>
      <c r="I725" s="109"/>
      <c r="J725" s="110"/>
      <c r="K725" s="109"/>
      <c r="L725" s="110"/>
      <c r="M725" s="109"/>
      <c r="N725" s="110"/>
    </row>
    <row r="726" spans="6:14" ht="14.25" customHeight="1" x14ac:dyDescent="0.3">
      <c r="F726" s="108"/>
      <c r="G726" s="108"/>
      <c r="H726" s="108"/>
      <c r="I726" s="109"/>
      <c r="J726" s="110"/>
      <c r="K726" s="109"/>
      <c r="L726" s="110"/>
      <c r="M726" s="109"/>
      <c r="N726" s="110"/>
    </row>
    <row r="727" spans="6:14" ht="14.25" customHeight="1" x14ac:dyDescent="0.3">
      <c r="F727" s="108"/>
      <c r="G727" s="108"/>
      <c r="H727" s="108"/>
      <c r="I727" s="109"/>
      <c r="J727" s="110"/>
      <c r="K727" s="109"/>
      <c r="L727" s="110"/>
      <c r="M727" s="109"/>
      <c r="N727" s="110"/>
    </row>
    <row r="728" spans="6:14" ht="14.25" customHeight="1" x14ac:dyDescent="0.3">
      <c r="F728" s="108"/>
      <c r="G728" s="108"/>
      <c r="H728" s="108"/>
      <c r="I728" s="109"/>
      <c r="J728" s="110"/>
      <c r="K728" s="109"/>
      <c r="L728" s="110"/>
      <c r="M728" s="109"/>
      <c r="N728" s="110"/>
    </row>
    <row r="729" spans="6:14" ht="14.25" customHeight="1" x14ac:dyDescent="0.3">
      <c r="F729" s="108"/>
      <c r="G729" s="108"/>
      <c r="H729" s="108"/>
      <c r="I729" s="109"/>
      <c r="J729" s="110"/>
      <c r="K729" s="109"/>
      <c r="L729" s="110"/>
      <c r="M729" s="109"/>
      <c r="N729" s="110"/>
    </row>
    <row r="730" spans="6:14" ht="14.25" customHeight="1" x14ac:dyDescent="0.3">
      <c r="F730" s="108"/>
      <c r="G730" s="108"/>
      <c r="H730" s="108"/>
      <c r="I730" s="109"/>
      <c r="J730" s="110"/>
      <c r="K730" s="109"/>
      <c r="L730" s="110"/>
      <c r="M730" s="109"/>
      <c r="N730" s="110"/>
    </row>
    <row r="731" spans="6:14" ht="14.25" customHeight="1" x14ac:dyDescent="0.3">
      <c r="F731" s="108"/>
      <c r="G731" s="108"/>
      <c r="H731" s="108"/>
      <c r="I731" s="109"/>
      <c r="J731" s="110"/>
      <c r="K731" s="109"/>
      <c r="L731" s="110"/>
      <c r="M731" s="109"/>
      <c r="N731" s="110"/>
    </row>
    <row r="732" spans="6:14" ht="14.25" customHeight="1" x14ac:dyDescent="0.3">
      <c r="F732" s="108"/>
      <c r="G732" s="108"/>
      <c r="H732" s="108"/>
      <c r="I732" s="109"/>
      <c r="J732" s="110"/>
      <c r="K732" s="109"/>
      <c r="L732" s="110"/>
      <c r="M732" s="109"/>
      <c r="N732" s="110"/>
    </row>
    <row r="733" spans="6:14" ht="14.25" customHeight="1" x14ac:dyDescent="0.3">
      <c r="F733" s="108"/>
      <c r="G733" s="108"/>
      <c r="H733" s="108"/>
      <c r="I733" s="109"/>
      <c r="J733" s="110"/>
      <c r="K733" s="109"/>
      <c r="L733" s="110"/>
      <c r="M733" s="109"/>
      <c r="N733" s="110"/>
    </row>
    <row r="734" spans="6:14" ht="14.25" customHeight="1" x14ac:dyDescent="0.3">
      <c r="F734" s="108"/>
      <c r="G734" s="108"/>
      <c r="H734" s="108"/>
      <c r="I734" s="109"/>
      <c r="J734" s="110"/>
      <c r="K734" s="109"/>
      <c r="L734" s="110"/>
      <c r="M734" s="109"/>
      <c r="N734" s="110"/>
    </row>
    <row r="735" spans="6:14" ht="14.25" customHeight="1" x14ac:dyDescent="0.3">
      <c r="F735" s="108"/>
      <c r="G735" s="108"/>
      <c r="H735" s="108"/>
      <c r="I735" s="109"/>
      <c r="J735" s="110"/>
      <c r="K735" s="109"/>
      <c r="L735" s="110"/>
      <c r="M735" s="109"/>
      <c r="N735" s="110"/>
    </row>
    <row r="736" spans="6:14" ht="14.25" customHeight="1" x14ac:dyDescent="0.3">
      <c r="F736" s="108"/>
      <c r="G736" s="108"/>
      <c r="H736" s="108"/>
      <c r="I736" s="109"/>
      <c r="J736" s="110"/>
      <c r="K736" s="109"/>
      <c r="L736" s="110"/>
      <c r="M736" s="109"/>
      <c r="N736" s="110"/>
    </row>
    <row r="737" spans="6:14" ht="14.25" customHeight="1" x14ac:dyDescent="0.3">
      <c r="F737" s="108"/>
      <c r="G737" s="108"/>
      <c r="H737" s="108"/>
      <c r="I737" s="109"/>
      <c r="J737" s="110"/>
      <c r="K737" s="109"/>
      <c r="L737" s="110"/>
      <c r="M737" s="109"/>
      <c r="N737" s="110"/>
    </row>
    <row r="738" spans="6:14" ht="14.25" customHeight="1" x14ac:dyDescent="0.3">
      <c r="F738" s="108"/>
      <c r="G738" s="108"/>
      <c r="H738" s="108"/>
      <c r="I738" s="109"/>
      <c r="J738" s="110"/>
      <c r="K738" s="109"/>
      <c r="L738" s="110"/>
      <c r="M738" s="109"/>
      <c r="N738" s="110"/>
    </row>
    <row r="739" spans="6:14" ht="14.25" customHeight="1" x14ac:dyDescent="0.3">
      <c r="F739" s="108"/>
      <c r="G739" s="108"/>
      <c r="H739" s="108"/>
      <c r="I739" s="109"/>
      <c r="J739" s="110"/>
      <c r="K739" s="109"/>
      <c r="L739" s="110"/>
      <c r="M739" s="109"/>
      <c r="N739" s="110"/>
    </row>
    <row r="740" spans="6:14" ht="14.25" customHeight="1" x14ac:dyDescent="0.3">
      <c r="F740" s="108"/>
      <c r="G740" s="108"/>
      <c r="H740" s="108"/>
      <c r="I740" s="109"/>
      <c r="J740" s="110"/>
      <c r="K740" s="109"/>
      <c r="L740" s="110"/>
      <c r="M740" s="109"/>
      <c r="N740" s="110"/>
    </row>
    <row r="741" spans="6:14" ht="14.25" customHeight="1" x14ac:dyDescent="0.3">
      <c r="F741" s="108"/>
      <c r="G741" s="108"/>
      <c r="H741" s="108"/>
      <c r="I741" s="109"/>
      <c r="J741" s="110"/>
      <c r="K741" s="109"/>
      <c r="L741" s="110"/>
      <c r="M741" s="109"/>
      <c r="N741" s="110"/>
    </row>
    <row r="742" spans="6:14" ht="14.25" customHeight="1" x14ac:dyDescent="0.3">
      <c r="F742" s="108"/>
      <c r="G742" s="108"/>
      <c r="H742" s="108"/>
      <c r="I742" s="109"/>
      <c r="J742" s="110"/>
      <c r="K742" s="109"/>
      <c r="L742" s="110"/>
      <c r="M742" s="109"/>
      <c r="N742" s="110"/>
    </row>
    <row r="743" spans="6:14" ht="14.25" customHeight="1" x14ac:dyDescent="0.3">
      <c r="F743" s="108"/>
      <c r="G743" s="108"/>
      <c r="H743" s="108"/>
      <c r="I743" s="109"/>
      <c r="J743" s="110"/>
      <c r="K743" s="109"/>
      <c r="L743" s="110"/>
      <c r="M743" s="109"/>
      <c r="N743" s="110"/>
    </row>
    <row r="744" spans="6:14" ht="14.25" customHeight="1" x14ac:dyDescent="0.3">
      <c r="F744" s="108"/>
      <c r="G744" s="108"/>
      <c r="H744" s="108"/>
      <c r="I744" s="109"/>
      <c r="J744" s="110"/>
      <c r="K744" s="109"/>
      <c r="L744" s="110"/>
      <c r="M744" s="109"/>
      <c r="N744" s="110"/>
    </row>
    <row r="745" spans="6:14" ht="14.25" customHeight="1" x14ac:dyDescent="0.3">
      <c r="F745" s="108"/>
      <c r="G745" s="108"/>
      <c r="H745" s="108"/>
      <c r="I745" s="109"/>
      <c r="J745" s="110"/>
      <c r="K745" s="109"/>
      <c r="L745" s="110"/>
      <c r="M745" s="109"/>
      <c r="N745" s="110"/>
    </row>
    <row r="746" spans="6:14" ht="14.25" customHeight="1" x14ac:dyDescent="0.3">
      <c r="F746" s="108"/>
      <c r="G746" s="108"/>
      <c r="H746" s="108"/>
      <c r="I746" s="109"/>
      <c r="J746" s="110"/>
      <c r="K746" s="109"/>
      <c r="L746" s="110"/>
      <c r="M746" s="109"/>
      <c r="N746" s="110"/>
    </row>
    <row r="747" spans="6:14" ht="14.25" customHeight="1" x14ac:dyDescent="0.3">
      <c r="F747" s="108"/>
      <c r="G747" s="108"/>
      <c r="H747" s="108"/>
      <c r="I747" s="109"/>
      <c r="J747" s="110"/>
      <c r="K747" s="109"/>
      <c r="L747" s="110"/>
      <c r="M747" s="109"/>
      <c r="N747" s="110"/>
    </row>
    <row r="748" spans="6:14" ht="14.25" customHeight="1" x14ac:dyDescent="0.3">
      <c r="F748" s="108"/>
      <c r="G748" s="108"/>
      <c r="H748" s="108"/>
      <c r="I748" s="109"/>
      <c r="J748" s="110"/>
      <c r="K748" s="109"/>
      <c r="L748" s="110"/>
      <c r="M748" s="109"/>
      <c r="N748" s="110"/>
    </row>
    <row r="749" spans="6:14" ht="14.25" customHeight="1" x14ac:dyDescent="0.3">
      <c r="F749" s="108"/>
      <c r="G749" s="108"/>
      <c r="H749" s="108"/>
      <c r="I749" s="109"/>
      <c r="J749" s="110"/>
      <c r="K749" s="109"/>
      <c r="L749" s="110"/>
      <c r="M749" s="109"/>
      <c r="N749" s="110"/>
    </row>
    <row r="750" spans="6:14" ht="14.25" customHeight="1" x14ac:dyDescent="0.3">
      <c r="F750" s="108"/>
      <c r="G750" s="108"/>
      <c r="H750" s="108"/>
      <c r="I750" s="109"/>
      <c r="J750" s="110"/>
      <c r="K750" s="109"/>
      <c r="L750" s="110"/>
      <c r="M750" s="109"/>
      <c r="N750" s="110"/>
    </row>
    <row r="751" spans="6:14" ht="14.25" customHeight="1" x14ac:dyDescent="0.3">
      <c r="F751" s="108"/>
      <c r="G751" s="108"/>
      <c r="H751" s="108"/>
      <c r="I751" s="109"/>
      <c r="J751" s="110"/>
      <c r="K751" s="109"/>
      <c r="L751" s="110"/>
      <c r="M751" s="109"/>
      <c r="N751" s="110"/>
    </row>
    <row r="752" spans="6:14" ht="14.25" customHeight="1" x14ac:dyDescent="0.3">
      <c r="F752" s="108"/>
      <c r="G752" s="108"/>
      <c r="H752" s="108"/>
      <c r="I752" s="109"/>
      <c r="J752" s="110"/>
      <c r="K752" s="109"/>
      <c r="L752" s="110"/>
      <c r="M752" s="109"/>
      <c r="N752" s="110"/>
    </row>
    <row r="753" spans="6:14" ht="14.25" customHeight="1" x14ac:dyDescent="0.3">
      <c r="F753" s="108"/>
      <c r="G753" s="108"/>
      <c r="H753" s="108"/>
      <c r="I753" s="109"/>
      <c r="J753" s="110"/>
      <c r="K753" s="109"/>
      <c r="L753" s="110"/>
      <c r="M753" s="109"/>
      <c r="N753" s="110"/>
    </row>
    <row r="754" spans="6:14" ht="14.25" customHeight="1" x14ac:dyDescent="0.3">
      <c r="F754" s="108"/>
      <c r="G754" s="108"/>
      <c r="H754" s="108"/>
      <c r="I754" s="109"/>
      <c r="J754" s="110"/>
      <c r="K754" s="109"/>
      <c r="L754" s="110"/>
      <c r="M754" s="109"/>
      <c r="N754" s="110"/>
    </row>
    <row r="755" spans="6:14" ht="14.25" customHeight="1" x14ac:dyDescent="0.3">
      <c r="F755" s="108"/>
      <c r="G755" s="108"/>
      <c r="H755" s="108"/>
      <c r="I755" s="109"/>
      <c r="J755" s="110"/>
      <c r="K755" s="109"/>
      <c r="L755" s="110"/>
      <c r="M755" s="109"/>
      <c r="N755" s="110"/>
    </row>
    <row r="756" spans="6:14" ht="14.25" customHeight="1" x14ac:dyDescent="0.3">
      <c r="F756" s="108"/>
      <c r="G756" s="108"/>
      <c r="H756" s="108"/>
      <c r="I756" s="109"/>
      <c r="J756" s="110"/>
      <c r="K756" s="109"/>
      <c r="L756" s="110"/>
      <c r="M756" s="109"/>
      <c r="N756" s="110"/>
    </row>
    <row r="757" spans="6:14" ht="14.25" customHeight="1" x14ac:dyDescent="0.3">
      <c r="F757" s="108"/>
      <c r="G757" s="108"/>
      <c r="H757" s="108"/>
      <c r="I757" s="109"/>
      <c r="J757" s="110"/>
      <c r="K757" s="109"/>
      <c r="L757" s="110"/>
      <c r="M757" s="109"/>
      <c r="N757" s="110"/>
    </row>
    <row r="758" spans="6:14" ht="14.25" customHeight="1" x14ac:dyDescent="0.3">
      <c r="F758" s="108"/>
      <c r="G758" s="108"/>
      <c r="H758" s="108"/>
      <c r="I758" s="109"/>
      <c r="J758" s="110"/>
      <c r="K758" s="109"/>
      <c r="L758" s="110"/>
      <c r="M758" s="109"/>
      <c r="N758" s="110"/>
    </row>
    <row r="759" spans="6:14" ht="14.25" customHeight="1" x14ac:dyDescent="0.3">
      <c r="F759" s="108"/>
      <c r="G759" s="108"/>
      <c r="H759" s="108"/>
      <c r="I759" s="109"/>
      <c r="J759" s="110"/>
      <c r="K759" s="109"/>
      <c r="L759" s="110"/>
      <c r="M759" s="109"/>
      <c r="N759" s="110"/>
    </row>
    <row r="760" spans="6:14" ht="14.25" customHeight="1" x14ac:dyDescent="0.3">
      <c r="F760" s="108"/>
      <c r="G760" s="108"/>
      <c r="H760" s="108"/>
      <c r="I760" s="109"/>
      <c r="J760" s="110"/>
      <c r="K760" s="109"/>
      <c r="L760" s="110"/>
      <c r="M760" s="109"/>
      <c r="N760" s="110"/>
    </row>
    <row r="761" spans="6:14" ht="14.25" customHeight="1" x14ac:dyDescent="0.3">
      <c r="F761" s="108"/>
      <c r="G761" s="108"/>
      <c r="H761" s="108"/>
      <c r="I761" s="109"/>
      <c r="J761" s="110"/>
      <c r="K761" s="109"/>
      <c r="L761" s="110"/>
      <c r="M761" s="109"/>
      <c r="N761" s="110"/>
    </row>
    <row r="762" spans="6:14" ht="14.25" customHeight="1" x14ac:dyDescent="0.3">
      <c r="F762" s="108"/>
      <c r="G762" s="108"/>
      <c r="H762" s="108"/>
      <c r="I762" s="109"/>
      <c r="J762" s="110"/>
      <c r="K762" s="109"/>
      <c r="L762" s="110"/>
      <c r="M762" s="109"/>
      <c r="N762" s="110"/>
    </row>
    <row r="763" spans="6:14" ht="14.25" customHeight="1" x14ac:dyDescent="0.3">
      <c r="F763" s="108"/>
      <c r="G763" s="108"/>
      <c r="H763" s="108"/>
      <c r="I763" s="109"/>
      <c r="J763" s="110"/>
      <c r="K763" s="109"/>
      <c r="L763" s="110"/>
      <c r="M763" s="109"/>
      <c r="N763" s="110"/>
    </row>
    <row r="764" spans="6:14" ht="14.25" customHeight="1" x14ac:dyDescent="0.3">
      <c r="F764" s="108"/>
      <c r="G764" s="108"/>
      <c r="H764" s="108"/>
      <c r="I764" s="109"/>
      <c r="J764" s="110"/>
      <c r="K764" s="109"/>
      <c r="L764" s="110"/>
      <c r="M764" s="109"/>
      <c r="N764" s="110"/>
    </row>
    <row r="765" spans="6:14" ht="14.25" customHeight="1" x14ac:dyDescent="0.3">
      <c r="F765" s="108"/>
      <c r="G765" s="108"/>
      <c r="H765" s="108"/>
      <c r="I765" s="109"/>
      <c r="J765" s="110"/>
      <c r="K765" s="109"/>
      <c r="L765" s="110"/>
      <c r="M765" s="109"/>
      <c r="N765" s="110"/>
    </row>
    <row r="766" spans="6:14" ht="14.25" customHeight="1" x14ac:dyDescent="0.3">
      <c r="F766" s="108"/>
      <c r="G766" s="108"/>
      <c r="H766" s="108"/>
      <c r="I766" s="109"/>
      <c r="J766" s="110"/>
      <c r="K766" s="109"/>
      <c r="L766" s="110"/>
      <c r="M766" s="109"/>
      <c r="N766" s="110"/>
    </row>
    <row r="767" spans="6:14" ht="14.25" customHeight="1" x14ac:dyDescent="0.3">
      <c r="F767" s="108"/>
      <c r="G767" s="108"/>
      <c r="H767" s="108"/>
      <c r="I767" s="109"/>
      <c r="J767" s="110"/>
      <c r="K767" s="109"/>
      <c r="L767" s="110"/>
      <c r="M767" s="109"/>
      <c r="N767" s="110"/>
    </row>
    <row r="768" spans="6:14" ht="14.25" customHeight="1" x14ac:dyDescent="0.3">
      <c r="F768" s="108"/>
      <c r="G768" s="108"/>
      <c r="H768" s="108"/>
      <c r="I768" s="109"/>
      <c r="J768" s="110"/>
      <c r="K768" s="109"/>
      <c r="L768" s="110"/>
      <c r="M768" s="109"/>
      <c r="N768" s="110"/>
    </row>
    <row r="769" spans="6:14" ht="14.25" customHeight="1" x14ac:dyDescent="0.3">
      <c r="F769" s="108"/>
      <c r="G769" s="108"/>
      <c r="H769" s="108"/>
      <c r="I769" s="109"/>
      <c r="J769" s="110"/>
      <c r="K769" s="109"/>
      <c r="L769" s="110"/>
      <c r="M769" s="109"/>
      <c r="N769" s="110"/>
    </row>
    <row r="770" spans="6:14" ht="14.25" customHeight="1" x14ac:dyDescent="0.3">
      <c r="F770" s="108"/>
      <c r="G770" s="108"/>
      <c r="H770" s="108"/>
      <c r="I770" s="109"/>
      <c r="J770" s="110"/>
      <c r="K770" s="109"/>
      <c r="L770" s="110"/>
      <c r="M770" s="109"/>
      <c r="N770" s="110"/>
    </row>
    <row r="771" spans="6:14" ht="14.25" customHeight="1" x14ac:dyDescent="0.3">
      <c r="F771" s="108"/>
      <c r="G771" s="108"/>
      <c r="H771" s="108"/>
      <c r="I771" s="109"/>
      <c r="J771" s="110"/>
      <c r="K771" s="109"/>
      <c r="L771" s="110"/>
      <c r="M771" s="109"/>
      <c r="N771" s="110"/>
    </row>
    <row r="772" spans="6:14" ht="14.25" customHeight="1" x14ac:dyDescent="0.3">
      <c r="F772" s="108"/>
      <c r="G772" s="108"/>
      <c r="H772" s="108"/>
      <c r="I772" s="109"/>
      <c r="J772" s="110"/>
      <c r="K772" s="109"/>
      <c r="L772" s="110"/>
      <c r="M772" s="109"/>
      <c r="N772" s="110"/>
    </row>
    <row r="773" spans="6:14" ht="14.25" customHeight="1" x14ac:dyDescent="0.3">
      <c r="F773" s="108"/>
      <c r="G773" s="108"/>
      <c r="H773" s="108"/>
      <c r="I773" s="109"/>
      <c r="J773" s="110"/>
      <c r="K773" s="109"/>
      <c r="L773" s="110"/>
      <c r="M773" s="109"/>
      <c r="N773" s="110"/>
    </row>
    <row r="774" spans="6:14" ht="14.25" customHeight="1" x14ac:dyDescent="0.3">
      <c r="F774" s="108"/>
      <c r="G774" s="108"/>
      <c r="H774" s="108"/>
      <c r="I774" s="109"/>
      <c r="J774" s="110"/>
      <c r="K774" s="109"/>
      <c r="L774" s="110"/>
      <c r="M774" s="109"/>
      <c r="N774" s="110"/>
    </row>
    <row r="775" spans="6:14" ht="14.25" customHeight="1" x14ac:dyDescent="0.3">
      <c r="F775" s="108"/>
      <c r="G775" s="108"/>
      <c r="H775" s="108"/>
      <c r="I775" s="109"/>
      <c r="J775" s="110"/>
      <c r="K775" s="109"/>
      <c r="L775" s="110"/>
      <c r="M775" s="109"/>
      <c r="N775" s="110"/>
    </row>
    <row r="776" spans="6:14" ht="14.25" customHeight="1" x14ac:dyDescent="0.3">
      <c r="F776" s="108"/>
      <c r="G776" s="108"/>
      <c r="H776" s="108"/>
      <c r="I776" s="109"/>
      <c r="J776" s="110"/>
      <c r="K776" s="109"/>
      <c r="L776" s="110"/>
      <c r="M776" s="109"/>
      <c r="N776" s="110"/>
    </row>
    <row r="777" spans="6:14" ht="14.25" customHeight="1" x14ac:dyDescent="0.3">
      <c r="F777" s="108"/>
      <c r="G777" s="108"/>
      <c r="H777" s="108"/>
      <c r="I777" s="109"/>
      <c r="J777" s="110"/>
      <c r="K777" s="109"/>
      <c r="L777" s="110"/>
      <c r="M777" s="109"/>
      <c r="N777" s="110"/>
    </row>
    <row r="778" spans="6:14" ht="14.25" customHeight="1" x14ac:dyDescent="0.3">
      <c r="F778" s="108"/>
      <c r="G778" s="108"/>
      <c r="H778" s="108"/>
      <c r="I778" s="109"/>
      <c r="J778" s="110"/>
      <c r="K778" s="109"/>
      <c r="L778" s="110"/>
      <c r="M778" s="109"/>
      <c r="N778" s="110"/>
    </row>
    <row r="779" spans="6:14" ht="14.25" customHeight="1" x14ac:dyDescent="0.3">
      <c r="F779" s="108"/>
      <c r="G779" s="108"/>
      <c r="H779" s="108"/>
      <c r="I779" s="109"/>
      <c r="J779" s="110"/>
      <c r="K779" s="109"/>
      <c r="L779" s="110"/>
      <c r="M779" s="109"/>
      <c r="N779" s="110"/>
    </row>
    <row r="780" spans="6:14" ht="14.25" customHeight="1" x14ac:dyDescent="0.3">
      <c r="F780" s="108"/>
      <c r="G780" s="108"/>
      <c r="H780" s="108"/>
      <c r="I780" s="109"/>
      <c r="J780" s="110"/>
      <c r="K780" s="109"/>
      <c r="L780" s="110"/>
      <c r="M780" s="109"/>
      <c r="N780" s="110"/>
    </row>
    <row r="781" spans="6:14" ht="14.25" customHeight="1" x14ac:dyDescent="0.3">
      <c r="F781" s="108"/>
      <c r="G781" s="108"/>
      <c r="H781" s="108"/>
      <c r="I781" s="109"/>
      <c r="J781" s="110"/>
      <c r="K781" s="109"/>
      <c r="L781" s="110"/>
      <c r="M781" s="109"/>
      <c r="N781" s="110"/>
    </row>
    <row r="782" spans="6:14" ht="14.25" customHeight="1" x14ac:dyDescent="0.3">
      <c r="F782" s="108"/>
      <c r="G782" s="108"/>
      <c r="H782" s="108"/>
      <c r="I782" s="109"/>
      <c r="J782" s="110"/>
      <c r="K782" s="109"/>
      <c r="L782" s="110"/>
      <c r="M782" s="109"/>
      <c r="N782" s="110"/>
    </row>
    <row r="783" spans="6:14" ht="14.25" customHeight="1" x14ac:dyDescent="0.3">
      <c r="F783" s="108"/>
      <c r="G783" s="108"/>
      <c r="H783" s="108"/>
      <c r="I783" s="109"/>
      <c r="J783" s="110"/>
      <c r="K783" s="109"/>
      <c r="L783" s="110"/>
      <c r="M783" s="109"/>
      <c r="N783" s="110"/>
    </row>
    <row r="784" spans="6:14" ht="14.25" customHeight="1" x14ac:dyDescent="0.3">
      <c r="F784" s="108"/>
      <c r="G784" s="108"/>
      <c r="H784" s="108"/>
      <c r="I784" s="109"/>
      <c r="J784" s="110"/>
      <c r="K784" s="109"/>
      <c r="L784" s="110"/>
      <c r="M784" s="109"/>
      <c r="N784" s="110"/>
    </row>
    <row r="785" spans="6:14" ht="14.25" customHeight="1" x14ac:dyDescent="0.3">
      <c r="F785" s="108"/>
      <c r="G785" s="108"/>
      <c r="H785" s="108"/>
      <c r="I785" s="109"/>
      <c r="J785" s="110"/>
      <c r="K785" s="109"/>
      <c r="L785" s="110"/>
      <c r="M785" s="109"/>
      <c r="N785" s="110"/>
    </row>
    <row r="786" spans="6:14" ht="14.25" customHeight="1" x14ac:dyDescent="0.3">
      <c r="F786" s="108"/>
      <c r="G786" s="108"/>
      <c r="H786" s="108"/>
      <c r="I786" s="109"/>
      <c r="J786" s="110"/>
      <c r="K786" s="109"/>
      <c r="L786" s="110"/>
      <c r="M786" s="109"/>
      <c r="N786" s="110"/>
    </row>
    <row r="787" spans="6:14" ht="14.25" customHeight="1" x14ac:dyDescent="0.3">
      <c r="F787" s="108"/>
      <c r="G787" s="108"/>
      <c r="H787" s="108"/>
      <c r="I787" s="109"/>
      <c r="J787" s="110"/>
      <c r="K787" s="109"/>
      <c r="L787" s="110"/>
      <c r="M787" s="109"/>
      <c r="N787" s="110"/>
    </row>
    <row r="788" spans="6:14" ht="14.25" customHeight="1" x14ac:dyDescent="0.3">
      <c r="F788" s="108"/>
      <c r="G788" s="108"/>
      <c r="H788" s="108"/>
      <c r="I788" s="109"/>
      <c r="J788" s="110"/>
      <c r="K788" s="109"/>
      <c r="L788" s="110"/>
      <c r="M788" s="109"/>
      <c r="N788" s="110"/>
    </row>
    <row r="789" spans="6:14" ht="14.25" customHeight="1" x14ac:dyDescent="0.3">
      <c r="F789" s="108"/>
      <c r="G789" s="108"/>
      <c r="H789" s="108"/>
      <c r="I789" s="109"/>
      <c r="J789" s="110"/>
      <c r="K789" s="109"/>
      <c r="L789" s="110"/>
      <c r="M789" s="109"/>
      <c r="N789" s="110"/>
    </row>
    <row r="790" spans="6:14" ht="14.25" customHeight="1" x14ac:dyDescent="0.3">
      <c r="F790" s="108"/>
      <c r="G790" s="108"/>
      <c r="H790" s="108"/>
      <c r="I790" s="109"/>
      <c r="J790" s="110"/>
      <c r="K790" s="109"/>
      <c r="L790" s="110"/>
      <c r="M790" s="109"/>
      <c r="N790" s="110"/>
    </row>
    <row r="791" spans="6:14" ht="14.25" customHeight="1" x14ac:dyDescent="0.3">
      <c r="F791" s="108"/>
      <c r="G791" s="108"/>
      <c r="H791" s="108"/>
      <c r="I791" s="109"/>
      <c r="J791" s="110"/>
      <c r="K791" s="109"/>
      <c r="L791" s="110"/>
      <c r="M791" s="109"/>
      <c r="N791" s="110"/>
    </row>
    <row r="792" spans="6:14" ht="14.25" customHeight="1" x14ac:dyDescent="0.3">
      <c r="F792" s="108"/>
      <c r="G792" s="108"/>
      <c r="H792" s="108"/>
      <c r="I792" s="109"/>
      <c r="J792" s="110"/>
      <c r="K792" s="109"/>
      <c r="L792" s="110"/>
      <c r="M792" s="109"/>
      <c r="N792" s="110"/>
    </row>
    <row r="793" spans="6:14" ht="14.25" customHeight="1" x14ac:dyDescent="0.3">
      <c r="F793" s="108"/>
      <c r="G793" s="108"/>
      <c r="H793" s="108"/>
      <c r="I793" s="109"/>
      <c r="J793" s="110"/>
      <c r="K793" s="109"/>
      <c r="L793" s="110"/>
      <c r="M793" s="109"/>
      <c r="N793" s="110"/>
    </row>
    <row r="794" spans="6:14" ht="14.25" customHeight="1" x14ac:dyDescent="0.3">
      <c r="F794" s="108"/>
      <c r="G794" s="108"/>
      <c r="H794" s="108"/>
      <c r="I794" s="109"/>
      <c r="J794" s="110"/>
      <c r="K794" s="109"/>
      <c r="L794" s="110"/>
      <c r="M794" s="109"/>
      <c r="N794" s="110"/>
    </row>
    <row r="795" spans="6:14" ht="14.25" customHeight="1" x14ac:dyDescent="0.3">
      <c r="F795" s="108"/>
      <c r="G795" s="108"/>
      <c r="H795" s="108"/>
      <c r="I795" s="109"/>
      <c r="J795" s="110"/>
      <c r="K795" s="109"/>
      <c r="L795" s="110"/>
      <c r="M795" s="109"/>
      <c r="N795" s="110"/>
    </row>
    <row r="796" spans="6:14" ht="14.25" customHeight="1" x14ac:dyDescent="0.3">
      <c r="F796" s="108"/>
      <c r="G796" s="108"/>
      <c r="H796" s="108"/>
      <c r="I796" s="109"/>
      <c r="J796" s="110"/>
      <c r="K796" s="109"/>
      <c r="L796" s="110"/>
      <c r="M796" s="109"/>
      <c r="N796" s="110"/>
    </row>
    <row r="797" spans="6:14" ht="14.25" customHeight="1" x14ac:dyDescent="0.3">
      <c r="F797" s="108"/>
      <c r="G797" s="108"/>
      <c r="H797" s="108"/>
      <c r="I797" s="109"/>
      <c r="J797" s="110"/>
      <c r="K797" s="109"/>
      <c r="L797" s="110"/>
      <c r="M797" s="109"/>
      <c r="N797" s="110"/>
    </row>
    <row r="798" spans="6:14" ht="14.25" customHeight="1" x14ac:dyDescent="0.3">
      <c r="F798" s="108"/>
      <c r="G798" s="108"/>
      <c r="H798" s="108"/>
      <c r="I798" s="109"/>
      <c r="J798" s="110"/>
      <c r="K798" s="109"/>
      <c r="L798" s="110"/>
      <c r="M798" s="109"/>
      <c r="N798" s="110"/>
    </row>
    <row r="799" spans="6:14" ht="14.25" customHeight="1" x14ac:dyDescent="0.3">
      <c r="F799" s="108"/>
      <c r="G799" s="108"/>
      <c r="H799" s="108"/>
      <c r="I799" s="109"/>
      <c r="J799" s="110"/>
      <c r="K799" s="109"/>
      <c r="L799" s="110"/>
      <c r="M799" s="109"/>
      <c r="N799" s="110"/>
    </row>
    <row r="800" spans="6:14" ht="14.25" customHeight="1" x14ac:dyDescent="0.3">
      <c r="F800" s="108"/>
      <c r="G800" s="108"/>
      <c r="H800" s="108"/>
      <c r="I800" s="109"/>
      <c r="J800" s="110"/>
      <c r="K800" s="109"/>
      <c r="L800" s="110"/>
      <c r="M800" s="109"/>
      <c r="N800" s="110"/>
    </row>
    <row r="801" spans="6:14" ht="14.25" customHeight="1" x14ac:dyDescent="0.3">
      <c r="F801" s="108"/>
      <c r="G801" s="108"/>
      <c r="H801" s="108"/>
      <c r="I801" s="109"/>
      <c r="J801" s="110"/>
      <c r="K801" s="109"/>
      <c r="L801" s="110"/>
      <c r="M801" s="109"/>
      <c r="N801" s="110"/>
    </row>
    <row r="802" spans="6:14" ht="14.25" customHeight="1" x14ac:dyDescent="0.3">
      <c r="F802" s="108"/>
      <c r="G802" s="108"/>
      <c r="H802" s="108"/>
      <c r="I802" s="109"/>
      <c r="J802" s="110"/>
      <c r="K802" s="109"/>
      <c r="L802" s="110"/>
      <c r="M802" s="109"/>
      <c r="N802" s="110"/>
    </row>
    <row r="803" spans="6:14" ht="14.25" customHeight="1" x14ac:dyDescent="0.3">
      <c r="F803" s="108"/>
      <c r="G803" s="108"/>
      <c r="H803" s="108"/>
      <c r="I803" s="109"/>
      <c r="J803" s="110"/>
      <c r="K803" s="109"/>
      <c r="L803" s="110"/>
      <c r="M803" s="109"/>
      <c r="N803" s="110"/>
    </row>
    <row r="804" spans="6:14" ht="14.25" customHeight="1" x14ac:dyDescent="0.3">
      <c r="F804" s="108"/>
      <c r="G804" s="108"/>
      <c r="H804" s="108"/>
      <c r="I804" s="109"/>
      <c r="J804" s="110"/>
      <c r="K804" s="109"/>
      <c r="L804" s="110"/>
      <c r="M804" s="109"/>
      <c r="N804" s="110"/>
    </row>
    <row r="805" spans="6:14" ht="14.25" customHeight="1" x14ac:dyDescent="0.3">
      <c r="F805" s="108"/>
      <c r="G805" s="108"/>
      <c r="H805" s="108"/>
      <c r="I805" s="109"/>
      <c r="J805" s="110"/>
      <c r="K805" s="109"/>
      <c r="L805" s="110"/>
      <c r="M805" s="109"/>
      <c r="N805" s="110"/>
    </row>
    <row r="806" spans="6:14" ht="14.25" customHeight="1" x14ac:dyDescent="0.3">
      <c r="F806" s="108"/>
      <c r="G806" s="108"/>
      <c r="H806" s="108"/>
      <c r="I806" s="109"/>
      <c r="J806" s="110"/>
      <c r="K806" s="109"/>
      <c r="L806" s="110"/>
      <c r="M806" s="109"/>
      <c r="N806" s="110"/>
    </row>
    <row r="807" spans="6:14" ht="14.25" customHeight="1" x14ac:dyDescent="0.3">
      <c r="F807" s="108"/>
      <c r="G807" s="108"/>
      <c r="H807" s="108"/>
      <c r="I807" s="109"/>
      <c r="J807" s="110"/>
      <c r="K807" s="109"/>
      <c r="L807" s="110"/>
      <c r="M807" s="109"/>
      <c r="N807" s="110"/>
    </row>
    <row r="808" spans="6:14" ht="14.25" customHeight="1" x14ac:dyDescent="0.3">
      <c r="F808" s="108"/>
      <c r="G808" s="108"/>
      <c r="H808" s="108"/>
      <c r="I808" s="109"/>
      <c r="J808" s="110"/>
      <c r="K808" s="109"/>
      <c r="L808" s="110"/>
      <c r="M808" s="109"/>
      <c r="N808" s="110"/>
    </row>
    <row r="809" spans="6:14" ht="14.25" customHeight="1" x14ac:dyDescent="0.3">
      <c r="F809" s="108"/>
      <c r="G809" s="108"/>
      <c r="H809" s="108"/>
      <c r="I809" s="109"/>
      <c r="J809" s="110"/>
      <c r="K809" s="109"/>
      <c r="L809" s="110"/>
      <c r="M809" s="109"/>
      <c r="N809" s="110"/>
    </row>
    <row r="810" spans="6:14" ht="14.25" customHeight="1" x14ac:dyDescent="0.3">
      <c r="F810" s="108"/>
      <c r="G810" s="108"/>
      <c r="H810" s="108"/>
      <c r="I810" s="109"/>
      <c r="J810" s="110"/>
      <c r="K810" s="109"/>
      <c r="L810" s="110"/>
      <c r="M810" s="109"/>
      <c r="N810" s="110"/>
    </row>
    <row r="811" spans="6:14" ht="14.25" customHeight="1" x14ac:dyDescent="0.3">
      <c r="F811" s="108"/>
      <c r="G811" s="108"/>
      <c r="H811" s="108"/>
      <c r="I811" s="109"/>
      <c r="J811" s="110"/>
      <c r="K811" s="109"/>
      <c r="L811" s="110"/>
      <c r="M811" s="109"/>
      <c r="N811" s="110"/>
    </row>
    <row r="812" spans="6:14" ht="14.25" customHeight="1" x14ac:dyDescent="0.3">
      <c r="F812" s="108"/>
      <c r="G812" s="108"/>
      <c r="H812" s="108"/>
      <c r="I812" s="109"/>
      <c r="J812" s="110"/>
      <c r="K812" s="109"/>
      <c r="L812" s="110"/>
      <c r="M812" s="109"/>
      <c r="N812" s="110"/>
    </row>
    <row r="813" spans="6:14" ht="14.25" customHeight="1" x14ac:dyDescent="0.3">
      <c r="F813" s="108"/>
      <c r="G813" s="108"/>
      <c r="H813" s="108"/>
      <c r="I813" s="109"/>
      <c r="J813" s="110"/>
      <c r="K813" s="109"/>
      <c r="L813" s="110"/>
      <c r="M813" s="109"/>
      <c r="N813" s="110"/>
    </row>
    <row r="814" spans="6:14" ht="14.25" customHeight="1" x14ac:dyDescent="0.3">
      <c r="F814" s="108"/>
      <c r="G814" s="108"/>
      <c r="H814" s="108"/>
      <c r="I814" s="109"/>
      <c r="J814" s="110"/>
      <c r="K814" s="109"/>
      <c r="L814" s="110"/>
      <c r="M814" s="109"/>
      <c r="N814" s="110"/>
    </row>
    <row r="815" spans="6:14" ht="14.25" customHeight="1" x14ac:dyDescent="0.3">
      <c r="F815" s="108"/>
      <c r="G815" s="108"/>
      <c r="H815" s="108"/>
      <c r="I815" s="109"/>
      <c r="J815" s="110"/>
      <c r="K815" s="109"/>
      <c r="L815" s="110"/>
      <c r="M815" s="109"/>
      <c r="N815" s="110"/>
    </row>
    <row r="816" spans="6:14" ht="14.25" customHeight="1" x14ac:dyDescent="0.3">
      <c r="F816" s="108"/>
      <c r="G816" s="108"/>
      <c r="H816" s="108"/>
      <c r="I816" s="109"/>
      <c r="J816" s="110"/>
      <c r="K816" s="109"/>
      <c r="L816" s="110"/>
      <c r="M816" s="109"/>
      <c r="N816" s="110"/>
    </row>
    <row r="817" spans="6:14" ht="14.25" customHeight="1" x14ac:dyDescent="0.3">
      <c r="F817" s="108"/>
      <c r="G817" s="108"/>
      <c r="H817" s="108"/>
      <c r="I817" s="109"/>
      <c r="J817" s="110"/>
      <c r="K817" s="109"/>
      <c r="L817" s="110"/>
      <c r="M817" s="109"/>
      <c r="N817" s="110"/>
    </row>
    <row r="818" spans="6:14" ht="14.25" customHeight="1" x14ac:dyDescent="0.3">
      <c r="F818" s="108"/>
      <c r="G818" s="108"/>
      <c r="H818" s="108"/>
      <c r="I818" s="109"/>
      <c r="J818" s="110"/>
      <c r="K818" s="109"/>
      <c r="L818" s="110"/>
      <c r="M818" s="109"/>
      <c r="N818" s="110"/>
    </row>
    <row r="819" spans="6:14" ht="14.25" customHeight="1" x14ac:dyDescent="0.3">
      <c r="F819" s="108"/>
      <c r="G819" s="108"/>
      <c r="H819" s="108"/>
      <c r="I819" s="109"/>
      <c r="J819" s="110"/>
      <c r="K819" s="109"/>
      <c r="L819" s="110"/>
      <c r="M819" s="109"/>
      <c r="N819" s="110"/>
    </row>
    <row r="820" spans="6:14" ht="14.25" customHeight="1" x14ac:dyDescent="0.3">
      <c r="F820" s="108"/>
      <c r="G820" s="108"/>
      <c r="H820" s="108"/>
      <c r="I820" s="109"/>
      <c r="J820" s="110"/>
      <c r="K820" s="109"/>
      <c r="L820" s="110"/>
      <c r="M820" s="109"/>
      <c r="N820" s="110"/>
    </row>
    <row r="821" spans="6:14" ht="14.25" customHeight="1" x14ac:dyDescent="0.3">
      <c r="F821" s="108"/>
      <c r="G821" s="108"/>
      <c r="H821" s="108"/>
      <c r="I821" s="109"/>
      <c r="J821" s="110"/>
      <c r="K821" s="109"/>
      <c r="L821" s="110"/>
      <c r="M821" s="109"/>
      <c r="N821" s="110"/>
    </row>
    <row r="822" spans="6:14" ht="14.25" customHeight="1" x14ac:dyDescent="0.3">
      <c r="F822" s="108"/>
      <c r="G822" s="108"/>
      <c r="H822" s="108"/>
      <c r="I822" s="109"/>
      <c r="J822" s="110"/>
      <c r="K822" s="109"/>
      <c r="L822" s="110"/>
      <c r="M822" s="109"/>
      <c r="N822" s="110"/>
    </row>
    <row r="823" spans="6:14" ht="14.25" customHeight="1" x14ac:dyDescent="0.3">
      <c r="F823" s="108"/>
      <c r="G823" s="108"/>
      <c r="H823" s="108"/>
      <c r="I823" s="109"/>
      <c r="J823" s="110"/>
      <c r="K823" s="109"/>
      <c r="L823" s="110"/>
      <c r="M823" s="109"/>
      <c r="N823" s="110"/>
    </row>
    <row r="824" spans="6:14" ht="14.25" customHeight="1" x14ac:dyDescent="0.3">
      <c r="F824" s="108"/>
      <c r="G824" s="108"/>
      <c r="H824" s="108"/>
      <c r="I824" s="109"/>
      <c r="J824" s="110"/>
      <c r="K824" s="109"/>
      <c r="L824" s="110"/>
      <c r="M824" s="109"/>
      <c r="N824" s="110"/>
    </row>
    <row r="825" spans="6:14" ht="14.25" customHeight="1" x14ac:dyDescent="0.3">
      <c r="F825" s="108"/>
      <c r="G825" s="108"/>
      <c r="H825" s="108"/>
      <c r="I825" s="109"/>
      <c r="J825" s="110"/>
      <c r="K825" s="109"/>
      <c r="L825" s="110"/>
      <c r="M825" s="109"/>
      <c r="N825" s="110"/>
    </row>
    <row r="826" spans="6:14" ht="14.25" customHeight="1" x14ac:dyDescent="0.3">
      <c r="F826" s="108"/>
      <c r="G826" s="108"/>
      <c r="H826" s="108"/>
      <c r="I826" s="109"/>
      <c r="J826" s="110"/>
      <c r="K826" s="109"/>
      <c r="L826" s="110"/>
      <c r="M826" s="109"/>
      <c r="N826" s="110"/>
    </row>
    <row r="827" spans="6:14" ht="14.25" customHeight="1" x14ac:dyDescent="0.3">
      <c r="F827" s="108"/>
      <c r="G827" s="108"/>
      <c r="H827" s="108"/>
      <c r="I827" s="109"/>
      <c r="J827" s="110"/>
      <c r="K827" s="109"/>
      <c r="L827" s="110"/>
      <c r="M827" s="109"/>
      <c r="N827" s="110"/>
    </row>
    <row r="828" spans="6:14" ht="14.25" customHeight="1" x14ac:dyDescent="0.3">
      <c r="F828" s="108"/>
      <c r="G828" s="108"/>
      <c r="H828" s="108"/>
      <c r="I828" s="109"/>
      <c r="J828" s="110"/>
      <c r="K828" s="109"/>
      <c r="L828" s="110"/>
      <c r="M828" s="109"/>
      <c r="N828" s="110"/>
    </row>
    <row r="829" spans="6:14" ht="14.25" customHeight="1" x14ac:dyDescent="0.3">
      <c r="F829" s="108"/>
      <c r="G829" s="108"/>
      <c r="H829" s="108"/>
      <c r="I829" s="109"/>
      <c r="J829" s="110"/>
      <c r="K829" s="109"/>
      <c r="L829" s="110"/>
      <c r="M829" s="109"/>
      <c r="N829" s="110"/>
    </row>
    <row r="830" spans="6:14" ht="14.25" customHeight="1" x14ac:dyDescent="0.3">
      <c r="F830" s="108"/>
      <c r="G830" s="108"/>
      <c r="H830" s="108"/>
      <c r="I830" s="109"/>
      <c r="J830" s="110"/>
      <c r="K830" s="109"/>
      <c r="L830" s="110"/>
      <c r="M830" s="109"/>
      <c r="N830" s="110"/>
    </row>
    <row r="831" spans="6:14" ht="14.25" customHeight="1" x14ac:dyDescent="0.3">
      <c r="F831" s="108"/>
      <c r="G831" s="108"/>
      <c r="H831" s="108"/>
      <c r="I831" s="109"/>
      <c r="J831" s="110"/>
      <c r="K831" s="109"/>
      <c r="L831" s="110"/>
      <c r="M831" s="109"/>
      <c r="N831" s="110"/>
    </row>
    <row r="832" spans="6:14" ht="14.25" customHeight="1" x14ac:dyDescent="0.3">
      <c r="F832" s="108"/>
      <c r="G832" s="108"/>
      <c r="H832" s="108"/>
      <c r="I832" s="109"/>
      <c r="J832" s="110"/>
      <c r="K832" s="109"/>
      <c r="L832" s="110"/>
      <c r="M832" s="109"/>
      <c r="N832" s="110"/>
    </row>
    <row r="833" spans="6:14" ht="14.25" customHeight="1" x14ac:dyDescent="0.3">
      <c r="F833" s="108"/>
      <c r="G833" s="108"/>
      <c r="H833" s="108"/>
      <c r="I833" s="109"/>
      <c r="J833" s="110"/>
      <c r="K833" s="109"/>
      <c r="L833" s="110"/>
      <c r="M833" s="109"/>
      <c r="N833" s="110"/>
    </row>
    <row r="834" spans="6:14" ht="14.25" customHeight="1" x14ac:dyDescent="0.3">
      <c r="F834" s="108"/>
      <c r="G834" s="108"/>
      <c r="H834" s="108"/>
      <c r="I834" s="109"/>
      <c r="J834" s="110"/>
      <c r="K834" s="109"/>
      <c r="L834" s="110"/>
      <c r="M834" s="109"/>
      <c r="N834" s="110"/>
    </row>
    <row r="835" spans="6:14" ht="14.25" customHeight="1" x14ac:dyDescent="0.3">
      <c r="F835" s="108"/>
      <c r="G835" s="108"/>
      <c r="H835" s="108"/>
      <c r="I835" s="109"/>
      <c r="J835" s="110"/>
      <c r="K835" s="109"/>
      <c r="L835" s="110"/>
      <c r="M835" s="109"/>
      <c r="N835" s="110"/>
    </row>
    <row r="836" spans="6:14" ht="14.25" customHeight="1" x14ac:dyDescent="0.3">
      <c r="F836" s="108"/>
      <c r="G836" s="108"/>
      <c r="H836" s="108"/>
      <c r="I836" s="109"/>
      <c r="J836" s="110"/>
      <c r="K836" s="109"/>
      <c r="L836" s="110"/>
      <c r="M836" s="109"/>
      <c r="N836" s="110"/>
    </row>
    <row r="837" spans="6:14" ht="14.25" customHeight="1" x14ac:dyDescent="0.3">
      <c r="F837" s="108"/>
      <c r="G837" s="108"/>
      <c r="H837" s="108"/>
      <c r="I837" s="109"/>
      <c r="J837" s="110"/>
      <c r="K837" s="109"/>
      <c r="L837" s="110"/>
      <c r="M837" s="109"/>
      <c r="N837" s="110"/>
    </row>
    <row r="838" spans="6:14" ht="14.25" customHeight="1" x14ac:dyDescent="0.3">
      <c r="F838" s="108"/>
      <c r="G838" s="108"/>
      <c r="H838" s="108"/>
      <c r="I838" s="109"/>
      <c r="J838" s="110"/>
      <c r="K838" s="109"/>
      <c r="L838" s="110"/>
      <c r="M838" s="109"/>
      <c r="N838" s="110"/>
    </row>
    <row r="839" spans="6:14" ht="14.25" customHeight="1" x14ac:dyDescent="0.3">
      <c r="F839" s="108"/>
      <c r="G839" s="108"/>
      <c r="H839" s="108"/>
      <c r="I839" s="109"/>
      <c r="J839" s="110"/>
      <c r="K839" s="109"/>
      <c r="L839" s="110"/>
      <c r="M839" s="109"/>
      <c r="N839" s="110"/>
    </row>
    <row r="840" spans="6:14" ht="14.25" customHeight="1" x14ac:dyDescent="0.3">
      <c r="F840" s="108"/>
      <c r="G840" s="108"/>
      <c r="H840" s="108"/>
      <c r="I840" s="109"/>
      <c r="J840" s="110"/>
      <c r="K840" s="109"/>
      <c r="L840" s="110"/>
      <c r="M840" s="109"/>
      <c r="N840" s="110"/>
    </row>
    <row r="841" spans="6:14" ht="14.25" customHeight="1" x14ac:dyDescent="0.3">
      <c r="F841" s="108"/>
      <c r="G841" s="108"/>
      <c r="H841" s="108"/>
      <c r="I841" s="109"/>
      <c r="J841" s="110"/>
      <c r="K841" s="109"/>
      <c r="L841" s="110"/>
      <c r="M841" s="109"/>
      <c r="N841" s="110"/>
    </row>
    <row r="842" spans="6:14" ht="14.25" customHeight="1" x14ac:dyDescent="0.3">
      <c r="F842" s="108"/>
      <c r="G842" s="108"/>
      <c r="H842" s="108"/>
      <c r="I842" s="109"/>
      <c r="J842" s="110"/>
      <c r="K842" s="109"/>
      <c r="L842" s="110"/>
      <c r="M842" s="109"/>
      <c r="N842" s="110"/>
    </row>
    <row r="843" spans="6:14" ht="14.25" customHeight="1" x14ac:dyDescent="0.3">
      <c r="F843" s="108"/>
      <c r="G843" s="108"/>
      <c r="H843" s="108"/>
      <c r="I843" s="109"/>
      <c r="J843" s="110"/>
      <c r="K843" s="109"/>
      <c r="L843" s="110"/>
      <c r="M843" s="109"/>
      <c r="N843" s="110"/>
    </row>
    <row r="844" spans="6:14" ht="14.25" customHeight="1" x14ac:dyDescent="0.3">
      <c r="F844" s="108"/>
      <c r="G844" s="108"/>
      <c r="H844" s="108"/>
      <c r="I844" s="109"/>
      <c r="J844" s="110"/>
      <c r="K844" s="109"/>
      <c r="L844" s="110"/>
      <c r="M844" s="109"/>
      <c r="N844" s="110"/>
    </row>
    <row r="845" spans="6:14" ht="14.25" customHeight="1" x14ac:dyDescent="0.3">
      <c r="F845" s="108"/>
      <c r="G845" s="108"/>
      <c r="H845" s="108"/>
      <c r="I845" s="109"/>
      <c r="J845" s="110"/>
      <c r="K845" s="109"/>
      <c r="L845" s="110"/>
      <c r="M845" s="109"/>
      <c r="N845" s="110"/>
    </row>
    <row r="846" spans="6:14" ht="14.25" customHeight="1" x14ac:dyDescent="0.3">
      <c r="F846" s="108"/>
      <c r="G846" s="108"/>
      <c r="H846" s="108"/>
      <c r="I846" s="109"/>
      <c r="J846" s="110"/>
      <c r="K846" s="109"/>
      <c r="L846" s="110"/>
      <c r="M846" s="109"/>
      <c r="N846" s="110"/>
    </row>
    <row r="847" spans="6:14" ht="14.25" customHeight="1" x14ac:dyDescent="0.3">
      <c r="F847" s="108"/>
      <c r="G847" s="108"/>
      <c r="H847" s="108"/>
      <c r="I847" s="109"/>
      <c r="J847" s="110"/>
      <c r="K847" s="109"/>
      <c r="L847" s="110"/>
      <c r="M847" s="109"/>
      <c r="N847" s="110"/>
    </row>
    <row r="848" spans="6:14" ht="14.25" customHeight="1" x14ac:dyDescent="0.3">
      <c r="F848" s="108"/>
      <c r="G848" s="108"/>
      <c r="H848" s="108"/>
      <c r="I848" s="109"/>
      <c r="J848" s="110"/>
      <c r="K848" s="109"/>
      <c r="L848" s="110"/>
      <c r="M848" s="109"/>
      <c r="N848" s="110"/>
    </row>
    <row r="849" spans="6:14" ht="14.25" customHeight="1" x14ac:dyDescent="0.3">
      <c r="F849" s="108"/>
      <c r="G849" s="108"/>
      <c r="H849" s="108"/>
      <c r="I849" s="109"/>
      <c r="J849" s="110"/>
      <c r="K849" s="109"/>
      <c r="L849" s="110"/>
      <c r="M849" s="109"/>
      <c r="N849" s="110"/>
    </row>
    <row r="850" spans="6:14" ht="14.25" customHeight="1" x14ac:dyDescent="0.3">
      <c r="F850" s="108"/>
      <c r="G850" s="108"/>
      <c r="H850" s="108"/>
      <c r="I850" s="109"/>
      <c r="J850" s="110"/>
      <c r="K850" s="109"/>
      <c r="L850" s="110"/>
      <c r="M850" s="109"/>
      <c r="N850" s="110"/>
    </row>
    <row r="851" spans="6:14" ht="14.25" customHeight="1" x14ac:dyDescent="0.3">
      <c r="F851" s="108"/>
      <c r="G851" s="108"/>
      <c r="H851" s="108"/>
      <c r="I851" s="109"/>
      <c r="J851" s="110"/>
      <c r="K851" s="109"/>
      <c r="L851" s="110"/>
      <c r="M851" s="109"/>
      <c r="N851" s="110"/>
    </row>
    <row r="852" spans="6:14" ht="14.25" customHeight="1" x14ac:dyDescent="0.3">
      <c r="F852" s="108"/>
      <c r="G852" s="108"/>
      <c r="H852" s="108"/>
      <c r="I852" s="109"/>
      <c r="J852" s="110"/>
      <c r="K852" s="109"/>
      <c r="L852" s="110"/>
      <c r="M852" s="109"/>
      <c r="N852" s="110"/>
    </row>
    <row r="853" spans="6:14" ht="14.25" customHeight="1" x14ac:dyDescent="0.3">
      <c r="F853" s="108"/>
      <c r="G853" s="108"/>
      <c r="H853" s="108"/>
      <c r="I853" s="109"/>
      <c r="J853" s="110"/>
      <c r="K853" s="109"/>
      <c r="L853" s="110"/>
      <c r="M853" s="109"/>
      <c r="N853" s="110"/>
    </row>
    <row r="854" spans="6:14" ht="14.25" customHeight="1" x14ac:dyDescent="0.3">
      <c r="F854" s="108"/>
      <c r="G854" s="108"/>
      <c r="H854" s="108"/>
      <c r="I854" s="109"/>
      <c r="J854" s="110"/>
      <c r="K854" s="109"/>
      <c r="L854" s="110"/>
      <c r="M854" s="109"/>
      <c r="N854" s="110"/>
    </row>
    <row r="855" spans="6:14" ht="14.25" customHeight="1" x14ac:dyDescent="0.3">
      <c r="F855" s="108"/>
      <c r="G855" s="108"/>
      <c r="H855" s="108"/>
      <c r="I855" s="109"/>
      <c r="J855" s="110"/>
      <c r="K855" s="109"/>
      <c r="L855" s="110"/>
      <c r="M855" s="109"/>
      <c r="N855" s="110"/>
    </row>
    <row r="856" spans="6:14" ht="14.25" customHeight="1" x14ac:dyDescent="0.3">
      <c r="F856" s="108"/>
      <c r="G856" s="108"/>
      <c r="H856" s="108"/>
      <c r="I856" s="109"/>
      <c r="J856" s="110"/>
      <c r="K856" s="109"/>
      <c r="L856" s="110"/>
      <c r="M856" s="109"/>
      <c r="N856" s="110"/>
    </row>
    <row r="857" spans="6:14" ht="14.25" customHeight="1" x14ac:dyDescent="0.3">
      <c r="F857" s="108"/>
      <c r="G857" s="108"/>
      <c r="H857" s="108"/>
      <c r="I857" s="109"/>
      <c r="J857" s="110"/>
      <c r="K857" s="109"/>
      <c r="L857" s="110"/>
      <c r="M857" s="109"/>
      <c r="N857" s="110"/>
    </row>
    <row r="858" spans="6:14" ht="14.25" customHeight="1" x14ac:dyDescent="0.3">
      <c r="F858" s="108"/>
      <c r="G858" s="108"/>
      <c r="H858" s="108"/>
      <c r="I858" s="109"/>
      <c r="J858" s="110"/>
      <c r="K858" s="109"/>
      <c r="L858" s="110"/>
      <c r="M858" s="109"/>
      <c r="N858" s="110"/>
    </row>
    <row r="859" spans="6:14" ht="14.25" customHeight="1" x14ac:dyDescent="0.3">
      <c r="F859" s="108"/>
      <c r="G859" s="108"/>
      <c r="H859" s="108"/>
      <c r="I859" s="109"/>
      <c r="J859" s="110"/>
      <c r="K859" s="109"/>
      <c r="L859" s="110"/>
      <c r="M859" s="109"/>
      <c r="N859" s="110"/>
    </row>
    <row r="860" spans="6:14" ht="14.25" customHeight="1" x14ac:dyDescent="0.3">
      <c r="F860" s="108"/>
      <c r="G860" s="108"/>
      <c r="H860" s="108"/>
      <c r="I860" s="109"/>
      <c r="J860" s="110"/>
      <c r="K860" s="109"/>
      <c r="L860" s="110"/>
      <c r="M860" s="109"/>
      <c r="N860" s="110"/>
    </row>
    <row r="861" spans="6:14" ht="14.25" customHeight="1" x14ac:dyDescent="0.3">
      <c r="F861" s="108"/>
      <c r="G861" s="108"/>
      <c r="H861" s="108"/>
      <c r="I861" s="109"/>
      <c r="J861" s="110"/>
      <c r="K861" s="109"/>
      <c r="L861" s="110"/>
      <c r="M861" s="109"/>
      <c r="N861" s="110"/>
    </row>
    <row r="862" spans="6:14" ht="14.25" customHeight="1" x14ac:dyDescent="0.3">
      <c r="F862" s="108"/>
      <c r="G862" s="108"/>
      <c r="H862" s="108"/>
      <c r="I862" s="109"/>
      <c r="J862" s="110"/>
      <c r="K862" s="109"/>
      <c r="L862" s="110"/>
      <c r="M862" s="109"/>
      <c r="N862" s="110"/>
    </row>
    <row r="863" spans="6:14" ht="14.25" customHeight="1" x14ac:dyDescent="0.3">
      <c r="F863" s="108"/>
      <c r="G863" s="108"/>
      <c r="H863" s="108"/>
      <c r="I863" s="109"/>
      <c r="J863" s="110"/>
      <c r="K863" s="109"/>
      <c r="L863" s="110"/>
      <c r="M863" s="109"/>
      <c r="N863" s="110"/>
    </row>
    <row r="864" spans="6:14" ht="14.25" customHeight="1" x14ac:dyDescent="0.3">
      <c r="F864" s="108"/>
      <c r="G864" s="108"/>
      <c r="H864" s="108"/>
      <c r="I864" s="109"/>
      <c r="J864" s="110"/>
      <c r="K864" s="109"/>
      <c r="L864" s="110"/>
      <c r="M864" s="109"/>
      <c r="N864" s="110"/>
    </row>
    <row r="865" spans="6:14" ht="14.25" customHeight="1" x14ac:dyDescent="0.3">
      <c r="F865" s="108"/>
      <c r="G865" s="108"/>
      <c r="H865" s="108"/>
      <c r="I865" s="109"/>
      <c r="J865" s="110"/>
      <c r="K865" s="109"/>
      <c r="L865" s="110"/>
      <c r="M865" s="109"/>
      <c r="N865" s="110"/>
    </row>
    <row r="866" spans="6:14" ht="14.25" customHeight="1" x14ac:dyDescent="0.3">
      <c r="F866" s="108"/>
      <c r="G866" s="108"/>
      <c r="H866" s="108"/>
      <c r="I866" s="109"/>
      <c r="J866" s="110"/>
      <c r="K866" s="109"/>
      <c r="L866" s="110"/>
      <c r="M866" s="109"/>
      <c r="N866" s="110"/>
    </row>
    <row r="867" spans="6:14" ht="14.25" customHeight="1" x14ac:dyDescent="0.3">
      <c r="F867" s="108"/>
      <c r="G867" s="108"/>
      <c r="H867" s="108"/>
      <c r="I867" s="109"/>
      <c r="J867" s="110"/>
      <c r="K867" s="109"/>
      <c r="L867" s="110"/>
      <c r="M867" s="109"/>
      <c r="N867" s="110"/>
    </row>
    <row r="868" spans="6:14" ht="14.25" customHeight="1" x14ac:dyDescent="0.3">
      <c r="F868" s="108"/>
      <c r="G868" s="108"/>
      <c r="H868" s="108"/>
      <c r="I868" s="109"/>
      <c r="J868" s="110"/>
      <c r="K868" s="109"/>
      <c r="L868" s="110"/>
      <c r="M868" s="109"/>
      <c r="N868" s="110"/>
    </row>
    <row r="869" spans="6:14" ht="14.25" customHeight="1" x14ac:dyDescent="0.3">
      <c r="F869" s="108"/>
      <c r="G869" s="108"/>
      <c r="H869" s="108"/>
      <c r="I869" s="109"/>
      <c r="J869" s="110"/>
      <c r="K869" s="109"/>
      <c r="L869" s="110"/>
      <c r="M869" s="109"/>
      <c r="N869" s="110"/>
    </row>
    <row r="870" spans="6:14" ht="14.25" customHeight="1" x14ac:dyDescent="0.3">
      <c r="F870" s="108"/>
      <c r="G870" s="108"/>
      <c r="H870" s="108"/>
      <c r="I870" s="109"/>
      <c r="J870" s="110"/>
      <c r="K870" s="109"/>
      <c r="L870" s="110"/>
      <c r="M870" s="109"/>
      <c r="N870" s="110"/>
    </row>
    <row r="871" spans="6:14" ht="14.25" customHeight="1" x14ac:dyDescent="0.3">
      <c r="F871" s="108"/>
      <c r="G871" s="108"/>
      <c r="H871" s="108"/>
      <c r="I871" s="109"/>
      <c r="J871" s="110"/>
      <c r="K871" s="109"/>
      <c r="L871" s="110"/>
      <c r="M871" s="109"/>
      <c r="N871" s="110"/>
    </row>
    <row r="872" spans="6:14" ht="14.25" customHeight="1" x14ac:dyDescent="0.3">
      <c r="F872" s="108"/>
      <c r="G872" s="108"/>
      <c r="H872" s="108"/>
      <c r="I872" s="109"/>
      <c r="J872" s="110"/>
      <c r="K872" s="109"/>
      <c r="L872" s="110"/>
      <c r="M872" s="109"/>
      <c r="N872" s="110"/>
    </row>
    <row r="873" spans="6:14" ht="14.25" customHeight="1" x14ac:dyDescent="0.3">
      <c r="F873" s="108"/>
      <c r="G873" s="108"/>
      <c r="H873" s="108"/>
      <c r="I873" s="109"/>
      <c r="J873" s="110"/>
      <c r="K873" s="109"/>
      <c r="L873" s="110"/>
      <c r="M873" s="109"/>
      <c r="N873" s="110"/>
    </row>
    <row r="874" spans="6:14" ht="14.25" customHeight="1" x14ac:dyDescent="0.3">
      <c r="F874" s="108"/>
      <c r="G874" s="108"/>
      <c r="H874" s="108"/>
      <c r="I874" s="109"/>
      <c r="J874" s="110"/>
      <c r="K874" s="109"/>
      <c r="L874" s="110"/>
      <c r="M874" s="109"/>
      <c r="N874" s="110"/>
    </row>
    <row r="875" spans="6:14" ht="14.25" customHeight="1" x14ac:dyDescent="0.3">
      <c r="F875" s="108"/>
      <c r="G875" s="108"/>
      <c r="H875" s="108"/>
      <c r="I875" s="109"/>
      <c r="J875" s="110"/>
      <c r="K875" s="109"/>
      <c r="L875" s="110"/>
      <c r="M875" s="109"/>
      <c r="N875" s="110"/>
    </row>
    <row r="876" spans="6:14" ht="14.25" customHeight="1" x14ac:dyDescent="0.3">
      <c r="F876" s="108"/>
      <c r="G876" s="108"/>
      <c r="H876" s="108"/>
      <c r="I876" s="109"/>
      <c r="J876" s="110"/>
      <c r="K876" s="109"/>
      <c r="L876" s="110"/>
      <c r="M876" s="109"/>
      <c r="N876" s="110"/>
    </row>
    <row r="877" spans="6:14" ht="14.25" customHeight="1" x14ac:dyDescent="0.3">
      <c r="F877" s="108"/>
      <c r="G877" s="108"/>
      <c r="H877" s="108"/>
      <c r="I877" s="109"/>
      <c r="J877" s="110"/>
      <c r="K877" s="109"/>
      <c r="L877" s="110"/>
      <c r="M877" s="109"/>
      <c r="N877" s="110"/>
    </row>
    <row r="878" spans="6:14" ht="14.25" customHeight="1" x14ac:dyDescent="0.3">
      <c r="F878" s="108"/>
      <c r="G878" s="108"/>
      <c r="H878" s="108"/>
      <c r="I878" s="109"/>
      <c r="J878" s="110"/>
      <c r="K878" s="109"/>
      <c r="L878" s="110"/>
      <c r="M878" s="109"/>
      <c r="N878" s="110"/>
    </row>
    <row r="879" spans="6:14" ht="14.25" customHeight="1" x14ac:dyDescent="0.3">
      <c r="F879" s="108"/>
      <c r="G879" s="108"/>
      <c r="H879" s="108"/>
      <c r="I879" s="109"/>
      <c r="J879" s="110"/>
      <c r="K879" s="109"/>
      <c r="L879" s="110"/>
      <c r="M879" s="109"/>
      <c r="N879" s="110"/>
    </row>
    <row r="880" spans="6:14" ht="14.25" customHeight="1" x14ac:dyDescent="0.3">
      <c r="F880" s="108"/>
      <c r="G880" s="108"/>
      <c r="H880" s="108"/>
      <c r="I880" s="109"/>
      <c r="J880" s="110"/>
      <c r="K880" s="109"/>
      <c r="L880" s="110"/>
      <c r="M880" s="109"/>
      <c r="N880" s="110"/>
    </row>
    <row r="881" spans="6:14" ht="14.25" customHeight="1" x14ac:dyDescent="0.3">
      <c r="F881" s="108"/>
      <c r="G881" s="108"/>
      <c r="H881" s="108"/>
      <c r="I881" s="109"/>
      <c r="J881" s="110"/>
      <c r="K881" s="109"/>
      <c r="L881" s="110"/>
      <c r="M881" s="109"/>
      <c r="N881" s="110"/>
    </row>
    <row r="882" spans="6:14" ht="14.25" customHeight="1" x14ac:dyDescent="0.3">
      <c r="F882" s="108"/>
      <c r="G882" s="108"/>
      <c r="H882" s="108"/>
      <c r="I882" s="109"/>
      <c r="J882" s="110"/>
      <c r="K882" s="109"/>
      <c r="L882" s="110"/>
      <c r="M882" s="109"/>
      <c r="N882" s="110"/>
    </row>
    <row r="883" spans="6:14" ht="14.25" customHeight="1" x14ac:dyDescent="0.3">
      <c r="F883" s="108"/>
      <c r="G883" s="108"/>
      <c r="H883" s="108"/>
      <c r="I883" s="109"/>
      <c r="J883" s="110"/>
      <c r="K883" s="109"/>
      <c r="L883" s="110"/>
      <c r="M883" s="109"/>
      <c r="N883" s="110"/>
    </row>
    <row r="884" spans="6:14" ht="14.25" customHeight="1" x14ac:dyDescent="0.3">
      <c r="F884" s="108"/>
      <c r="G884" s="108"/>
      <c r="H884" s="108"/>
      <c r="I884" s="109"/>
      <c r="J884" s="110"/>
      <c r="K884" s="109"/>
      <c r="L884" s="110"/>
      <c r="M884" s="109"/>
      <c r="N884" s="110"/>
    </row>
    <row r="885" spans="6:14" ht="14.25" customHeight="1" x14ac:dyDescent="0.3">
      <c r="F885" s="108"/>
      <c r="G885" s="108"/>
      <c r="H885" s="108"/>
      <c r="I885" s="109"/>
      <c r="J885" s="110"/>
      <c r="K885" s="109"/>
      <c r="L885" s="110"/>
      <c r="M885" s="109"/>
      <c r="N885" s="110"/>
    </row>
    <row r="886" spans="6:14" ht="14.25" customHeight="1" x14ac:dyDescent="0.3">
      <c r="F886" s="108"/>
      <c r="G886" s="108"/>
      <c r="H886" s="108"/>
      <c r="I886" s="109"/>
      <c r="J886" s="110"/>
      <c r="K886" s="109"/>
      <c r="L886" s="110"/>
      <c r="M886" s="109"/>
      <c r="N886" s="110"/>
    </row>
    <row r="887" spans="6:14" ht="14.25" customHeight="1" x14ac:dyDescent="0.3">
      <c r="F887" s="108"/>
      <c r="G887" s="108"/>
      <c r="H887" s="108"/>
      <c r="I887" s="109"/>
      <c r="J887" s="110"/>
      <c r="K887" s="109"/>
      <c r="L887" s="110"/>
      <c r="M887" s="109"/>
      <c r="N887" s="110"/>
    </row>
    <row r="888" spans="6:14" ht="14.25" customHeight="1" x14ac:dyDescent="0.3">
      <c r="F888" s="108"/>
      <c r="G888" s="108"/>
      <c r="H888" s="108"/>
      <c r="I888" s="109"/>
      <c r="J888" s="110"/>
      <c r="K888" s="109"/>
      <c r="L888" s="110"/>
      <c r="M888" s="109"/>
      <c r="N888" s="110"/>
    </row>
    <row r="889" spans="6:14" ht="14.25" customHeight="1" x14ac:dyDescent="0.3">
      <c r="F889" s="108"/>
      <c r="G889" s="108"/>
      <c r="H889" s="108"/>
      <c r="I889" s="109"/>
      <c r="J889" s="110"/>
      <c r="K889" s="109"/>
      <c r="L889" s="110"/>
      <c r="M889" s="109"/>
      <c r="N889" s="110"/>
    </row>
    <row r="890" spans="6:14" ht="14.25" customHeight="1" x14ac:dyDescent="0.3">
      <c r="F890" s="108"/>
      <c r="G890" s="108"/>
      <c r="H890" s="108"/>
      <c r="I890" s="109"/>
      <c r="J890" s="110"/>
      <c r="K890" s="109"/>
      <c r="L890" s="110"/>
      <c r="M890" s="109"/>
      <c r="N890" s="110"/>
    </row>
    <row r="891" spans="6:14" ht="14.25" customHeight="1" x14ac:dyDescent="0.3">
      <c r="F891" s="108"/>
      <c r="G891" s="108"/>
      <c r="H891" s="108"/>
      <c r="I891" s="109"/>
      <c r="J891" s="110"/>
      <c r="K891" s="109"/>
      <c r="L891" s="110"/>
      <c r="M891" s="109"/>
      <c r="N891" s="110"/>
    </row>
    <row r="892" spans="6:14" ht="14.25" customHeight="1" x14ac:dyDescent="0.3">
      <c r="F892" s="108"/>
      <c r="G892" s="108"/>
      <c r="H892" s="108"/>
      <c r="I892" s="109"/>
      <c r="J892" s="110"/>
      <c r="K892" s="109"/>
      <c r="L892" s="110"/>
      <c r="M892" s="109"/>
      <c r="N892" s="110"/>
    </row>
    <row r="893" spans="6:14" ht="14.25" customHeight="1" x14ac:dyDescent="0.3">
      <c r="F893" s="108"/>
      <c r="G893" s="108"/>
      <c r="H893" s="108"/>
      <c r="I893" s="109"/>
      <c r="J893" s="110"/>
      <c r="K893" s="109"/>
      <c r="L893" s="110"/>
      <c r="M893" s="109"/>
      <c r="N893" s="110"/>
    </row>
    <row r="894" spans="6:14" ht="14.25" customHeight="1" x14ac:dyDescent="0.3">
      <c r="F894" s="108"/>
      <c r="G894" s="108"/>
      <c r="H894" s="108"/>
      <c r="I894" s="109"/>
      <c r="J894" s="110"/>
      <c r="K894" s="109"/>
      <c r="L894" s="110"/>
      <c r="M894" s="109"/>
      <c r="N894" s="110"/>
    </row>
    <row r="895" spans="6:14" ht="14.25" customHeight="1" x14ac:dyDescent="0.3">
      <c r="F895" s="108"/>
      <c r="G895" s="108"/>
      <c r="H895" s="108"/>
      <c r="I895" s="109"/>
      <c r="J895" s="110"/>
      <c r="K895" s="109"/>
      <c r="L895" s="110"/>
      <c r="M895" s="109"/>
      <c r="N895" s="110"/>
    </row>
    <row r="896" spans="6:14" ht="14.25" customHeight="1" x14ac:dyDescent="0.3">
      <c r="F896" s="108"/>
      <c r="G896" s="108"/>
      <c r="H896" s="108"/>
      <c r="I896" s="109"/>
      <c r="J896" s="110"/>
      <c r="K896" s="109"/>
      <c r="L896" s="110"/>
      <c r="M896" s="109"/>
      <c r="N896" s="110"/>
    </row>
    <row r="897" spans="6:14" ht="14.25" customHeight="1" x14ac:dyDescent="0.3">
      <c r="F897" s="108"/>
      <c r="G897" s="108"/>
      <c r="H897" s="108"/>
      <c r="I897" s="109"/>
      <c r="J897" s="110"/>
      <c r="K897" s="109"/>
      <c r="L897" s="110"/>
      <c r="M897" s="109"/>
      <c r="N897" s="110"/>
    </row>
    <row r="898" spans="6:14" ht="14.25" customHeight="1" x14ac:dyDescent="0.3">
      <c r="F898" s="108"/>
      <c r="G898" s="108"/>
      <c r="H898" s="108"/>
      <c r="I898" s="109"/>
      <c r="J898" s="110"/>
      <c r="K898" s="109"/>
      <c r="L898" s="110"/>
      <c r="M898" s="109"/>
      <c r="N898" s="110"/>
    </row>
    <row r="899" spans="6:14" ht="14.25" customHeight="1" x14ac:dyDescent="0.3">
      <c r="F899" s="108"/>
      <c r="G899" s="108"/>
      <c r="H899" s="108"/>
      <c r="I899" s="109"/>
      <c r="J899" s="110"/>
      <c r="K899" s="109"/>
      <c r="L899" s="110"/>
      <c r="M899" s="109"/>
      <c r="N899" s="110"/>
    </row>
    <row r="900" spans="6:14" ht="14.25" customHeight="1" x14ac:dyDescent="0.3">
      <c r="F900" s="108"/>
      <c r="G900" s="108"/>
      <c r="H900" s="108"/>
      <c r="I900" s="109"/>
      <c r="J900" s="110"/>
      <c r="K900" s="109"/>
      <c r="L900" s="110"/>
      <c r="M900" s="109"/>
      <c r="N900" s="110"/>
    </row>
    <row r="901" spans="6:14" ht="14.25" customHeight="1" x14ac:dyDescent="0.3">
      <c r="F901" s="108"/>
      <c r="G901" s="108"/>
      <c r="H901" s="108"/>
      <c r="I901" s="109"/>
      <c r="J901" s="110"/>
      <c r="K901" s="109"/>
      <c r="L901" s="110"/>
      <c r="M901" s="109"/>
      <c r="N901" s="110"/>
    </row>
    <row r="902" spans="6:14" ht="14.25" customHeight="1" x14ac:dyDescent="0.3">
      <c r="F902" s="108"/>
      <c r="G902" s="108"/>
      <c r="H902" s="108"/>
      <c r="I902" s="109"/>
      <c r="J902" s="110"/>
      <c r="K902" s="109"/>
      <c r="L902" s="110"/>
      <c r="M902" s="109"/>
      <c r="N902" s="110"/>
    </row>
    <row r="903" spans="6:14" ht="14.25" customHeight="1" x14ac:dyDescent="0.3">
      <c r="F903" s="108"/>
      <c r="G903" s="108"/>
      <c r="H903" s="108"/>
      <c r="I903" s="109"/>
      <c r="J903" s="110"/>
      <c r="K903" s="109"/>
      <c r="L903" s="110"/>
      <c r="M903" s="109"/>
      <c r="N903" s="110"/>
    </row>
    <row r="904" spans="6:14" ht="14.25" customHeight="1" x14ac:dyDescent="0.3">
      <c r="F904" s="108"/>
      <c r="G904" s="108"/>
      <c r="H904" s="108"/>
      <c r="I904" s="109"/>
      <c r="J904" s="110"/>
      <c r="K904" s="109"/>
      <c r="L904" s="110"/>
      <c r="M904" s="109"/>
      <c r="N904" s="110"/>
    </row>
    <row r="905" spans="6:14" ht="14.25" customHeight="1" x14ac:dyDescent="0.3">
      <c r="F905" s="108"/>
      <c r="G905" s="108"/>
      <c r="H905" s="108"/>
      <c r="I905" s="109"/>
      <c r="J905" s="110"/>
      <c r="K905" s="109"/>
      <c r="L905" s="110"/>
      <c r="M905" s="109"/>
      <c r="N905" s="110"/>
    </row>
    <row r="906" spans="6:14" ht="14.25" customHeight="1" x14ac:dyDescent="0.3">
      <c r="F906" s="108"/>
      <c r="G906" s="108"/>
      <c r="H906" s="108"/>
      <c r="I906" s="109"/>
      <c r="J906" s="110"/>
      <c r="K906" s="109"/>
      <c r="L906" s="110"/>
      <c r="M906" s="109"/>
      <c r="N906" s="110"/>
    </row>
    <row r="907" spans="6:14" ht="14.25" customHeight="1" x14ac:dyDescent="0.3">
      <c r="F907" s="108"/>
      <c r="G907" s="108"/>
      <c r="H907" s="108"/>
      <c r="I907" s="109"/>
      <c r="J907" s="110"/>
      <c r="K907" s="109"/>
      <c r="L907" s="110"/>
      <c r="M907" s="109"/>
      <c r="N907" s="110"/>
    </row>
    <row r="908" spans="6:14" ht="14.25" customHeight="1" x14ac:dyDescent="0.3">
      <c r="F908" s="108"/>
      <c r="G908" s="108"/>
      <c r="H908" s="108"/>
      <c r="I908" s="109"/>
      <c r="J908" s="110"/>
      <c r="K908" s="109"/>
      <c r="L908" s="110"/>
      <c r="M908" s="109"/>
      <c r="N908" s="110"/>
    </row>
    <row r="909" spans="6:14" ht="14.25" customHeight="1" x14ac:dyDescent="0.3">
      <c r="F909" s="108"/>
      <c r="G909" s="108"/>
      <c r="H909" s="108"/>
      <c r="I909" s="109"/>
      <c r="J909" s="110"/>
      <c r="K909" s="109"/>
      <c r="L909" s="110"/>
      <c r="M909" s="109"/>
      <c r="N909" s="110"/>
    </row>
    <row r="910" spans="6:14" ht="14.25" customHeight="1" x14ac:dyDescent="0.3">
      <c r="F910" s="108"/>
      <c r="G910" s="108"/>
      <c r="H910" s="108"/>
      <c r="I910" s="109"/>
      <c r="J910" s="110"/>
      <c r="K910" s="109"/>
      <c r="L910" s="110"/>
      <c r="M910" s="109"/>
      <c r="N910" s="110"/>
    </row>
    <row r="911" spans="6:14" ht="14.25" customHeight="1" x14ac:dyDescent="0.3">
      <c r="F911" s="108"/>
      <c r="G911" s="108"/>
      <c r="H911" s="108"/>
      <c r="I911" s="109"/>
      <c r="J911" s="110"/>
      <c r="K911" s="109"/>
      <c r="L911" s="110"/>
      <c r="M911" s="109"/>
      <c r="N911" s="110"/>
    </row>
    <row r="912" spans="6:14" ht="14.25" customHeight="1" x14ac:dyDescent="0.3">
      <c r="F912" s="108"/>
      <c r="G912" s="108"/>
      <c r="H912" s="108"/>
      <c r="I912" s="109"/>
      <c r="J912" s="110"/>
      <c r="K912" s="109"/>
      <c r="L912" s="110"/>
      <c r="M912" s="109"/>
      <c r="N912" s="110"/>
    </row>
    <row r="913" spans="6:14" ht="14.25" customHeight="1" x14ac:dyDescent="0.3">
      <c r="F913" s="108"/>
      <c r="G913" s="108"/>
      <c r="H913" s="108"/>
      <c r="I913" s="109"/>
      <c r="J913" s="110"/>
      <c r="K913" s="109"/>
      <c r="L913" s="110"/>
      <c r="M913" s="109"/>
      <c r="N913" s="110"/>
    </row>
    <row r="914" spans="6:14" ht="14.25" customHeight="1" x14ac:dyDescent="0.3">
      <c r="F914" s="108"/>
      <c r="G914" s="108"/>
      <c r="H914" s="108"/>
      <c r="I914" s="109"/>
      <c r="J914" s="110"/>
      <c r="K914" s="109"/>
      <c r="L914" s="110"/>
      <c r="M914" s="109"/>
      <c r="N914" s="110"/>
    </row>
    <row r="915" spans="6:14" ht="14.25" customHeight="1" x14ac:dyDescent="0.3">
      <c r="F915" s="108"/>
      <c r="G915" s="108"/>
      <c r="H915" s="108"/>
      <c r="I915" s="109"/>
      <c r="J915" s="110"/>
      <c r="K915" s="109"/>
      <c r="L915" s="110"/>
      <c r="M915" s="109"/>
      <c r="N915" s="110"/>
    </row>
    <row r="916" spans="6:14" ht="14.25" customHeight="1" x14ac:dyDescent="0.3">
      <c r="F916" s="108"/>
      <c r="G916" s="108"/>
      <c r="H916" s="108"/>
      <c r="I916" s="109"/>
      <c r="J916" s="110"/>
      <c r="K916" s="109"/>
      <c r="L916" s="110"/>
      <c r="M916" s="109"/>
      <c r="N916" s="110"/>
    </row>
    <row r="917" spans="6:14" ht="14.25" customHeight="1" x14ac:dyDescent="0.3">
      <c r="F917" s="108"/>
      <c r="G917" s="108"/>
      <c r="H917" s="108"/>
      <c r="I917" s="109"/>
      <c r="J917" s="110"/>
      <c r="K917" s="109"/>
      <c r="L917" s="110"/>
      <c r="M917" s="109"/>
      <c r="N917" s="110"/>
    </row>
    <row r="918" spans="6:14" ht="14.25" customHeight="1" x14ac:dyDescent="0.3">
      <c r="F918" s="108"/>
      <c r="G918" s="108"/>
      <c r="H918" s="108"/>
      <c r="I918" s="109"/>
      <c r="J918" s="110"/>
      <c r="K918" s="109"/>
      <c r="L918" s="110"/>
      <c r="M918" s="109"/>
      <c r="N918" s="110"/>
    </row>
    <row r="919" spans="6:14" ht="14.25" customHeight="1" x14ac:dyDescent="0.3">
      <c r="F919" s="108"/>
      <c r="G919" s="108"/>
      <c r="H919" s="108"/>
      <c r="I919" s="109"/>
      <c r="J919" s="110"/>
      <c r="K919" s="109"/>
      <c r="L919" s="110"/>
      <c r="M919" s="109"/>
      <c r="N919" s="110"/>
    </row>
    <row r="920" spans="6:14" ht="14.25" customHeight="1" x14ac:dyDescent="0.3">
      <c r="F920" s="108"/>
      <c r="G920" s="108"/>
      <c r="H920" s="108"/>
      <c r="I920" s="109"/>
      <c r="J920" s="110"/>
      <c r="K920" s="109"/>
      <c r="L920" s="110"/>
      <c r="M920" s="109"/>
      <c r="N920" s="110"/>
    </row>
    <row r="921" spans="6:14" ht="14.25" customHeight="1" x14ac:dyDescent="0.3">
      <c r="F921" s="108"/>
      <c r="G921" s="108"/>
      <c r="H921" s="108"/>
      <c r="I921" s="109"/>
      <c r="J921" s="110"/>
      <c r="K921" s="109"/>
      <c r="L921" s="110"/>
      <c r="M921" s="109"/>
      <c r="N921" s="110"/>
    </row>
    <row r="922" spans="6:14" ht="14.25" customHeight="1" x14ac:dyDescent="0.3">
      <c r="F922" s="108"/>
      <c r="G922" s="108"/>
      <c r="H922" s="108"/>
      <c r="I922" s="109"/>
      <c r="J922" s="110"/>
      <c r="K922" s="109"/>
      <c r="L922" s="110"/>
      <c r="M922" s="109"/>
      <c r="N922" s="110"/>
    </row>
    <row r="923" spans="6:14" ht="14.25" customHeight="1" x14ac:dyDescent="0.3">
      <c r="F923" s="108"/>
      <c r="G923" s="108"/>
      <c r="H923" s="108"/>
      <c r="I923" s="109"/>
      <c r="J923" s="110"/>
      <c r="K923" s="109"/>
      <c r="L923" s="110"/>
      <c r="M923" s="109"/>
      <c r="N923" s="110"/>
    </row>
    <row r="924" spans="6:14" ht="14.25" customHeight="1" x14ac:dyDescent="0.3">
      <c r="F924" s="108"/>
      <c r="G924" s="108"/>
      <c r="H924" s="108"/>
      <c r="I924" s="109"/>
      <c r="J924" s="110"/>
      <c r="K924" s="109"/>
      <c r="L924" s="110"/>
      <c r="M924" s="109"/>
      <c r="N924" s="110"/>
    </row>
    <row r="925" spans="6:14" ht="14.25" customHeight="1" x14ac:dyDescent="0.3">
      <c r="F925" s="108"/>
      <c r="G925" s="108"/>
      <c r="H925" s="108"/>
      <c r="I925" s="109"/>
      <c r="J925" s="110"/>
      <c r="K925" s="109"/>
      <c r="L925" s="110"/>
      <c r="M925" s="109"/>
      <c r="N925" s="110"/>
    </row>
    <row r="926" spans="6:14" ht="14.25" customHeight="1" x14ac:dyDescent="0.3">
      <c r="F926" s="108"/>
      <c r="G926" s="108"/>
      <c r="H926" s="108"/>
      <c r="I926" s="109"/>
      <c r="J926" s="110"/>
      <c r="K926" s="109"/>
      <c r="L926" s="110"/>
      <c r="M926" s="109"/>
      <c r="N926" s="110"/>
    </row>
    <row r="927" spans="6:14" ht="14.25" customHeight="1" x14ac:dyDescent="0.3">
      <c r="F927" s="108"/>
      <c r="G927" s="108"/>
      <c r="H927" s="108"/>
      <c r="I927" s="109"/>
      <c r="J927" s="110"/>
      <c r="K927" s="109"/>
      <c r="L927" s="110"/>
      <c r="M927" s="109"/>
      <c r="N927" s="110"/>
    </row>
    <row r="928" spans="6:14" ht="14.25" customHeight="1" x14ac:dyDescent="0.3">
      <c r="F928" s="108"/>
      <c r="G928" s="108"/>
      <c r="H928" s="108"/>
      <c r="I928" s="109"/>
      <c r="J928" s="110"/>
      <c r="K928" s="109"/>
      <c r="L928" s="110"/>
      <c r="M928" s="109"/>
      <c r="N928" s="110"/>
    </row>
    <row r="929" spans="6:14" ht="14.25" customHeight="1" x14ac:dyDescent="0.3">
      <c r="F929" s="108"/>
      <c r="G929" s="108"/>
      <c r="H929" s="108"/>
      <c r="I929" s="109"/>
      <c r="J929" s="110"/>
      <c r="K929" s="109"/>
      <c r="L929" s="110"/>
      <c r="M929" s="109"/>
      <c r="N929" s="110"/>
    </row>
    <row r="930" spans="6:14" ht="14.25" customHeight="1" x14ac:dyDescent="0.3">
      <c r="F930" s="108"/>
      <c r="G930" s="108"/>
      <c r="H930" s="108"/>
      <c r="I930" s="109"/>
      <c r="J930" s="110"/>
      <c r="K930" s="109"/>
      <c r="L930" s="110"/>
      <c r="M930" s="109"/>
      <c r="N930" s="110"/>
    </row>
    <row r="931" spans="6:14" ht="14.25" customHeight="1" x14ac:dyDescent="0.3">
      <c r="F931" s="108"/>
      <c r="G931" s="108"/>
      <c r="H931" s="108"/>
      <c r="I931" s="109"/>
      <c r="J931" s="110"/>
      <c r="K931" s="109"/>
      <c r="L931" s="110"/>
      <c r="M931" s="109"/>
      <c r="N931" s="110"/>
    </row>
    <row r="932" spans="6:14" ht="14.25" customHeight="1" x14ac:dyDescent="0.3">
      <c r="F932" s="108"/>
      <c r="G932" s="108"/>
      <c r="H932" s="108"/>
      <c r="I932" s="109"/>
      <c r="J932" s="110"/>
      <c r="K932" s="109"/>
      <c r="L932" s="110"/>
      <c r="M932" s="109"/>
      <c r="N932" s="110"/>
    </row>
    <row r="933" spans="6:14" ht="14.25" customHeight="1" x14ac:dyDescent="0.3">
      <c r="F933" s="108"/>
      <c r="G933" s="108"/>
      <c r="H933" s="108"/>
      <c r="I933" s="109"/>
      <c r="J933" s="110"/>
      <c r="K933" s="109"/>
      <c r="L933" s="110"/>
      <c r="M933" s="109"/>
      <c r="N933" s="110"/>
    </row>
    <row r="934" spans="6:14" ht="14.25" customHeight="1" x14ac:dyDescent="0.3">
      <c r="F934" s="108"/>
      <c r="G934" s="108"/>
      <c r="H934" s="108"/>
      <c r="I934" s="109"/>
      <c r="J934" s="110"/>
      <c r="K934" s="109"/>
      <c r="L934" s="110"/>
      <c r="M934" s="109"/>
      <c r="N934" s="110"/>
    </row>
    <row r="935" spans="6:14" ht="14.25" customHeight="1" x14ac:dyDescent="0.3">
      <c r="F935" s="108"/>
      <c r="G935" s="108"/>
      <c r="H935" s="108"/>
      <c r="I935" s="109"/>
      <c r="J935" s="110"/>
      <c r="K935" s="109"/>
      <c r="L935" s="110"/>
      <c r="M935" s="109"/>
      <c r="N935" s="110"/>
    </row>
    <row r="936" spans="6:14" ht="14.25" customHeight="1" x14ac:dyDescent="0.3">
      <c r="F936" s="108"/>
      <c r="G936" s="108"/>
      <c r="H936" s="108"/>
      <c r="I936" s="109"/>
      <c r="J936" s="110"/>
      <c r="K936" s="109"/>
      <c r="L936" s="110"/>
      <c r="M936" s="109"/>
      <c r="N936" s="110"/>
    </row>
    <row r="937" spans="6:14" ht="14.25" customHeight="1" x14ac:dyDescent="0.3">
      <c r="F937" s="108"/>
      <c r="G937" s="108"/>
      <c r="H937" s="108"/>
      <c r="I937" s="109"/>
      <c r="J937" s="110"/>
      <c r="K937" s="109"/>
      <c r="L937" s="110"/>
      <c r="M937" s="109"/>
      <c r="N937" s="110"/>
    </row>
    <row r="938" spans="6:14" ht="14.25" customHeight="1" x14ac:dyDescent="0.3">
      <c r="F938" s="108"/>
      <c r="G938" s="108"/>
      <c r="H938" s="108"/>
      <c r="I938" s="109"/>
      <c r="J938" s="110"/>
      <c r="K938" s="109"/>
      <c r="L938" s="110"/>
      <c r="M938" s="109"/>
      <c r="N938" s="110"/>
    </row>
    <row r="939" spans="6:14" ht="14.25" customHeight="1" x14ac:dyDescent="0.3">
      <c r="F939" s="108"/>
      <c r="G939" s="108"/>
      <c r="H939" s="108"/>
      <c r="I939" s="109"/>
      <c r="J939" s="110"/>
      <c r="K939" s="109"/>
      <c r="L939" s="110"/>
      <c r="M939" s="109"/>
      <c r="N939" s="110"/>
    </row>
    <row r="940" spans="6:14" ht="14.25" customHeight="1" x14ac:dyDescent="0.3">
      <c r="F940" s="108"/>
      <c r="G940" s="108"/>
      <c r="H940" s="108"/>
      <c r="I940" s="109"/>
      <c r="J940" s="110"/>
      <c r="K940" s="109"/>
      <c r="L940" s="110"/>
      <c r="M940" s="109"/>
      <c r="N940" s="110"/>
    </row>
    <row r="941" spans="6:14" ht="14.25" customHeight="1" x14ac:dyDescent="0.3">
      <c r="F941" s="108"/>
      <c r="G941" s="108"/>
      <c r="H941" s="108"/>
      <c r="I941" s="109"/>
      <c r="J941" s="110"/>
      <c r="K941" s="109"/>
      <c r="L941" s="110"/>
      <c r="M941" s="109"/>
      <c r="N941" s="110"/>
    </row>
    <row r="942" spans="6:14" ht="14.25" customHeight="1" x14ac:dyDescent="0.3">
      <c r="F942" s="108"/>
      <c r="G942" s="108"/>
      <c r="H942" s="108"/>
      <c r="I942" s="109"/>
      <c r="J942" s="110"/>
      <c r="K942" s="109"/>
      <c r="L942" s="110"/>
      <c r="M942" s="109"/>
      <c r="N942" s="110"/>
    </row>
    <row r="943" spans="6:14" ht="14.25" customHeight="1" x14ac:dyDescent="0.3">
      <c r="F943" s="108"/>
      <c r="G943" s="108"/>
      <c r="H943" s="108"/>
      <c r="I943" s="109"/>
      <c r="J943" s="110"/>
      <c r="K943" s="109"/>
      <c r="L943" s="110"/>
      <c r="M943" s="109"/>
      <c r="N943" s="110"/>
    </row>
    <row r="944" spans="6:14" ht="14.25" customHeight="1" x14ac:dyDescent="0.3">
      <c r="F944" s="108"/>
      <c r="G944" s="108"/>
      <c r="H944" s="108"/>
      <c r="I944" s="109"/>
      <c r="J944" s="110"/>
      <c r="K944" s="109"/>
      <c r="L944" s="110"/>
      <c r="M944" s="109"/>
      <c r="N944" s="110"/>
    </row>
    <row r="945" spans="6:14" ht="14.25" customHeight="1" x14ac:dyDescent="0.3">
      <c r="F945" s="108"/>
      <c r="G945" s="108"/>
      <c r="H945" s="108"/>
      <c r="I945" s="109"/>
      <c r="J945" s="110"/>
      <c r="K945" s="109"/>
      <c r="L945" s="110"/>
      <c r="M945" s="109"/>
      <c r="N945" s="110"/>
    </row>
    <row r="946" spans="6:14" ht="14.25" customHeight="1" x14ac:dyDescent="0.3">
      <c r="F946" s="108"/>
      <c r="G946" s="108"/>
      <c r="H946" s="108"/>
      <c r="I946" s="109"/>
      <c r="J946" s="110"/>
      <c r="K946" s="109"/>
      <c r="L946" s="110"/>
      <c r="M946" s="109"/>
      <c r="N946" s="110"/>
    </row>
    <row r="947" spans="6:14" ht="14.25" customHeight="1" x14ac:dyDescent="0.3">
      <c r="F947" s="108"/>
      <c r="G947" s="108"/>
      <c r="H947" s="108"/>
      <c r="I947" s="109"/>
      <c r="J947" s="110"/>
      <c r="K947" s="109"/>
      <c r="L947" s="110"/>
      <c r="M947" s="109"/>
      <c r="N947" s="110"/>
    </row>
    <row r="948" spans="6:14" ht="14.25" customHeight="1" x14ac:dyDescent="0.3">
      <c r="F948" s="108"/>
      <c r="G948" s="108"/>
      <c r="H948" s="108"/>
      <c r="I948" s="109"/>
      <c r="J948" s="110"/>
      <c r="K948" s="109"/>
      <c r="L948" s="110"/>
      <c r="M948" s="109"/>
      <c r="N948" s="110"/>
    </row>
    <row r="949" spans="6:14" ht="14.25" customHeight="1" x14ac:dyDescent="0.3">
      <c r="F949" s="108"/>
      <c r="G949" s="108"/>
      <c r="H949" s="108"/>
      <c r="I949" s="109"/>
      <c r="J949" s="110"/>
      <c r="K949" s="109"/>
      <c r="L949" s="110"/>
      <c r="M949" s="109"/>
      <c r="N949" s="110"/>
    </row>
    <row r="950" spans="6:14" ht="14.25" customHeight="1" x14ac:dyDescent="0.3">
      <c r="F950" s="108"/>
      <c r="G950" s="108"/>
      <c r="H950" s="108"/>
      <c r="I950" s="109"/>
      <c r="J950" s="110"/>
      <c r="K950" s="109"/>
      <c r="L950" s="110"/>
      <c r="M950" s="109"/>
      <c r="N950" s="110"/>
    </row>
    <row r="951" spans="6:14" ht="14.25" customHeight="1" x14ac:dyDescent="0.3">
      <c r="F951" s="108"/>
      <c r="G951" s="108"/>
      <c r="H951" s="108"/>
      <c r="I951" s="109"/>
      <c r="J951" s="110"/>
      <c r="K951" s="109"/>
      <c r="L951" s="110"/>
      <c r="M951" s="109"/>
      <c r="N951" s="110"/>
    </row>
    <row r="952" spans="6:14" ht="14.25" customHeight="1" x14ac:dyDescent="0.3">
      <c r="F952" s="108"/>
      <c r="G952" s="108"/>
      <c r="H952" s="108"/>
      <c r="I952" s="109"/>
      <c r="J952" s="110"/>
      <c r="K952" s="109"/>
      <c r="L952" s="110"/>
      <c r="M952" s="109"/>
      <c r="N952" s="110"/>
    </row>
    <row r="953" spans="6:14" ht="14.25" customHeight="1" x14ac:dyDescent="0.3">
      <c r="F953" s="108"/>
      <c r="G953" s="108"/>
      <c r="H953" s="108"/>
      <c r="I953" s="109"/>
      <c r="J953" s="110"/>
      <c r="K953" s="109"/>
      <c r="L953" s="110"/>
      <c r="M953" s="109"/>
      <c r="N953" s="110"/>
    </row>
    <row r="954" spans="6:14" ht="14.25" customHeight="1" x14ac:dyDescent="0.3">
      <c r="F954" s="108"/>
      <c r="G954" s="108"/>
      <c r="H954" s="108"/>
      <c r="I954" s="109"/>
      <c r="J954" s="110"/>
      <c r="K954" s="109"/>
      <c r="L954" s="110"/>
      <c r="M954" s="109"/>
      <c r="N954" s="110"/>
    </row>
    <row r="955" spans="6:14" ht="14.25" customHeight="1" x14ac:dyDescent="0.3">
      <c r="F955" s="108"/>
      <c r="G955" s="108"/>
      <c r="H955" s="108"/>
      <c r="I955" s="109"/>
      <c r="J955" s="110"/>
      <c r="K955" s="109"/>
      <c r="L955" s="110"/>
      <c r="M955" s="109"/>
      <c r="N955" s="110"/>
    </row>
    <row r="956" spans="6:14" ht="14.25" customHeight="1" x14ac:dyDescent="0.3">
      <c r="F956" s="108"/>
      <c r="G956" s="108"/>
      <c r="H956" s="108"/>
      <c r="I956" s="109"/>
      <c r="J956" s="110"/>
      <c r="K956" s="109"/>
      <c r="L956" s="110"/>
      <c r="M956" s="109"/>
      <c r="N956" s="110"/>
    </row>
    <row r="957" spans="6:14" ht="14.25" customHeight="1" x14ac:dyDescent="0.3">
      <c r="F957" s="108"/>
      <c r="G957" s="108"/>
      <c r="H957" s="108"/>
      <c r="I957" s="109"/>
      <c r="J957" s="110"/>
      <c r="K957" s="109"/>
      <c r="L957" s="110"/>
      <c r="M957" s="109"/>
      <c r="N957" s="110"/>
    </row>
    <row r="958" spans="6:14" ht="14.25" customHeight="1" x14ac:dyDescent="0.3">
      <c r="F958" s="108"/>
      <c r="G958" s="108"/>
      <c r="H958" s="108"/>
      <c r="I958" s="109"/>
      <c r="J958" s="110"/>
      <c r="K958" s="109"/>
      <c r="L958" s="110"/>
      <c r="M958" s="109"/>
      <c r="N958" s="110"/>
    </row>
    <row r="959" spans="6:14" ht="14.25" customHeight="1" x14ac:dyDescent="0.3">
      <c r="F959" s="108"/>
      <c r="G959" s="108"/>
      <c r="H959" s="108"/>
      <c r="I959" s="109"/>
      <c r="J959" s="110"/>
      <c r="K959" s="109"/>
      <c r="L959" s="110"/>
      <c r="M959" s="109"/>
      <c r="N959" s="110"/>
    </row>
    <row r="960" spans="6:14" ht="14.25" customHeight="1" x14ac:dyDescent="0.3">
      <c r="F960" s="108"/>
      <c r="G960" s="108"/>
      <c r="H960" s="108"/>
      <c r="I960" s="109"/>
      <c r="J960" s="110"/>
      <c r="K960" s="109"/>
      <c r="L960" s="110"/>
      <c r="M960" s="109"/>
      <c r="N960" s="110"/>
    </row>
    <row r="961" spans="6:14" ht="14.25" customHeight="1" x14ac:dyDescent="0.3">
      <c r="F961" s="108"/>
      <c r="G961" s="108"/>
      <c r="H961" s="108"/>
      <c r="I961" s="109"/>
      <c r="J961" s="110"/>
      <c r="K961" s="109"/>
      <c r="L961" s="110"/>
      <c r="M961" s="109"/>
      <c r="N961" s="110"/>
    </row>
    <row r="962" spans="6:14" ht="14.25" customHeight="1" x14ac:dyDescent="0.3">
      <c r="F962" s="108"/>
      <c r="G962" s="108"/>
      <c r="H962" s="108"/>
      <c r="I962" s="109"/>
      <c r="J962" s="110"/>
      <c r="K962" s="109"/>
      <c r="L962" s="110"/>
      <c r="M962" s="109"/>
      <c r="N962" s="110"/>
    </row>
    <row r="963" spans="6:14" ht="14.25" customHeight="1" x14ac:dyDescent="0.3">
      <c r="F963" s="108"/>
      <c r="G963" s="108"/>
      <c r="H963" s="108"/>
      <c r="I963" s="109"/>
      <c r="J963" s="110"/>
      <c r="K963" s="109"/>
      <c r="L963" s="110"/>
      <c r="M963" s="109"/>
      <c r="N963" s="110"/>
    </row>
    <row r="964" spans="6:14" ht="14.25" customHeight="1" x14ac:dyDescent="0.3">
      <c r="F964" s="108"/>
      <c r="G964" s="108"/>
      <c r="H964" s="108"/>
      <c r="I964" s="109"/>
      <c r="J964" s="110"/>
      <c r="K964" s="109"/>
      <c r="L964" s="110"/>
      <c r="M964" s="109"/>
      <c r="N964" s="110"/>
    </row>
    <row r="965" spans="6:14" ht="14.25" customHeight="1" x14ac:dyDescent="0.3">
      <c r="F965" s="108"/>
      <c r="G965" s="108"/>
      <c r="H965" s="108"/>
      <c r="I965" s="109"/>
      <c r="J965" s="110"/>
      <c r="K965" s="109"/>
      <c r="L965" s="110"/>
      <c r="M965" s="109"/>
      <c r="N965" s="110"/>
    </row>
    <row r="966" spans="6:14" ht="14.25" customHeight="1" x14ac:dyDescent="0.3">
      <c r="F966" s="108"/>
      <c r="G966" s="108"/>
      <c r="H966" s="108"/>
      <c r="I966" s="109"/>
      <c r="J966" s="110"/>
      <c r="K966" s="109"/>
      <c r="L966" s="110"/>
      <c r="M966" s="109"/>
      <c r="N966" s="110"/>
    </row>
    <row r="967" spans="6:14" ht="14.25" customHeight="1" x14ac:dyDescent="0.3">
      <c r="F967" s="108"/>
      <c r="G967" s="108"/>
      <c r="H967" s="108"/>
      <c r="I967" s="109"/>
      <c r="J967" s="110"/>
      <c r="K967" s="109"/>
      <c r="L967" s="110"/>
      <c r="M967" s="109"/>
      <c r="N967" s="110"/>
    </row>
    <row r="968" spans="6:14" ht="14.25" customHeight="1" x14ac:dyDescent="0.3">
      <c r="F968" s="108"/>
      <c r="G968" s="108"/>
      <c r="H968" s="108"/>
      <c r="I968" s="109"/>
      <c r="J968" s="110"/>
      <c r="K968" s="109"/>
      <c r="L968" s="110"/>
      <c r="M968" s="109"/>
      <c r="N968" s="110"/>
    </row>
    <row r="969" spans="6:14" ht="14.25" customHeight="1" x14ac:dyDescent="0.3">
      <c r="F969" s="108"/>
      <c r="G969" s="108"/>
      <c r="H969" s="108"/>
      <c r="I969" s="109"/>
      <c r="J969" s="110"/>
      <c r="K969" s="109"/>
      <c r="L969" s="110"/>
      <c r="M969" s="109"/>
      <c r="N969" s="110"/>
    </row>
    <row r="970" spans="6:14" ht="14.25" customHeight="1" x14ac:dyDescent="0.3">
      <c r="F970" s="108"/>
      <c r="G970" s="108"/>
      <c r="H970" s="108"/>
      <c r="I970" s="109"/>
      <c r="J970" s="110"/>
      <c r="K970" s="109"/>
      <c r="L970" s="110"/>
      <c r="M970" s="109"/>
      <c r="N970" s="110"/>
    </row>
    <row r="971" spans="6:14" ht="14.25" customHeight="1" x14ac:dyDescent="0.3">
      <c r="F971" s="108"/>
      <c r="G971" s="108"/>
      <c r="H971" s="108"/>
      <c r="I971" s="109"/>
      <c r="J971" s="110"/>
      <c r="K971" s="109"/>
      <c r="L971" s="110"/>
      <c r="M971" s="109"/>
      <c r="N971" s="110"/>
    </row>
    <row r="972" spans="6:14" ht="14.25" customHeight="1" x14ac:dyDescent="0.3">
      <c r="F972" s="108"/>
      <c r="G972" s="108"/>
      <c r="H972" s="108"/>
      <c r="I972" s="109"/>
      <c r="J972" s="110"/>
      <c r="K972" s="109"/>
      <c r="L972" s="110"/>
      <c r="M972" s="109"/>
      <c r="N972" s="110"/>
    </row>
    <row r="973" spans="6:14" ht="14.25" customHeight="1" x14ac:dyDescent="0.3">
      <c r="F973" s="108"/>
      <c r="G973" s="108"/>
      <c r="H973" s="108"/>
      <c r="I973" s="109"/>
      <c r="J973" s="110"/>
      <c r="K973" s="109"/>
      <c r="L973" s="110"/>
      <c r="M973" s="109"/>
      <c r="N973" s="110"/>
    </row>
    <row r="974" spans="6:14" ht="14.25" customHeight="1" x14ac:dyDescent="0.3">
      <c r="F974" s="108"/>
      <c r="G974" s="108"/>
      <c r="H974" s="108"/>
      <c r="I974" s="109"/>
      <c r="J974" s="110"/>
      <c r="K974" s="109"/>
      <c r="L974" s="110"/>
      <c r="M974" s="109"/>
      <c r="N974" s="110"/>
    </row>
    <row r="975" spans="6:14" ht="14.25" customHeight="1" x14ac:dyDescent="0.3">
      <c r="F975" s="108"/>
      <c r="G975" s="108"/>
      <c r="H975" s="108"/>
      <c r="I975" s="109"/>
      <c r="J975" s="110"/>
      <c r="K975" s="109"/>
      <c r="L975" s="110"/>
      <c r="M975" s="109"/>
      <c r="N975" s="110"/>
    </row>
    <row r="976" spans="6:14" ht="14.25" customHeight="1" x14ac:dyDescent="0.3">
      <c r="F976" s="108"/>
      <c r="G976" s="108"/>
      <c r="H976" s="108"/>
      <c r="I976" s="109"/>
      <c r="J976" s="110"/>
      <c r="K976" s="109"/>
      <c r="L976" s="110"/>
      <c r="M976" s="109"/>
      <c r="N976" s="110"/>
    </row>
    <row r="977" spans="6:14" ht="14.25" customHeight="1" x14ac:dyDescent="0.3">
      <c r="F977" s="108"/>
      <c r="G977" s="108"/>
      <c r="H977" s="108"/>
      <c r="I977" s="109"/>
      <c r="J977" s="110"/>
      <c r="K977" s="109"/>
      <c r="L977" s="110"/>
      <c r="M977" s="109"/>
      <c r="N977" s="110"/>
    </row>
    <row r="978" spans="6:14" ht="14.25" customHeight="1" x14ac:dyDescent="0.3">
      <c r="F978" s="108"/>
      <c r="G978" s="108"/>
      <c r="H978" s="108"/>
      <c r="I978" s="109"/>
      <c r="J978" s="110"/>
      <c r="K978" s="109"/>
      <c r="L978" s="110"/>
      <c r="M978" s="109"/>
      <c r="N978" s="110"/>
    </row>
    <row r="979" spans="6:14" ht="14.25" customHeight="1" x14ac:dyDescent="0.3">
      <c r="F979" s="108"/>
      <c r="G979" s="108"/>
      <c r="H979" s="108"/>
      <c r="I979" s="109"/>
      <c r="J979" s="110"/>
      <c r="K979" s="109"/>
      <c r="L979" s="110"/>
      <c r="M979" s="109"/>
      <c r="N979" s="110"/>
    </row>
    <row r="980" spans="6:14" ht="14.25" customHeight="1" x14ac:dyDescent="0.3">
      <c r="F980" s="108"/>
      <c r="G980" s="108"/>
      <c r="H980" s="108"/>
      <c r="I980" s="109"/>
      <c r="J980" s="110"/>
      <c r="K980" s="109"/>
      <c r="L980" s="110"/>
      <c r="M980" s="109"/>
      <c r="N980" s="110"/>
    </row>
    <row r="981" spans="6:14" ht="14.25" customHeight="1" x14ac:dyDescent="0.3">
      <c r="F981" s="108"/>
      <c r="G981" s="108"/>
      <c r="H981" s="108"/>
      <c r="I981" s="109"/>
      <c r="J981" s="110"/>
      <c r="K981" s="109"/>
      <c r="L981" s="110"/>
      <c r="M981" s="109"/>
      <c r="N981" s="110"/>
    </row>
    <row r="982" spans="6:14" ht="14.25" customHeight="1" x14ac:dyDescent="0.3">
      <c r="F982" s="108"/>
      <c r="G982" s="108"/>
      <c r="H982" s="108"/>
      <c r="I982" s="109"/>
      <c r="J982" s="110"/>
      <c r="K982" s="109"/>
      <c r="L982" s="110"/>
      <c r="M982" s="109"/>
      <c r="N982" s="110"/>
    </row>
    <row r="983" spans="6:14" ht="14.25" customHeight="1" x14ac:dyDescent="0.3">
      <c r="F983" s="108"/>
      <c r="G983" s="108"/>
      <c r="H983" s="108"/>
      <c r="I983" s="109"/>
      <c r="J983" s="110"/>
      <c r="K983" s="109"/>
      <c r="L983" s="110"/>
      <c r="M983" s="109"/>
      <c r="N983" s="110"/>
    </row>
    <row r="984" spans="6:14" ht="14.25" customHeight="1" x14ac:dyDescent="0.3">
      <c r="F984" s="108"/>
      <c r="G984" s="108"/>
      <c r="H984" s="108"/>
      <c r="I984" s="109"/>
      <c r="J984" s="110"/>
      <c r="K984" s="109"/>
      <c r="L984" s="110"/>
      <c r="M984" s="109"/>
      <c r="N984" s="110"/>
    </row>
    <row r="985" spans="6:14" ht="14.25" customHeight="1" x14ac:dyDescent="0.3">
      <c r="F985" s="108"/>
      <c r="G985" s="108"/>
      <c r="H985" s="108"/>
      <c r="I985" s="109"/>
      <c r="J985" s="110"/>
      <c r="K985" s="109"/>
      <c r="L985" s="110"/>
      <c r="M985" s="109"/>
      <c r="N985" s="110"/>
    </row>
    <row r="986" spans="6:14" ht="14.25" customHeight="1" x14ac:dyDescent="0.3">
      <c r="F986" s="108"/>
      <c r="G986" s="108"/>
      <c r="H986" s="108"/>
      <c r="I986" s="109"/>
      <c r="J986" s="110"/>
      <c r="K986" s="109"/>
      <c r="L986" s="110"/>
      <c r="M986" s="109"/>
      <c r="N986" s="110"/>
    </row>
    <row r="987" spans="6:14" ht="14.25" customHeight="1" x14ac:dyDescent="0.3">
      <c r="F987" s="108"/>
      <c r="G987" s="108"/>
      <c r="H987" s="108"/>
      <c r="I987" s="109"/>
      <c r="J987" s="110"/>
      <c r="K987" s="109"/>
      <c r="L987" s="110"/>
      <c r="M987" s="109"/>
      <c r="N987" s="110"/>
    </row>
  </sheetData>
  <mergeCells count="3">
    <mergeCell ref="F2:G2"/>
    <mergeCell ref="A3:A16"/>
    <mergeCell ref="A1:R1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8"/>
  <sheetViews>
    <sheetView workbookViewId="0">
      <pane xSplit="4" ySplit="2" topLeftCell="O3" activePane="bottomRight" state="frozen"/>
      <selection pane="topRight" activeCell="F1" sqref="F1"/>
      <selection pane="bottomLeft" activeCell="A3" sqref="A3"/>
      <selection pane="bottomRight" activeCell="S1" sqref="S1:BN1048576"/>
    </sheetView>
  </sheetViews>
  <sheetFormatPr defaultColWidth="14.44140625" defaultRowHeight="15" customHeight="1" x14ac:dyDescent="0.3"/>
  <cols>
    <col min="1" max="1" width="12.21875" bestFit="1" customWidth="1"/>
    <col min="2" max="2" width="49.5546875" style="138" customWidth="1"/>
    <col min="3" max="3" width="20.21875" style="138" bestFit="1" customWidth="1"/>
    <col min="4" max="4" width="16.21875" customWidth="1"/>
    <col min="5" max="5" width="8.5546875" style="20" customWidth="1"/>
    <col min="6" max="6" width="9.109375" style="195" customWidth="1"/>
    <col min="7" max="7" width="10.77734375" customWidth="1"/>
    <col min="8" max="8" width="10.5546875" customWidth="1"/>
    <col min="9" max="9" width="7.44140625" bestFit="1" customWidth="1"/>
    <col min="10" max="10" width="10.44140625" bestFit="1" customWidth="1"/>
    <col min="11" max="11" width="7.44140625" bestFit="1" customWidth="1"/>
    <col min="12" max="12" width="8.6640625" bestFit="1" customWidth="1"/>
    <col min="13" max="13" width="7.44140625" bestFit="1" customWidth="1"/>
    <col min="14" max="14" width="20" style="40" bestFit="1" customWidth="1"/>
    <col min="15" max="15" width="14" customWidth="1"/>
    <col min="16" max="16" width="10.6640625" customWidth="1"/>
    <col min="17" max="17" width="11.6640625" customWidth="1"/>
    <col min="18" max="18" width="10.77734375" customWidth="1"/>
  </cols>
  <sheetData>
    <row r="1" spans="1:18" ht="45.75" customHeight="1" x14ac:dyDescent="0.3">
      <c r="A1" s="577" t="s">
        <v>106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9"/>
    </row>
    <row r="2" spans="1:18" s="314" customFormat="1" ht="27" customHeight="1" thickBot="1" x14ac:dyDescent="0.3">
      <c r="A2" s="305" t="s">
        <v>29</v>
      </c>
      <c r="B2" s="306" t="s">
        <v>28</v>
      </c>
      <c r="C2" s="306" t="s">
        <v>30</v>
      </c>
      <c r="D2" s="308" t="s">
        <v>33</v>
      </c>
      <c r="E2" s="580" t="s">
        <v>8</v>
      </c>
      <c r="F2" s="581"/>
      <c r="G2" s="307" t="s">
        <v>22</v>
      </c>
      <c r="H2" s="306" t="s">
        <v>3</v>
      </c>
      <c r="I2" s="308" t="s">
        <v>4</v>
      </c>
      <c r="J2" s="306" t="s">
        <v>3</v>
      </c>
      <c r="K2" s="308" t="s">
        <v>4</v>
      </c>
      <c r="L2" s="306" t="s">
        <v>3</v>
      </c>
      <c r="M2" s="308" t="s">
        <v>4</v>
      </c>
      <c r="N2" s="309" t="s">
        <v>23</v>
      </c>
      <c r="O2" s="310" t="s">
        <v>6</v>
      </c>
      <c r="P2" s="311" t="s">
        <v>25</v>
      </c>
      <c r="Q2" s="312" t="s">
        <v>24</v>
      </c>
      <c r="R2" s="313" t="s">
        <v>7</v>
      </c>
    </row>
    <row r="3" spans="1:18" s="325" customFormat="1" ht="12" x14ac:dyDescent="0.25">
      <c r="A3" s="370"/>
      <c r="B3" s="315"/>
      <c r="C3" s="388"/>
      <c r="D3" s="316"/>
      <c r="E3" s="317"/>
      <c r="F3" s="317"/>
      <c r="G3" s="318">
        <f t="shared" ref="G3:G23" si="0">SUM(E3*F3*D3)</f>
        <v>0</v>
      </c>
      <c r="H3" s="319"/>
      <c r="I3" s="320"/>
      <c r="J3" s="319"/>
      <c r="K3" s="320"/>
      <c r="L3" s="319"/>
      <c r="M3" s="320"/>
      <c r="N3" s="321">
        <f t="shared" ref="N3:N23" si="1">SUM(E3*F3*(I3+K3+M3))</f>
        <v>0</v>
      </c>
      <c r="O3" s="322">
        <f t="shared" ref="O3:O9" si="2">D3-I3-K3-M3</f>
        <v>0</v>
      </c>
      <c r="P3" s="323"/>
      <c r="Q3" s="321">
        <f t="shared" ref="Q3:Q23" si="3">SUM(E3*F3*(P3))</f>
        <v>0</v>
      </c>
      <c r="R3" s="324">
        <f t="shared" ref="R3:R9" si="4">I3+K3+M3-P3</f>
        <v>0</v>
      </c>
    </row>
    <row r="4" spans="1:18" s="325" customFormat="1" ht="12" x14ac:dyDescent="0.25">
      <c r="A4" s="371"/>
      <c r="B4" s="326"/>
      <c r="C4" s="336"/>
      <c r="D4" s="327"/>
      <c r="E4" s="328"/>
      <c r="F4" s="328"/>
      <c r="G4" s="329">
        <f t="shared" si="0"/>
        <v>0</v>
      </c>
      <c r="H4" s="330"/>
      <c r="I4" s="331"/>
      <c r="J4" s="330"/>
      <c r="K4" s="331"/>
      <c r="L4" s="330"/>
      <c r="M4" s="331"/>
      <c r="N4" s="332">
        <f t="shared" si="1"/>
        <v>0</v>
      </c>
      <c r="O4" s="333">
        <f t="shared" si="2"/>
        <v>0</v>
      </c>
      <c r="P4" s="334"/>
      <c r="Q4" s="332">
        <f t="shared" si="3"/>
        <v>0</v>
      </c>
      <c r="R4" s="335">
        <f t="shared" si="4"/>
        <v>0</v>
      </c>
    </row>
    <row r="5" spans="1:18" s="325" customFormat="1" ht="12" x14ac:dyDescent="0.25">
      <c r="A5" s="371"/>
      <c r="B5" s="326"/>
      <c r="C5" s="336"/>
      <c r="D5" s="327"/>
      <c r="E5" s="328"/>
      <c r="F5" s="328"/>
      <c r="G5" s="329">
        <f t="shared" si="0"/>
        <v>0</v>
      </c>
      <c r="H5" s="330"/>
      <c r="I5" s="331"/>
      <c r="J5" s="330"/>
      <c r="K5" s="331"/>
      <c r="L5" s="330"/>
      <c r="M5" s="331"/>
      <c r="N5" s="332">
        <f t="shared" si="1"/>
        <v>0</v>
      </c>
      <c r="O5" s="333">
        <f t="shared" si="2"/>
        <v>0</v>
      </c>
      <c r="P5" s="334"/>
      <c r="Q5" s="332">
        <f t="shared" si="3"/>
        <v>0</v>
      </c>
      <c r="R5" s="335">
        <f t="shared" si="4"/>
        <v>0</v>
      </c>
    </row>
    <row r="6" spans="1:18" s="325" customFormat="1" ht="12" x14ac:dyDescent="0.25">
      <c r="A6" s="371"/>
      <c r="B6" s="326"/>
      <c r="C6" s="336"/>
      <c r="D6" s="327"/>
      <c r="E6" s="328"/>
      <c r="F6" s="328"/>
      <c r="G6" s="329">
        <f t="shared" si="0"/>
        <v>0</v>
      </c>
      <c r="H6" s="330"/>
      <c r="I6" s="331"/>
      <c r="J6" s="330"/>
      <c r="K6" s="331"/>
      <c r="L6" s="330"/>
      <c r="M6" s="331"/>
      <c r="N6" s="332">
        <f t="shared" si="1"/>
        <v>0</v>
      </c>
      <c r="O6" s="333">
        <f t="shared" si="2"/>
        <v>0</v>
      </c>
      <c r="P6" s="334"/>
      <c r="Q6" s="332">
        <f t="shared" si="3"/>
        <v>0</v>
      </c>
      <c r="R6" s="335">
        <f t="shared" si="4"/>
        <v>0</v>
      </c>
    </row>
    <row r="7" spans="1:18" s="325" customFormat="1" ht="12" x14ac:dyDescent="0.25">
      <c r="A7" s="371"/>
      <c r="B7" s="326"/>
      <c r="C7" s="336"/>
      <c r="D7" s="327"/>
      <c r="E7" s="328"/>
      <c r="F7" s="328"/>
      <c r="G7" s="329">
        <f t="shared" si="0"/>
        <v>0</v>
      </c>
      <c r="H7" s="330"/>
      <c r="I7" s="331"/>
      <c r="J7" s="330"/>
      <c r="K7" s="331"/>
      <c r="L7" s="330"/>
      <c r="M7" s="331"/>
      <c r="N7" s="332">
        <f t="shared" si="1"/>
        <v>0</v>
      </c>
      <c r="O7" s="333">
        <f t="shared" si="2"/>
        <v>0</v>
      </c>
      <c r="P7" s="334"/>
      <c r="Q7" s="332">
        <f t="shared" si="3"/>
        <v>0</v>
      </c>
      <c r="R7" s="335">
        <f t="shared" si="4"/>
        <v>0</v>
      </c>
    </row>
    <row r="8" spans="1:18" s="325" customFormat="1" ht="12" x14ac:dyDescent="0.25">
      <c r="A8" s="371"/>
      <c r="B8" s="326"/>
      <c r="C8" s="336"/>
      <c r="D8" s="327"/>
      <c r="E8" s="328"/>
      <c r="F8" s="328"/>
      <c r="G8" s="329">
        <f t="shared" si="0"/>
        <v>0</v>
      </c>
      <c r="H8" s="330"/>
      <c r="I8" s="331"/>
      <c r="J8" s="330"/>
      <c r="K8" s="331"/>
      <c r="L8" s="330"/>
      <c r="M8" s="331"/>
      <c r="N8" s="332">
        <f t="shared" si="1"/>
        <v>0</v>
      </c>
      <c r="O8" s="333">
        <f t="shared" si="2"/>
        <v>0</v>
      </c>
      <c r="P8" s="334"/>
      <c r="Q8" s="332">
        <f t="shared" si="3"/>
        <v>0</v>
      </c>
      <c r="R8" s="335">
        <f t="shared" si="4"/>
        <v>0</v>
      </c>
    </row>
    <row r="9" spans="1:18" s="325" customFormat="1" ht="12" x14ac:dyDescent="0.25">
      <c r="A9" s="371"/>
      <c r="B9" s="326"/>
      <c r="C9" s="336"/>
      <c r="D9" s="327"/>
      <c r="E9" s="328"/>
      <c r="F9" s="328"/>
      <c r="G9" s="329">
        <f t="shared" si="0"/>
        <v>0</v>
      </c>
      <c r="H9" s="330"/>
      <c r="I9" s="331"/>
      <c r="J9" s="330"/>
      <c r="K9" s="331"/>
      <c r="L9" s="330"/>
      <c r="M9" s="331"/>
      <c r="N9" s="332">
        <f t="shared" si="1"/>
        <v>0</v>
      </c>
      <c r="O9" s="333">
        <f t="shared" si="2"/>
        <v>0</v>
      </c>
      <c r="P9" s="334"/>
      <c r="Q9" s="332">
        <f t="shared" si="3"/>
        <v>0</v>
      </c>
      <c r="R9" s="335">
        <f t="shared" si="4"/>
        <v>0</v>
      </c>
    </row>
    <row r="10" spans="1:18" s="325" customFormat="1" ht="12" x14ac:dyDescent="0.25">
      <c r="A10" s="371"/>
      <c r="B10" s="326"/>
      <c r="C10" s="336"/>
      <c r="D10" s="327"/>
      <c r="E10" s="328"/>
      <c r="F10" s="328"/>
      <c r="G10" s="329">
        <f t="shared" si="0"/>
        <v>0</v>
      </c>
      <c r="H10" s="330"/>
      <c r="I10" s="331"/>
      <c r="J10" s="330"/>
      <c r="K10" s="331"/>
      <c r="L10" s="330"/>
      <c r="M10" s="331"/>
      <c r="N10" s="332">
        <f t="shared" si="1"/>
        <v>0</v>
      </c>
      <c r="O10" s="333">
        <f>D10-I10-K10-M10</f>
        <v>0</v>
      </c>
      <c r="P10" s="334"/>
      <c r="Q10" s="332">
        <f t="shared" si="3"/>
        <v>0</v>
      </c>
      <c r="R10" s="335">
        <f>I10+K10+M10-P10</f>
        <v>0</v>
      </c>
    </row>
    <row r="11" spans="1:18" s="325" customFormat="1" ht="12" x14ac:dyDescent="0.25">
      <c r="A11" s="371"/>
      <c r="B11" s="326"/>
      <c r="C11" s="336"/>
      <c r="D11" s="327"/>
      <c r="E11" s="328"/>
      <c r="F11" s="328"/>
      <c r="G11" s="329">
        <f t="shared" si="0"/>
        <v>0</v>
      </c>
      <c r="H11" s="330"/>
      <c r="I11" s="331"/>
      <c r="J11" s="330"/>
      <c r="K11" s="331"/>
      <c r="L11" s="330"/>
      <c r="M11" s="331"/>
      <c r="N11" s="332">
        <f t="shared" si="1"/>
        <v>0</v>
      </c>
      <c r="O11" s="333">
        <f t="shared" ref="O11:O23" si="5">D11-I11-K11-M11</f>
        <v>0</v>
      </c>
      <c r="P11" s="334"/>
      <c r="Q11" s="332">
        <f t="shared" si="3"/>
        <v>0</v>
      </c>
      <c r="R11" s="335">
        <f t="shared" ref="R11:R23" si="6">I11+K11+M11-P11</f>
        <v>0</v>
      </c>
    </row>
    <row r="12" spans="1:18" s="325" customFormat="1" ht="12" x14ac:dyDescent="0.25">
      <c r="A12" s="371"/>
      <c r="B12" s="326"/>
      <c r="C12" s="336"/>
      <c r="D12" s="327"/>
      <c r="E12" s="328"/>
      <c r="F12" s="328"/>
      <c r="G12" s="329">
        <f t="shared" si="0"/>
        <v>0</v>
      </c>
      <c r="H12" s="330"/>
      <c r="I12" s="331"/>
      <c r="J12" s="330"/>
      <c r="K12" s="331"/>
      <c r="L12" s="330"/>
      <c r="M12" s="331"/>
      <c r="N12" s="332">
        <f t="shared" si="1"/>
        <v>0</v>
      </c>
      <c r="O12" s="333">
        <f t="shared" si="5"/>
        <v>0</v>
      </c>
      <c r="P12" s="334"/>
      <c r="Q12" s="332">
        <f t="shared" si="3"/>
        <v>0</v>
      </c>
      <c r="R12" s="335">
        <f t="shared" si="6"/>
        <v>0</v>
      </c>
    </row>
    <row r="13" spans="1:18" s="325" customFormat="1" ht="12" x14ac:dyDescent="0.25">
      <c r="A13" s="371"/>
      <c r="B13" s="337"/>
      <c r="C13" s="336"/>
      <c r="D13" s="327"/>
      <c r="E13" s="328"/>
      <c r="F13" s="328"/>
      <c r="G13" s="329">
        <f t="shared" si="0"/>
        <v>0</v>
      </c>
      <c r="H13" s="330"/>
      <c r="I13" s="331"/>
      <c r="J13" s="330"/>
      <c r="K13" s="331"/>
      <c r="L13" s="330"/>
      <c r="M13" s="331"/>
      <c r="N13" s="332">
        <f t="shared" si="1"/>
        <v>0</v>
      </c>
      <c r="O13" s="333">
        <f t="shared" si="5"/>
        <v>0</v>
      </c>
      <c r="P13" s="334"/>
      <c r="Q13" s="332">
        <f t="shared" si="3"/>
        <v>0</v>
      </c>
      <c r="R13" s="335">
        <f t="shared" si="6"/>
        <v>0</v>
      </c>
    </row>
    <row r="14" spans="1:18" s="325" customFormat="1" ht="12" x14ac:dyDescent="0.25">
      <c r="A14" s="371"/>
      <c r="B14" s="326"/>
      <c r="C14" s="336"/>
      <c r="D14" s="327"/>
      <c r="E14" s="328"/>
      <c r="F14" s="328"/>
      <c r="G14" s="329">
        <f t="shared" si="0"/>
        <v>0</v>
      </c>
      <c r="H14" s="330"/>
      <c r="I14" s="331"/>
      <c r="J14" s="330"/>
      <c r="K14" s="331"/>
      <c r="L14" s="330"/>
      <c r="M14" s="331"/>
      <c r="N14" s="332">
        <f t="shared" si="1"/>
        <v>0</v>
      </c>
      <c r="O14" s="333">
        <f t="shared" si="5"/>
        <v>0</v>
      </c>
      <c r="P14" s="334"/>
      <c r="Q14" s="332">
        <f t="shared" si="3"/>
        <v>0</v>
      </c>
      <c r="R14" s="335">
        <f t="shared" si="6"/>
        <v>0</v>
      </c>
    </row>
    <row r="15" spans="1:18" s="325" customFormat="1" ht="12" x14ac:dyDescent="0.25">
      <c r="A15" s="371"/>
      <c r="B15" s="326"/>
      <c r="C15" s="336"/>
      <c r="D15" s="327"/>
      <c r="E15" s="328"/>
      <c r="F15" s="328"/>
      <c r="G15" s="329">
        <f t="shared" si="0"/>
        <v>0</v>
      </c>
      <c r="H15" s="330"/>
      <c r="I15" s="331"/>
      <c r="J15" s="330"/>
      <c r="K15" s="331"/>
      <c r="L15" s="330"/>
      <c r="M15" s="331"/>
      <c r="N15" s="332"/>
      <c r="O15" s="333">
        <f t="shared" si="5"/>
        <v>0</v>
      </c>
      <c r="P15" s="334"/>
      <c r="Q15" s="332"/>
      <c r="R15" s="335"/>
    </row>
    <row r="16" spans="1:18" s="325" customFormat="1" ht="12" x14ac:dyDescent="0.25">
      <c r="A16" s="371"/>
      <c r="B16" s="326"/>
      <c r="C16" s="336"/>
      <c r="D16" s="327"/>
      <c r="E16" s="328"/>
      <c r="F16" s="328"/>
      <c r="G16" s="329">
        <f t="shared" si="0"/>
        <v>0</v>
      </c>
      <c r="H16" s="330"/>
      <c r="I16" s="331"/>
      <c r="J16" s="330"/>
      <c r="K16" s="331"/>
      <c r="L16" s="330"/>
      <c r="M16" s="331"/>
      <c r="N16" s="332">
        <f t="shared" si="1"/>
        <v>0</v>
      </c>
      <c r="O16" s="333">
        <f t="shared" si="5"/>
        <v>0</v>
      </c>
      <c r="P16" s="334"/>
      <c r="Q16" s="332">
        <f t="shared" si="3"/>
        <v>0</v>
      </c>
      <c r="R16" s="335">
        <f t="shared" si="6"/>
        <v>0</v>
      </c>
    </row>
    <row r="17" spans="1:18" s="325" customFormat="1" ht="12" x14ac:dyDescent="0.25">
      <c r="A17" s="371"/>
      <c r="B17" s="326"/>
      <c r="C17" s="336"/>
      <c r="D17" s="327"/>
      <c r="E17" s="328"/>
      <c r="F17" s="328"/>
      <c r="G17" s="329">
        <f t="shared" si="0"/>
        <v>0</v>
      </c>
      <c r="H17" s="330"/>
      <c r="I17" s="331"/>
      <c r="J17" s="330"/>
      <c r="K17" s="331"/>
      <c r="L17" s="330"/>
      <c r="M17" s="331"/>
      <c r="N17" s="332">
        <f t="shared" si="1"/>
        <v>0</v>
      </c>
      <c r="O17" s="333">
        <f t="shared" si="5"/>
        <v>0</v>
      </c>
      <c r="P17" s="334"/>
      <c r="Q17" s="332">
        <f t="shared" si="3"/>
        <v>0</v>
      </c>
      <c r="R17" s="335">
        <f t="shared" si="6"/>
        <v>0</v>
      </c>
    </row>
    <row r="18" spans="1:18" s="325" customFormat="1" ht="12" x14ac:dyDescent="0.25">
      <c r="A18" s="371"/>
      <c r="B18" s="326"/>
      <c r="C18" s="336"/>
      <c r="D18" s="327"/>
      <c r="E18" s="328"/>
      <c r="F18" s="328"/>
      <c r="G18" s="329">
        <f t="shared" si="0"/>
        <v>0</v>
      </c>
      <c r="H18" s="330"/>
      <c r="I18" s="331"/>
      <c r="J18" s="330"/>
      <c r="K18" s="331"/>
      <c r="L18" s="330"/>
      <c r="M18" s="331"/>
      <c r="N18" s="332">
        <f t="shared" si="1"/>
        <v>0</v>
      </c>
      <c r="O18" s="333">
        <f t="shared" si="5"/>
        <v>0</v>
      </c>
      <c r="P18" s="334"/>
      <c r="Q18" s="332">
        <f t="shared" si="3"/>
        <v>0</v>
      </c>
      <c r="R18" s="335">
        <f t="shared" si="6"/>
        <v>0</v>
      </c>
    </row>
    <row r="19" spans="1:18" s="325" customFormat="1" ht="12" x14ac:dyDescent="0.25">
      <c r="A19" s="371"/>
      <c r="B19" s="326"/>
      <c r="C19" s="336"/>
      <c r="D19" s="327"/>
      <c r="E19" s="328"/>
      <c r="F19" s="328"/>
      <c r="G19" s="329">
        <f t="shared" si="0"/>
        <v>0</v>
      </c>
      <c r="H19" s="330"/>
      <c r="I19" s="331"/>
      <c r="J19" s="330"/>
      <c r="K19" s="331"/>
      <c r="L19" s="330"/>
      <c r="M19" s="331"/>
      <c r="N19" s="332">
        <f t="shared" si="1"/>
        <v>0</v>
      </c>
      <c r="O19" s="333">
        <f t="shared" si="5"/>
        <v>0</v>
      </c>
      <c r="P19" s="334"/>
      <c r="Q19" s="332">
        <f t="shared" si="3"/>
        <v>0</v>
      </c>
      <c r="R19" s="335">
        <f t="shared" si="6"/>
        <v>0</v>
      </c>
    </row>
    <row r="20" spans="1:18" s="325" customFormat="1" ht="12" x14ac:dyDescent="0.25">
      <c r="A20" s="371"/>
      <c r="B20" s="326"/>
      <c r="C20" s="336"/>
      <c r="D20" s="327"/>
      <c r="E20" s="328"/>
      <c r="F20" s="328"/>
      <c r="G20" s="329">
        <f t="shared" si="0"/>
        <v>0</v>
      </c>
      <c r="H20" s="330"/>
      <c r="I20" s="331"/>
      <c r="J20" s="330"/>
      <c r="K20" s="331"/>
      <c r="L20" s="330"/>
      <c r="M20" s="331"/>
      <c r="N20" s="332">
        <f t="shared" si="1"/>
        <v>0</v>
      </c>
      <c r="O20" s="333">
        <f t="shared" si="5"/>
        <v>0</v>
      </c>
      <c r="P20" s="334"/>
      <c r="Q20" s="332">
        <f t="shared" si="3"/>
        <v>0</v>
      </c>
      <c r="R20" s="335">
        <f t="shared" si="6"/>
        <v>0</v>
      </c>
    </row>
    <row r="21" spans="1:18" s="325" customFormat="1" ht="12" x14ac:dyDescent="0.25">
      <c r="A21" s="371"/>
      <c r="B21" s="326"/>
      <c r="C21" s="336"/>
      <c r="D21" s="327"/>
      <c r="E21" s="328"/>
      <c r="F21" s="328"/>
      <c r="G21" s="329">
        <f t="shared" si="0"/>
        <v>0</v>
      </c>
      <c r="H21" s="330"/>
      <c r="I21" s="331"/>
      <c r="J21" s="330"/>
      <c r="K21" s="331"/>
      <c r="L21" s="330"/>
      <c r="M21" s="331"/>
      <c r="N21" s="332">
        <f t="shared" si="1"/>
        <v>0</v>
      </c>
      <c r="O21" s="333">
        <f t="shared" si="5"/>
        <v>0</v>
      </c>
      <c r="P21" s="334"/>
      <c r="Q21" s="332">
        <f t="shared" si="3"/>
        <v>0</v>
      </c>
      <c r="R21" s="335">
        <f t="shared" si="6"/>
        <v>0</v>
      </c>
    </row>
    <row r="22" spans="1:18" s="325" customFormat="1" ht="12" x14ac:dyDescent="0.25">
      <c r="A22" s="371"/>
      <c r="B22" s="326"/>
      <c r="C22" s="336"/>
      <c r="D22" s="327"/>
      <c r="E22" s="328"/>
      <c r="F22" s="328"/>
      <c r="G22" s="329">
        <f t="shared" si="0"/>
        <v>0</v>
      </c>
      <c r="H22" s="330"/>
      <c r="I22" s="331"/>
      <c r="J22" s="330"/>
      <c r="K22" s="331"/>
      <c r="L22" s="330"/>
      <c r="M22" s="331"/>
      <c r="N22" s="332">
        <f t="shared" si="1"/>
        <v>0</v>
      </c>
      <c r="O22" s="333">
        <f t="shared" si="5"/>
        <v>0</v>
      </c>
      <c r="P22" s="334"/>
      <c r="Q22" s="332">
        <f t="shared" si="3"/>
        <v>0</v>
      </c>
      <c r="R22" s="335">
        <f t="shared" si="6"/>
        <v>0</v>
      </c>
    </row>
    <row r="23" spans="1:18" s="325" customFormat="1" ht="12" x14ac:dyDescent="0.25">
      <c r="A23" s="371"/>
      <c r="B23" s="326"/>
      <c r="C23" s="336"/>
      <c r="D23" s="327"/>
      <c r="E23" s="328"/>
      <c r="F23" s="328"/>
      <c r="G23" s="329">
        <f t="shared" si="0"/>
        <v>0</v>
      </c>
      <c r="H23" s="330"/>
      <c r="I23" s="331"/>
      <c r="J23" s="330"/>
      <c r="K23" s="331"/>
      <c r="L23" s="330"/>
      <c r="M23" s="331"/>
      <c r="N23" s="332">
        <f t="shared" si="1"/>
        <v>0</v>
      </c>
      <c r="O23" s="333">
        <f t="shared" si="5"/>
        <v>0</v>
      </c>
      <c r="P23" s="334"/>
      <c r="Q23" s="332">
        <f t="shared" si="3"/>
        <v>0</v>
      </c>
      <c r="R23" s="335">
        <f t="shared" si="6"/>
        <v>0</v>
      </c>
    </row>
    <row r="24" spans="1:18" s="325" customFormat="1" ht="12" x14ac:dyDescent="0.25">
      <c r="A24" s="372"/>
      <c r="B24" s="338"/>
      <c r="C24" s="338"/>
      <c r="D24" s="339"/>
      <c r="E24" s="340"/>
      <c r="F24" s="340"/>
      <c r="G24" s="341">
        <f>SUM(E24*F24*D24)</f>
        <v>0</v>
      </c>
      <c r="H24" s="342"/>
      <c r="I24" s="343"/>
      <c r="J24" s="342"/>
      <c r="K24" s="343"/>
      <c r="L24" s="342"/>
      <c r="M24" s="343"/>
      <c r="N24" s="344">
        <f>SUM(E24*F24*(I24+K24+M24))</f>
        <v>0</v>
      </c>
      <c r="O24" s="345">
        <f>D24-I24-K24-M24</f>
        <v>0</v>
      </c>
      <c r="P24" s="346"/>
      <c r="Q24" s="344">
        <f>SUM(E24*F24*(P24))</f>
        <v>0</v>
      </c>
      <c r="R24" s="347">
        <f>I24+K24+M24-P24</f>
        <v>0</v>
      </c>
    </row>
    <row r="25" spans="1:18" ht="14.25" customHeight="1" x14ac:dyDescent="0.3">
      <c r="A25" s="1"/>
      <c r="B25" s="137"/>
      <c r="C25" s="137"/>
      <c r="D25" s="2"/>
      <c r="E25" s="15"/>
      <c r="F25" s="194"/>
      <c r="G25" s="3"/>
      <c r="H25" s="1"/>
      <c r="I25" s="2"/>
      <c r="J25" s="1"/>
      <c r="K25" s="2"/>
      <c r="L25" s="1"/>
      <c r="M25" s="2"/>
      <c r="N25" s="16"/>
    </row>
    <row r="26" spans="1:18" ht="14.25" customHeight="1" x14ac:dyDescent="0.3">
      <c r="A26" s="1"/>
      <c r="B26" s="137"/>
      <c r="C26" s="137"/>
      <c r="D26" s="2"/>
      <c r="E26" s="15"/>
      <c r="F26" s="194"/>
      <c r="G26" s="3"/>
      <c r="H26" s="1"/>
      <c r="I26" s="2"/>
      <c r="J26" s="1"/>
      <c r="K26" s="2"/>
      <c r="L26" s="1"/>
      <c r="M26" s="2"/>
      <c r="N26" s="16"/>
    </row>
    <row r="27" spans="1:18" ht="14.25" customHeight="1" x14ac:dyDescent="0.3">
      <c r="A27" s="1"/>
      <c r="B27" s="137"/>
      <c r="C27" s="137"/>
      <c r="D27" s="2"/>
      <c r="E27" s="15"/>
      <c r="F27" s="194"/>
      <c r="G27" s="3"/>
      <c r="H27" s="1"/>
      <c r="I27" s="2"/>
      <c r="J27" s="1"/>
      <c r="K27" s="2"/>
      <c r="L27" s="1"/>
      <c r="M27" s="2"/>
      <c r="N27" s="16"/>
    </row>
    <row r="28" spans="1:18" ht="14.25" customHeight="1" x14ac:dyDescent="0.3">
      <c r="A28" s="1"/>
      <c r="B28" s="137"/>
      <c r="C28" s="137"/>
      <c r="D28" s="2"/>
      <c r="E28" s="15"/>
      <c r="F28" s="194"/>
      <c r="G28" s="3"/>
      <c r="H28" s="1"/>
      <c r="I28" s="2"/>
      <c r="J28" s="1"/>
      <c r="K28" s="2"/>
      <c r="L28" s="1"/>
      <c r="M28" s="2"/>
      <c r="N28" s="16"/>
    </row>
    <row r="29" spans="1:18" ht="14.25" customHeight="1" x14ac:dyDescent="0.3">
      <c r="A29" s="1"/>
      <c r="B29" s="137"/>
      <c r="C29" s="137"/>
      <c r="D29" s="2"/>
      <c r="E29" s="15"/>
      <c r="F29" s="194"/>
      <c r="G29" s="3"/>
      <c r="H29" s="1"/>
      <c r="I29" s="2"/>
      <c r="J29" s="1"/>
      <c r="K29" s="2"/>
      <c r="L29" s="1"/>
      <c r="M29" s="2"/>
      <c r="N29" s="16"/>
    </row>
    <row r="30" spans="1:18" ht="14.25" customHeight="1" x14ac:dyDescent="0.3">
      <c r="A30" s="1"/>
      <c r="B30" s="137"/>
      <c r="C30" s="137"/>
      <c r="D30" s="2"/>
      <c r="E30" s="15"/>
      <c r="F30" s="194"/>
      <c r="G30" s="3"/>
      <c r="H30" s="1"/>
      <c r="I30" s="2"/>
      <c r="J30" s="1"/>
      <c r="K30" s="2"/>
      <c r="L30" s="1"/>
      <c r="M30" s="2"/>
      <c r="N30" s="16"/>
    </row>
    <row r="31" spans="1:18" ht="14.25" customHeight="1" x14ac:dyDescent="0.3">
      <c r="A31" s="1"/>
      <c r="B31" s="137"/>
      <c r="C31" s="137"/>
      <c r="D31" s="2"/>
      <c r="E31" s="15"/>
      <c r="F31" s="194"/>
      <c r="G31" s="3"/>
      <c r="H31" s="1"/>
      <c r="I31" s="2"/>
      <c r="J31" s="1"/>
      <c r="K31" s="2"/>
      <c r="L31" s="1"/>
      <c r="M31" s="2"/>
      <c r="N31" s="16"/>
    </row>
    <row r="32" spans="1:18" ht="14.25" customHeight="1" x14ac:dyDescent="0.3">
      <c r="A32" s="1"/>
      <c r="B32" s="137"/>
      <c r="C32" s="137"/>
      <c r="D32" s="2"/>
      <c r="E32" s="15"/>
      <c r="F32" s="194"/>
      <c r="G32" s="3"/>
      <c r="H32" s="1"/>
      <c r="I32" s="2"/>
      <c r="J32" s="1"/>
      <c r="K32" s="2"/>
      <c r="L32" s="1"/>
      <c r="M32" s="2"/>
      <c r="N32" s="16"/>
    </row>
    <row r="33" spans="1:14" ht="14.25" customHeight="1" x14ac:dyDescent="0.3">
      <c r="A33" s="1"/>
      <c r="B33" s="137"/>
      <c r="C33" s="137"/>
      <c r="D33" s="2"/>
      <c r="E33" s="15"/>
      <c r="F33" s="194"/>
      <c r="G33" s="3"/>
      <c r="H33" s="1"/>
      <c r="I33" s="2"/>
      <c r="J33" s="1"/>
      <c r="K33" s="2"/>
      <c r="L33" s="1"/>
      <c r="M33" s="2"/>
      <c r="N33" s="16"/>
    </row>
    <row r="34" spans="1:14" ht="14.25" customHeight="1" x14ac:dyDescent="0.3">
      <c r="A34" s="1"/>
      <c r="B34" s="137"/>
      <c r="C34" s="137"/>
      <c r="D34" s="2"/>
      <c r="E34" s="15"/>
      <c r="F34" s="194"/>
      <c r="G34" s="3"/>
      <c r="H34" s="1"/>
      <c r="I34" s="2"/>
      <c r="J34" s="1"/>
      <c r="K34" s="2"/>
      <c r="L34" s="1"/>
      <c r="M34" s="2"/>
      <c r="N34" s="16"/>
    </row>
    <row r="35" spans="1:14" ht="14.25" customHeight="1" x14ac:dyDescent="0.3">
      <c r="A35" s="1"/>
      <c r="B35" s="137"/>
      <c r="C35" s="137"/>
      <c r="D35" s="2"/>
      <c r="E35" s="15"/>
      <c r="F35" s="194"/>
      <c r="G35" s="3"/>
      <c r="H35" s="1"/>
      <c r="I35" s="2"/>
      <c r="J35" s="1"/>
      <c r="K35" s="2"/>
      <c r="L35" s="1"/>
      <c r="M35" s="2"/>
      <c r="N35" s="16"/>
    </row>
    <row r="36" spans="1:14" ht="14.25" customHeight="1" x14ac:dyDescent="0.3">
      <c r="A36" s="1"/>
      <c r="B36" s="137"/>
      <c r="C36" s="137"/>
      <c r="D36" s="2"/>
      <c r="E36" s="15"/>
      <c r="F36" s="194"/>
      <c r="G36" s="3"/>
      <c r="H36" s="1"/>
      <c r="I36" s="2"/>
      <c r="J36" s="1"/>
      <c r="K36" s="2"/>
      <c r="L36" s="1"/>
      <c r="M36" s="2"/>
      <c r="N36" s="16"/>
    </row>
    <row r="37" spans="1:14" ht="14.25" customHeight="1" x14ac:dyDescent="0.3">
      <c r="A37" s="1"/>
      <c r="B37" s="137"/>
      <c r="C37" s="137"/>
      <c r="D37" s="2"/>
      <c r="E37" s="15"/>
      <c r="F37" s="194"/>
      <c r="G37" s="3"/>
      <c r="H37" s="1"/>
      <c r="I37" s="2"/>
      <c r="J37" s="1"/>
      <c r="K37" s="2"/>
      <c r="L37" s="1"/>
      <c r="M37" s="2"/>
      <c r="N37" s="16"/>
    </row>
    <row r="38" spans="1:14" ht="14.25" customHeight="1" x14ac:dyDescent="0.3">
      <c r="A38" s="1"/>
      <c r="B38" s="137"/>
      <c r="C38" s="137"/>
      <c r="D38" s="2"/>
      <c r="E38" s="15"/>
      <c r="F38" s="194"/>
      <c r="G38" s="3"/>
      <c r="H38" s="1"/>
      <c r="I38" s="2"/>
      <c r="J38" s="1"/>
      <c r="K38" s="2"/>
      <c r="L38" s="1"/>
      <c r="M38" s="2"/>
      <c r="N38" s="16"/>
    </row>
    <row r="39" spans="1:14" ht="14.25" customHeight="1" x14ac:dyDescent="0.3">
      <c r="A39" s="1"/>
      <c r="B39" s="137"/>
      <c r="C39" s="137"/>
      <c r="D39" s="2"/>
      <c r="E39" s="15"/>
      <c r="F39" s="194"/>
      <c r="G39" s="3"/>
      <c r="H39" s="1"/>
      <c r="I39" s="2"/>
      <c r="J39" s="1"/>
      <c r="K39" s="2"/>
      <c r="L39" s="1"/>
      <c r="M39" s="2"/>
      <c r="N39" s="16"/>
    </row>
    <row r="40" spans="1:14" ht="14.25" customHeight="1" x14ac:dyDescent="0.3">
      <c r="A40" s="1"/>
      <c r="B40" s="137"/>
      <c r="C40" s="137"/>
      <c r="D40" s="2"/>
      <c r="E40" s="15"/>
      <c r="F40" s="194"/>
      <c r="G40" s="3"/>
      <c r="H40" s="1"/>
      <c r="I40" s="2"/>
      <c r="J40" s="1"/>
      <c r="K40" s="2"/>
      <c r="L40" s="1"/>
      <c r="M40" s="2"/>
      <c r="N40" s="16"/>
    </row>
    <row r="41" spans="1:14" ht="14.25" customHeight="1" x14ac:dyDescent="0.3">
      <c r="A41" s="1"/>
      <c r="B41" s="137"/>
      <c r="C41" s="137"/>
      <c r="D41" s="2"/>
      <c r="E41" s="15"/>
      <c r="F41" s="194"/>
      <c r="G41" s="3"/>
      <c r="H41" s="1"/>
      <c r="I41" s="2"/>
      <c r="J41" s="1"/>
      <c r="K41" s="2"/>
      <c r="L41" s="1"/>
      <c r="M41" s="2"/>
      <c r="N41" s="16"/>
    </row>
    <row r="42" spans="1:14" ht="14.25" customHeight="1" x14ac:dyDescent="0.3">
      <c r="A42" s="1"/>
      <c r="B42" s="137"/>
      <c r="C42" s="137"/>
      <c r="D42" s="2"/>
      <c r="E42" s="15"/>
      <c r="F42" s="194"/>
      <c r="G42" s="3"/>
      <c r="H42" s="1"/>
      <c r="I42" s="2"/>
      <c r="J42" s="1"/>
      <c r="K42" s="2"/>
      <c r="L42" s="1"/>
      <c r="M42" s="2"/>
      <c r="N42" s="16"/>
    </row>
    <row r="43" spans="1:14" ht="14.25" customHeight="1" x14ac:dyDescent="0.3">
      <c r="A43" s="1"/>
      <c r="B43" s="137"/>
      <c r="C43" s="137"/>
      <c r="D43" s="2"/>
      <c r="E43" s="15"/>
      <c r="F43" s="194"/>
      <c r="G43" s="3"/>
      <c r="H43" s="1"/>
      <c r="I43" s="2"/>
      <c r="J43" s="1"/>
      <c r="K43" s="2"/>
      <c r="L43" s="1"/>
      <c r="M43" s="2"/>
      <c r="N43" s="16"/>
    </row>
    <row r="44" spans="1:14" ht="14.25" customHeight="1" x14ac:dyDescent="0.3">
      <c r="A44" s="1"/>
      <c r="B44" s="137"/>
      <c r="C44" s="137"/>
      <c r="D44" s="2"/>
      <c r="E44" s="15"/>
      <c r="F44" s="194"/>
      <c r="G44" s="3"/>
      <c r="H44" s="1"/>
      <c r="I44" s="2"/>
      <c r="J44" s="1"/>
      <c r="K44" s="2"/>
      <c r="L44" s="1"/>
      <c r="M44" s="2"/>
      <c r="N44" s="16"/>
    </row>
    <row r="45" spans="1:14" ht="14.25" customHeight="1" x14ac:dyDescent="0.3">
      <c r="A45" s="1"/>
      <c r="B45" s="137"/>
      <c r="C45" s="137"/>
      <c r="D45" s="2"/>
      <c r="E45" s="15"/>
      <c r="F45" s="194"/>
      <c r="G45" s="3"/>
      <c r="H45" s="1"/>
      <c r="I45" s="2"/>
      <c r="J45" s="1"/>
      <c r="K45" s="2"/>
      <c r="L45" s="1"/>
      <c r="M45" s="2"/>
      <c r="N45" s="16"/>
    </row>
    <row r="46" spans="1:14" ht="14.25" customHeight="1" x14ac:dyDescent="0.3">
      <c r="A46" s="1"/>
      <c r="B46" s="137"/>
      <c r="C46" s="137"/>
      <c r="D46" s="2"/>
      <c r="E46" s="15"/>
      <c r="F46" s="194"/>
      <c r="G46" s="3"/>
      <c r="H46" s="1"/>
      <c r="I46" s="2"/>
      <c r="J46" s="1"/>
      <c r="K46" s="2"/>
      <c r="L46" s="1"/>
      <c r="M46" s="2"/>
      <c r="N46" s="16"/>
    </row>
    <row r="47" spans="1:14" ht="14.25" customHeight="1" x14ac:dyDescent="0.3">
      <c r="A47" s="1"/>
      <c r="B47" s="137"/>
      <c r="C47" s="137"/>
      <c r="D47" s="2"/>
      <c r="E47" s="15"/>
      <c r="F47" s="194"/>
      <c r="G47" s="3"/>
      <c r="H47" s="1"/>
      <c r="I47" s="2"/>
      <c r="J47" s="1"/>
      <c r="K47" s="2"/>
      <c r="L47" s="1"/>
      <c r="M47" s="2"/>
      <c r="N47" s="16"/>
    </row>
    <row r="48" spans="1:14" ht="14.25" customHeight="1" x14ac:dyDescent="0.3">
      <c r="A48" s="1"/>
      <c r="B48" s="137"/>
      <c r="C48" s="137"/>
      <c r="D48" s="2"/>
      <c r="E48" s="15"/>
      <c r="F48" s="194"/>
      <c r="G48" s="3"/>
      <c r="H48" s="1"/>
      <c r="I48" s="2"/>
      <c r="J48" s="1"/>
      <c r="K48" s="2"/>
      <c r="L48" s="1"/>
      <c r="M48" s="2"/>
      <c r="N48" s="16"/>
    </row>
    <row r="49" spans="1:14" ht="14.25" customHeight="1" x14ac:dyDescent="0.3">
      <c r="A49" s="1"/>
      <c r="B49" s="137"/>
      <c r="C49" s="137"/>
      <c r="D49" s="2"/>
      <c r="E49" s="15"/>
      <c r="F49" s="194"/>
      <c r="G49" s="3"/>
      <c r="H49" s="1"/>
      <c r="I49" s="2"/>
      <c r="J49" s="1"/>
      <c r="K49" s="2"/>
      <c r="L49" s="1"/>
      <c r="M49" s="2"/>
      <c r="N49" s="16"/>
    </row>
    <row r="50" spans="1:14" ht="14.25" customHeight="1" x14ac:dyDescent="0.3">
      <c r="A50" s="1"/>
      <c r="B50" s="137"/>
      <c r="C50" s="137"/>
      <c r="D50" s="2"/>
      <c r="E50" s="15"/>
      <c r="F50" s="194"/>
      <c r="G50" s="3"/>
      <c r="H50" s="1"/>
      <c r="I50" s="2"/>
      <c r="J50" s="1"/>
      <c r="K50" s="2"/>
      <c r="L50" s="1"/>
      <c r="M50" s="2"/>
      <c r="N50" s="16"/>
    </row>
    <row r="51" spans="1:14" ht="14.25" customHeight="1" x14ac:dyDescent="0.3">
      <c r="A51" s="1"/>
      <c r="B51" s="137"/>
      <c r="C51" s="137"/>
      <c r="D51" s="2"/>
      <c r="E51" s="15"/>
      <c r="F51" s="194"/>
      <c r="G51" s="3"/>
      <c r="H51" s="1"/>
      <c r="I51" s="2"/>
      <c r="J51" s="1"/>
      <c r="K51" s="2"/>
      <c r="L51" s="1"/>
      <c r="M51" s="2"/>
      <c r="N51" s="16"/>
    </row>
    <row r="52" spans="1:14" ht="14.25" customHeight="1" x14ac:dyDescent="0.3">
      <c r="A52" s="1"/>
      <c r="B52" s="137"/>
      <c r="C52" s="137"/>
      <c r="D52" s="2"/>
      <c r="E52" s="15"/>
      <c r="F52" s="194"/>
      <c r="G52" s="3"/>
      <c r="H52" s="1"/>
      <c r="I52" s="2"/>
      <c r="J52" s="1"/>
      <c r="K52" s="2"/>
      <c r="L52" s="1"/>
      <c r="M52" s="2"/>
      <c r="N52" s="16"/>
    </row>
    <row r="53" spans="1:14" ht="14.25" customHeight="1" x14ac:dyDescent="0.3">
      <c r="A53" s="1"/>
      <c r="B53" s="137"/>
      <c r="C53" s="137"/>
      <c r="D53" s="2"/>
      <c r="E53" s="15"/>
      <c r="F53" s="194"/>
      <c r="G53" s="3"/>
      <c r="H53" s="1"/>
      <c r="I53" s="2"/>
      <c r="J53" s="1"/>
      <c r="K53" s="2"/>
      <c r="L53" s="1"/>
      <c r="M53" s="2"/>
      <c r="N53" s="16"/>
    </row>
    <row r="54" spans="1:14" ht="14.25" customHeight="1" x14ac:dyDescent="0.3">
      <c r="A54" s="1"/>
      <c r="B54" s="137"/>
      <c r="C54" s="137"/>
      <c r="D54" s="2"/>
      <c r="E54" s="15"/>
      <c r="F54" s="194"/>
      <c r="G54" s="3"/>
      <c r="H54" s="1"/>
      <c r="I54" s="2"/>
      <c r="J54" s="1"/>
      <c r="K54" s="2"/>
      <c r="L54" s="1"/>
      <c r="M54" s="2"/>
      <c r="N54" s="16"/>
    </row>
    <row r="55" spans="1:14" ht="14.25" customHeight="1" x14ac:dyDescent="0.3">
      <c r="A55" s="1"/>
      <c r="B55" s="137"/>
      <c r="C55" s="137"/>
      <c r="D55" s="2"/>
      <c r="E55" s="15"/>
      <c r="F55" s="194"/>
      <c r="G55" s="3"/>
      <c r="H55" s="1"/>
      <c r="I55" s="2"/>
      <c r="J55" s="1"/>
      <c r="K55" s="2"/>
      <c r="L55" s="1"/>
      <c r="M55" s="2"/>
      <c r="N55" s="16"/>
    </row>
    <row r="56" spans="1:14" ht="14.25" customHeight="1" x14ac:dyDescent="0.3">
      <c r="A56" s="1"/>
      <c r="B56" s="137"/>
      <c r="C56" s="137"/>
      <c r="D56" s="2"/>
      <c r="E56" s="15"/>
      <c r="F56" s="194"/>
      <c r="G56" s="3"/>
      <c r="H56" s="1"/>
      <c r="I56" s="2"/>
      <c r="J56" s="1"/>
      <c r="K56" s="2"/>
      <c r="L56" s="1"/>
      <c r="M56" s="2"/>
      <c r="N56" s="16"/>
    </row>
    <row r="57" spans="1:14" ht="14.25" customHeight="1" x14ac:dyDescent="0.3">
      <c r="A57" s="1"/>
      <c r="B57" s="137"/>
      <c r="C57" s="137"/>
      <c r="D57" s="2"/>
      <c r="E57" s="15"/>
      <c r="F57" s="194"/>
      <c r="G57" s="3"/>
      <c r="H57" s="1"/>
      <c r="I57" s="2"/>
      <c r="J57" s="1"/>
      <c r="K57" s="2"/>
      <c r="L57" s="1"/>
      <c r="M57" s="2"/>
      <c r="N57" s="16"/>
    </row>
    <row r="58" spans="1:14" ht="14.25" customHeight="1" x14ac:dyDescent="0.3">
      <c r="A58" s="1"/>
      <c r="B58" s="137"/>
      <c r="C58" s="137"/>
      <c r="D58" s="2"/>
      <c r="E58" s="15"/>
      <c r="F58" s="194"/>
      <c r="G58" s="3"/>
      <c r="H58" s="1"/>
      <c r="I58" s="2"/>
      <c r="J58" s="1"/>
      <c r="K58" s="2"/>
      <c r="L58" s="1"/>
      <c r="M58" s="2"/>
      <c r="N58" s="16"/>
    </row>
    <row r="59" spans="1:14" ht="14.25" customHeight="1" x14ac:dyDescent="0.3">
      <c r="A59" s="1"/>
      <c r="B59" s="137"/>
      <c r="C59" s="137"/>
      <c r="D59" s="2"/>
      <c r="E59" s="15"/>
      <c r="F59" s="194"/>
      <c r="G59" s="3"/>
      <c r="H59" s="1"/>
      <c r="I59" s="2"/>
      <c r="J59" s="1"/>
      <c r="K59" s="2"/>
      <c r="L59" s="1"/>
      <c r="M59" s="2"/>
      <c r="N59" s="16"/>
    </row>
    <row r="60" spans="1:14" ht="14.25" customHeight="1" x14ac:dyDescent="0.3">
      <c r="A60" s="1"/>
      <c r="B60" s="137"/>
      <c r="C60" s="137"/>
      <c r="D60" s="2"/>
      <c r="E60" s="15"/>
      <c r="F60" s="194"/>
      <c r="G60" s="3"/>
      <c r="H60" s="1"/>
      <c r="I60" s="2"/>
      <c r="J60" s="1"/>
      <c r="K60" s="2"/>
      <c r="L60" s="1"/>
      <c r="M60" s="2"/>
      <c r="N60" s="16"/>
    </row>
    <row r="61" spans="1:14" ht="14.25" customHeight="1" x14ac:dyDescent="0.3">
      <c r="A61" s="1"/>
      <c r="B61" s="137"/>
      <c r="C61" s="137"/>
      <c r="D61" s="2"/>
      <c r="E61" s="15"/>
      <c r="F61" s="194"/>
      <c r="G61" s="3"/>
      <c r="H61" s="1"/>
      <c r="I61" s="2"/>
      <c r="J61" s="1"/>
      <c r="K61" s="2"/>
      <c r="L61" s="1"/>
      <c r="M61" s="2"/>
      <c r="N61" s="16"/>
    </row>
    <row r="62" spans="1:14" ht="14.25" customHeight="1" x14ac:dyDescent="0.3">
      <c r="A62" s="1"/>
      <c r="B62" s="137"/>
      <c r="C62" s="137"/>
      <c r="D62" s="2"/>
      <c r="E62" s="15"/>
      <c r="F62" s="194"/>
      <c r="G62" s="3"/>
      <c r="H62" s="1"/>
      <c r="I62" s="2"/>
      <c r="J62" s="1"/>
      <c r="K62" s="2"/>
      <c r="L62" s="1"/>
      <c r="M62" s="2"/>
      <c r="N62" s="16"/>
    </row>
    <row r="63" spans="1:14" ht="14.25" customHeight="1" x14ac:dyDescent="0.3">
      <c r="A63" s="1"/>
      <c r="B63" s="137"/>
      <c r="C63" s="137"/>
      <c r="D63" s="2"/>
      <c r="E63" s="15"/>
      <c r="F63" s="194"/>
      <c r="G63" s="3"/>
      <c r="H63" s="1"/>
      <c r="I63" s="2"/>
      <c r="J63" s="1"/>
      <c r="K63" s="2"/>
      <c r="L63" s="1"/>
      <c r="M63" s="2"/>
      <c r="N63" s="16"/>
    </row>
    <row r="64" spans="1:14" ht="14.25" customHeight="1" x14ac:dyDescent="0.3">
      <c r="A64" s="1"/>
      <c r="B64" s="137"/>
      <c r="C64" s="137"/>
      <c r="D64" s="2"/>
      <c r="E64" s="15"/>
      <c r="F64" s="194"/>
      <c r="G64" s="3"/>
      <c r="H64" s="1"/>
      <c r="I64" s="2"/>
      <c r="J64" s="1"/>
      <c r="K64" s="2"/>
      <c r="L64" s="1"/>
      <c r="M64" s="2"/>
      <c r="N64" s="16"/>
    </row>
    <row r="65" spans="1:14" ht="14.25" customHeight="1" x14ac:dyDescent="0.3">
      <c r="A65" s="1"/>
      <c r="B65" s="137"/>
      <c r="C65" s="137"/>
      <c r="D65" s="2"/>
      <c r="E65" s="15"/>
      <c r="F65" s="194"/>
      <c r="G65" s="3"/>
      <c r="H65" s="1"/>
      <c r="I65" s="2"/>
      <c r="J65" s="1"/>
      <c r="K65" s="2"/>
      <c r="L65" s="1"/>
      <c r="M65" s="2"/>
      <c r="N65" s="16"/>
    </row>
    <row r="66" spans="1:14" ht="14.25" customHeight="1" x14ac:dyDescent="0.3">
      <c r="A66" s="1"/>
      <c r="B66" s="137"/>
      <c r="C66" s="137"/>
      <c r="D66" s="2"/>
      <c r="E66" s="15"/>
      <c r="F66" s="194"/>
      <c r="G66" s="3"/>
      <c r="H66" s="1"/>
      <c r="I66" s="2"/>
      <c r="J66" s="1"/>
      <c r="K66" s="2"/>
      <c r="L66" s="1"/>
      <c r="M66" s="2"/>
      <c r="N66" s="16"/>
    </row>
    <row r="67" spans="1:14" ht="14.25" customHeight="1" x14ac:dyDescent="0.3">
      <c r="A67" s="1"/>
      <c r="B67" s="137"/>
      <c r="C67" s="137"/>
      <c r="D67" s="2"/>
      <c r="E67" s="15"/>
      <c r="F67" s="194"/>
      <c r="G67" s="3"/>
      <c r="H67" s="1"/>
      <c r="I67" s="2"/>
      <c r="J67" s="1"/>
      <c r="K67" s="2"/>
      <c r="L67" s="1"/>
      <c r="M67" s="2"/>
      <c r="N67" s="16"/>
    </row>
    <row r="68" spans="1:14" ht="14.25" customHeight="1" x14ac:dyDescent="0.3">
      <c r="A68" s="1"/>
      <c r="B68" s="137"/>
      <c r="C68" s="137"/>
      <c r="D68" s="2"/>
      <c r="E68" s="15"/>
      <c r="F68" s="194"/>
      <c r="G68" s="3"/>
      <c r="H68" s="1"/>
      <c r="I68" s="2"/>
      <c r="J68" s="1"/>
      <c r="K68" s="2"/>
      <c r="L68" s="1"/>
      <c r="M68" s="2"/>
      <c r="N68" s="16"/>
    </row>
    <row r="69" spans="1:14" ht="14.25" customHeight="1" x14ac:dyDescent="0.3">
      <c r="A69" s="1"/>
      <c r="B69" s="137"/>
      <c r="C69" s="137"/>
      <c r="D69" s="2"/>
      <c r="E69" s="15"/>
      <c r="F69" s="194"/>
      <c r="G69" s="3"/>
      <c r="H69" s="1"/>
      <c r="I69" s="2"/>
      <c r="J69" s="1"/>
      <c r="K69" s="2"/>
      <c r="L69" s="1"/>
      <c r="M69" s="2"/>
      <c r="N69" s="16"/>
    </row>
    <row r="70" spans="1:14" ht="14.25" customHeight="1" x14ac:dyDescent="0.3">
      <c r="A70" s="1"/>
      <c r="B70" s="137"/>
      <c r="C70" s="137"/>
      <c r="D70" s="2"/>
      <c r="E70" s="15"/>
      <c r="F70" s="194"/>
      <c r="G70" s="3"/>
      <c r="H70" s="1"/>
      <c r="I70" s="2"/>
      <c r="J70" s="1"/>
      <c r="K70" s="2"/>
      <c r="L70" s="1"/>
      <c r="M70" s="2"/>
      <c r="N70" s="16"/>
    </row>
    <row r="71" spans="1:14" ht="14.25" customHeight="1" x14ac:dyDescent="0.3">
      <c r="A71" s="1"/>
      <c r="B71" s="137"/>
      <c r="C71" s="137"/>
      <c r="D71" s="2"/>
      <c r="E71" s="15"/>
      <c r="F71" s="194"/>
      <c r="G71" s="3"/>
      <c r="H71" s="1"/>
      <c r="I71" s="2"/>
      <c r="J71" s="1"/>
      <c r="K71" s="2"/>
      <c r="L71" s="1"/>
      <c r="M71" s="2"/>
      <c r="N71" s="16"/>
    </row>
    <row r="72" spans="1:14" ht="14.25" customHeight="1" x14ac:dyDescent="0.3">
      <c r="A72" s="1"/>
      <c r="B72" s="137"/>
      <c r="C72" s="137"/>
      <c r="D72" s="2"/>
      <c r="E72" s="15"/>
      <c r="F72" s="194"/>
      <c r="G72" s="3"/>
      <c r="H72" s="1"/>
      <c r="I72" s="2"/>
      <c r="J72" s="1"/>
      <c r="K72" s="2"/>
      <c r="L72" s="1"/>
      <c r="M72" s="2"/>
      <c r="N72" s="16"/>
    </row>
    <row r="73" spans="1:14" ht="14.25" customHeight="1" x14ac:dyDescent="0.3">
      <c r="A73" s="1"/>
      <c r="B73" s="137"/>
      <c r="C73" s="137"/>
      <c r="D73" s="2"/>
      <c r="E73" s="15"/>
      <c r="F73" s="194"/>
      <c r="G73" s="3"/>
      <c r="H73" s="1"/>
      <c r="I73" s="2"/>
      <c r="J73" s="1"/>
      <c r="K73" s="2"/>
      <c r="L73" s="1"/>
      <c r="M73" s="2"/>
      <c r="N73" s="16"/>
    </row>
    <row r="74" spans="1:14" ht="14.25" customHeight="1" x14ac:dyDescent="0.3">
      <c r="A74" s="1"/>
      <c r="B74" s="137"/>
      <c r="C74" s="137"/>
      <c r="D74" s="2"/>
      <c r="E74" s="15"/>
      <c r="F74" s="194"/>
      <c r="G74" s="3"/>
      <c r="H74" s="1"/>
      <c r="I74" s="2"/>
      <c r="J74" s="1"/>
      <c r="K74" s="2"/>
      <c r="L74" s="1"/>
      <c r="M74" s="2"/>
      <c r="N74" s="16"/>
    </row>
    <row r="75" spans="1:14" ht="14.25" customHeight="1" x14ac:dyDescent="0.3">
      <c r="A75" s="1"/>
      <c r="B75" s="137"/>
      <c r="C75" s="137"/>
      <c r="D75" s="2"/>
      <c r="E75" s="15"/>
      <c r="F75" s="194"/>
      <c r="G75" s="3"/>
      <c r="H75" s="1"/>
      <c r="I75" s="2"/>
      <c r="J75" s="1"/>
      <c r="K75" s="2"/>
      <c r="L75" s="1"/>
      <c r="M75" s="2"/>
      <c r="N75" s="16"/>
    </row>
    <row r="76" spans="1:14" ht="14.25" customHeight="1" x14ac:dyDescent="0.3">
      <c r="A76" s="1"/>
      <c r="B76" s="137"/>
      <c r="C76" s="137"/>
      <c r="D76" s="2"/>
      <c r="E76" s="15"/>
      <c r="F76" s="194"/>
      <c r="G76" s="3"/>
      <c r="H76" s="1"/>
      <c r="I76" s="2"/>
      <c r="J76" s="1"/>
      <c r="K76" s="2"/>
      <c r="L76" s="1"/>
      <c r="M76" s="2"/>
      <c r="N76" s="16"/>
    </row>
    <row r="77" spans="1:14" ht="14.25" customHeight="1" x14ac:dyDescent="0.3">
      <c r="A77" s="1"/>
      <c r="B77" s="137"/>
      <c r="C77" s="137"/>
      <c r="D77" s="2"/>
      <c r="E77" s="15"/>
      <c r="F77" s="194"/>
      <c r="G77" s="3"/>
      <c r="H77" s="1"/>
      <c r="I77" s="2"/>
      <c r="J77" s="1"/>
      <c r="K77" s="2"/>
      <c r="L77" s="1"/>
      <c r="M77" s="2"/>
      <c r="N77" s="16"/>
    </row>
    <row r="78" spans="1:14" ht="14.25" customHeight="1" x14ac:dyDescent="0.3">
      <c r="A78" s="1"/>
      <c r="B78" s="137"/>
      <c r="C78" s="137"/>
      <c r="D78" s="2"/>
      <c r="E78" s="15"/>
      <c r="F78" s="194"/>
      <c r="G78" s="3"/>
      <c r="H78" s="1"/>
      <c r="I78" s="2"/>
      <c r="J78" s="1"/>
      <c r="K78" s="2"/>
      <c r="L78" s="1"/>
      <c r="M78" s="2"/>
      <c r="N78" s="16"/>
    </row>
    <row r="79" spans="1:14" ht="14.25" customHeight="1" x14ac:dyDescent="0.3">
      <c r="A79" s="1"/>
      <c r="B79" s="137"/>
      <c r="C79" s="137"/>
      <c r="D79" s="2"/>
      <c r="E79" s="15"/>
      <c r="F79" s="194"/>
      <c r="G79" s="3"/>
      <c r="H79" s="1"/>
      <c r="I79" s="2"/>
      <c r="J79" s="1"/>
      <c r="K79" s="2"/>
      <c r="L79" s="1"/>
      <c r="M79" s="2"/>
      <c r="N79" s="16"/>
    </row>
    <row r="80" spans="1:14" ht="14.25" customHeight="1" x14ac:dyDescent="0.3">
      <c r="A80" s="1"/>
      <c r="B80" s="137"/>
      <c r="C80" s="137"/>
      <c r="D80" s="2"/>
      <c r="E80" s="15"/>
      <c r="F80" s="194"/>
      <c r="G80" s="3"/>
      <c r="H80" s="1"/>
      <c r="I80" s="2"/>
      <c r="J80" s="1"/>
      <c r="K80" s="2"/>
      <c r="L80" s="1"/>
      <c r="M80" s="2"/>
      <c r="N80" s="16"/>
    </row>
    <row r="81" spans="1:14" ht="14.25" customHeight="1" x14ac:dyDescent="0.3">
      <c r="A81" s="1"/>
      <c r="B81" s="137"/>
      <c r="C81" s="137"/>
      <c r="D81" s="2"/>
      <c r="E81" s="15"/>
      <c r="F81" s="194"/>
      <c r="G81" s="3"/>
      <c r="H81" s="1"/>
      <c r="I81" s="2"/>
      <c r="J81" s="1"/>
      <c r="K81" s="2"/>
      <c r="L81" s="1"/>
      <c r="M81" s="2"/>
      <c r="N81" s="16"/>
    </row>
    <row r="82" spans="1:14" ht="14.25" customHeight="1" x14ac:dyDescent="0.3">
      <c r="A82" s="1"/>
      <c r="B82" s="137"/>
      <c r="C82" s="137"/>
      <c r="D82" s="2"/>
      <c r="E82" s="15"/>
      <c r="F82" s="194"/>
      <c r="G82" s="3"/>
      <c r="H82" s="1"/>
      <c r="I82" s="2"/>
      <c r="J82" s="1"/>
      <c r="K82" s="2"/>
      <c r="L82" s="1"/>
      <c r="M82" s="2"/>
      <c r="N82" s="16"/>
    </row>
    <row r="83" spans="1:14" ht="14.25" customHeight="1" x14ac:dyDescent="0.3">
      <c r="A83" s="1"/>
      <c r="B83" s="137"/>
      <c r="C83" s="137"/>
      <c r="D83" s="2"/>
      <c r="E83" s="15"/>
      <c r="F83" s="194"/>
      <c r="G83" s="3"/>
      <c r="H83" s="1"/>
      <c r="I83" s="2"/>
      <c r="J83" s="1"/>
      <c r="K83" s="2"/>
      <c r="L83" s="1"/>
      <c r="M83" s="2"/>
      <c r="N83" s="16"/>
    </row>
    <row r="84" spans="1:14" ht="14.25" customHeight="1" x14ac:dyDescent="0.3">
      <c r="A84" s="1"/>
      <c r="B84" s="137"/>
      <c r="C84" s="137"/>
      <c r="D84" s="2"/>
      <c r="E84" s="15"/>
      <c r="F84" s="194"/>
      <c r="G84" s="3"/>
      <c r="H84" s="1"/>
      <c r="I84" s="2"/>
      <c r="J84" s="1"/>
      <c r="K84" s="2"/>
      <c r="L84" s="1"/>
      <c r="M84" s="2"/>
      <c r="N84" s="16"/>
    </row>
    <row r="85" spans="1:14" ht="14.25" customHeight="1" x14ac:dyDescent="0.3">
      <c r="A85" s="1"/>
      <c r="B85" s="137"/>
      <c r="C85" s="137"/>
      <c r="D85" s="2"/>
      <c r="E85" s="15"/>
      <c r="F85" s="194"/>
      <c r="G85" s="3"/>
      <c r="H85" s="1"/>
      <c r="I85" s="2"/>
      <c r="J85" s="1"/>
      <c r="K85" s="2"/>
      <c r="L85" s="1"/>
      <c r="M85" s="2"/>
      <c r="N85" s="16"/>
    </row>
    <row r="86" spans="1:14" ht="14.25" customHeight="1" x14ac:dyDescent="0.3">
      <c r="A86" s="1"/>
      <c r="B86" s="137"/>
      <c r="C86" s="137"/>
      <c r="D86" s="2"/>
      <c r="E86" s="15"/>
      <c r="F86" s="194"/>
      <c r="G86" s="3"/>
      <c r="H86" s="1"/>
      <c r="I86" s="2"/>
      <c r="J86" s="1"/>
      <c r="K86" s="2"/>
      <c r="L86" s="1"/>
      <c r="M86" s="2"/>
      <c r="N86" s="16"/>
    </row>
    <row r="87" spans="1:14" ht="14.25" customHeight="1" x14ac:dyDescent="0.3">
      <c r="A87" s="1"/>
      <c r="B87" s="137"/>
      <c r="C87" s="137"/>
      <c r="D87" s="2"/>
      <c r="E87" s="15"/>
      <c r="F87" s="194"/>
      <c r="G87" s="3"/>
      <c r="H87" s="1"/>
      <c r="I87" s="2"/>
      <c r="J87" s="1"/>
      <c r="K87" s="2"/>
      <c r="L87" s="1"/>
      <c r="M87" s="2"/>
      <c r="N87" s="16"/>
    </row>
    <row r="88" spans="1:14" ht="14.25" customHeight="1" x14ac:dyDescent="0.3">
      <c r="A88" s="1"/>
      <c r="B88" s="137"/>
      <c r="C88" s="137"/>
      <c r="D88" s="2"/>
      <c r="E88" s="15"/>
      <c r="F88" s="194"/>
      <c r="G88" s="3"/>
      <c r="H88" s="1"/>
      <c r="I88" s="2"/>
      <c r="J88" s="1"/>
      <c r="K88" s="2"/>
      <c r="L88" s="1"/>
      <c r="M88" s="2"/>
      <c r="N88" s="16"/>
    </row>
    <row r="89" spans="1:14" ht="14.25" customHeight="1" x14ac:dyDescent="0.3">
      <c r="A89" s="1"/>
      <c r="B89" s="137"/>
      <c r="C89" s="137"/>
      <c r="D89" s="2"/>
      <c r="E89" s="15"/>
      <c r="F89" s="194"/>
      <c r="G89" s="3"/>
      <c r="H89" s="1"/>
      <c r="I89" s="2"/>
      <c r="J89" s="1"/>
      <c r="K89" s="2"/>
      <c r="L89" s="1"/>
      <c r="M89" s="2"/>
      <c r="N89" s="16"/>
    </row>
    <row r="90" spans="1:14" ht="14.25" customHeight="1" x14ac:dyDescent="0.3">
      <c r="A90" s="1"/>
      <c r="B90" s="137"/>
      <c r="C90" s="137"/>
      <c r="D90" s="2"/>
      <c r="E90" s="15"/>
      <c r="F90" s="194"/>
      <c r="G90" s="3"/>
      <c r="H90" s="1"/>
      <c r="I90" s="2"/>
      <c r="J90" s="1"/>
      <c r="K90" s="2"/>
      <c r="L90" s="1"/>
      <c r="M90" s="2"/>
      <c r="N90" s="16"/>
    </row>
    <row r="91" spans="1:14" ht="14.25" customHeight="1" x14ac:dyDescent="0.3">
      <c r="A91" s="1"/>
      <c r="B91" s="137"/>
      <c r="C91" s="137"/>
      <c r="D91" s="2"/>
      <c r="E91" s="15"/>
      <c r="F91" s="194"/>
      <c r="G91" s="3"/>
      <c r="H91" s="1"/>
      <c r="I91" s="2"/>
      <c r="J91" s="1"/>
      <c r="K91" s="2"/>
      <c r="L91" s="1"/>
      <c r="M91" s="2"/>
      <c r="N91" s="16"/>
    </row>
    <row r="92" spans="1:14" ht="14.25" customHeight="1" x14ac:dyDescent="0.3">
      <c r="A92" s="1"/>
      <c r="B92" s="137"/>
      <c r="C92" s="137"/>
      <c r="D92" s="2"/>
      <c r="E92" s="15"/>
      <c r="F92" s="194"/>
      <c r="G92" s="3"/>
      <c r="H92" s="1"/>
      <c r="I92" s="2"/>
      <c r="J92" s="1"/>
      <c r="K92" s="2"/>
      <c r="L92" s="1"/>
      <c r="M92" s="2"/>
      <c r="N92" s="16"/>
    </row>
    <row r="93" spans="1:14" ht="14.25" customHeight="1" x14ac:dyDescent="0.3">
      <c r="A93" s="1"/>
      <c r="B93" s="137"/>
      <c r="C93" s="137"/>
      <c r="D93" s="2"/>
      <c r="E93" s="15"/>
      <c r="F93" s="194"/>
      <c r="G93" s="3"/>
      <c r="H93" s="1"/>
      <c r="I93" s="2"/>
      <c r="J93" s="1"/>
      <c r="K93" s="2"/>
      <c r="L93" s="1"/>
      <c r="M93" s="2"/>
      <c r="N93" s="16"/>
    </row>
    <row r="94" spans="1:14" ht="14.25" customHeight="1" x14ac:dyDescent="0.3">
      <c r="A94" s="1"/>
      <c r="B94" s="137"/>
      <c r="C94" s="137"/>
      <c r="D94" s="2"/>
      <c r="E94" s="15"/>
      <c r="F94" s="194"/>
      <c r="G94" s="3"/>
      <c r="H94" s="1"/>
      <c r="I94" s="2"/>
      <c r="J94" s="1"/>
      <c r="K94" s="2"/>
      <c r="L94" s="1"/>
      <c r="M94" s="2"/>
      <c r="N94" s="16"/>
    </row>
    <row r="95" spans="1:14" ht="14.25" customHeight="1" x14ac:dyDescent="0.3">
      <c r="A95" s="1"/>
      <c r="B95" s="137"/>
      <c r="C95" s="137"/>
      <c r="D95" s="2"/>
      <c r="E95" s="15"/>
      <c r="F95" s="194"/>
      <c r="G95" s="3"/>
      <c r="H95" s="1"/>
      <c r="I95" s="2"/>
      <c r="J95" s="1"/>
      <c r="K95" s="2"/>
      <c r="L95" s="1"/>
      <c r="M95" s="2"/>
      <c r="N95" s="16"/>
    </row>
    <row r="96" spans="1:14" ht="14.25" customHeight="1" x14ac:dyDescent="0.3">
      <c r="A96" s="1"/>
      <c r="B96" s="137"/>
      <c r="C96" s="137"/>
      <c r="D96" s="2"/>
      <c r="E96" s="15"/>
      <c r="F96" s="194"/>
      <c r="G96" s="3"/>
      <c r="H96" s="1"/>
      <c r="I96" s="2"/>
      <c r="J96" s="1"/>
      <c r="K96" s="2"/>
      <c r="L96" s="1"/>
      <c r="M96" s="2"/>
      <c r="N96" s="16"/>
    </row>
    <row r="97" spans="1:14" ht="14.25" customHeight="1" x14ac:dyDescent="0.3">
      <c r="A97" s="1"/>
      <c r="B97" s="137"/>
      <c r="C97" s="137"/>
      <c r="D97" s="2"/>
      <c r="E97" s="15"/>
      <c r="F97" s="194"/>
      <c r="G97" s="3"/>
      <c r="H97" s="1"/>
      <c r="I97" s="2"/>
      <c r="J97" s="1"/>
      <c r="K97" s="2"/>
      <c r="L97" s="1"/>
      <c r="M97" s="2"/>
      <c r="N97" s="16"/>
    </row>
    <row r="98" spans="1:14" ht="14.25" customHeight="1" x14ac:dyDescent="0.3">
      <c r="A98" s="1"/>
      <c r="B98" s="137"/>
      <c r="C98" s="137"/>
      <c r="D98" s="2"/>
      <c r="E98" s="15"/>
      <c r="F98" s="194"/>
      <c r="G98" s="3"/>
      <c r="H98" s="1"/>
      <c r="I98" s="2"/>
      <c r="J98" s="1"/>
      <c r="K98" s="2"/>
      <c r="L98" s="1"/>
      <c r="M98" s="2"/>
      <c r="N98" s="16"/>
    </row>
    <row r="99" spans="1:14" ht="14.25" customHeight="1" x14ac:dyDescent="0.3">
      <c r="A99" s="1"/>
      <c r="B99" s="137"/>
      <c r="C99" s="137"/>
      <c r="D99" s="2"/>
      <c r="E99" s="15"/>
      <c r="F99" s="194"/>
      <c r="G99" s="3"/>
      <c r="H99" s="1"/>
      <c r="I99" s="2"/>
      <c r="J99" s="1"/>
      <c r="K99" s="2"/>
      <c r="L99" s="1"/>
      <c r="M99" s="2"/>
      <c r="N99" s="16"/>
    </row>
    <row r="100" spans="1:14" ht="14.25" customHeight="1" x14ac:dyDescent="0.3">
      <c r="A100" s="1"/>
      <c r="B100" s="137"/>
      <c r="C100" s="137"/>
      <c r="D100" s="2"/>
      <c r="E100" s="15"/>
      <c r="F100" s="194"/>
      <c r="G100" s="3"/>
      <c r="H100" s="1"/>
      <c r="I100" s="2"/>
      <c r="J100" s="1"/>
      <c r="K100" s="2"/>
      <c r="L100" s="1"/>
      <c r="M100" s="2"/>
      <c r="N100" s="16"/>
    </row>
    <row r="101" spans="1:14" ht="14.25" customHeight="1" x14ac:dyDescent="0.3">
      <c r="A101" s="1"/>
      <c r="B101" s="137"/>
      <c r="C101" s="137"/>
      <c r="D101" s="2"/>
      <c r="E101" s="15"/>
      <c r="F101" s="194"/>
      <c r="G101" s="3"/>
      <c r="H101" s="1"/>
      <c r="I101" s="2"/>
      <c r="J101" s="1"/>
      <c r="K101" s="2"/>
      <c r="L101" s="1"/>
      <c r="M101" s="2"/>
      <c r="N101" s="16"/>
    </row>
    <row r="102" spans="1:14" ht="14.25" customHeight="1" x14ac:dyDescent="0.3">
      <c r="A102" s="1"/>
      <c r="B102" s="137"/>
      <c r="C102" s="137"/>
      <c r="D102" s="2"/>
      <c r="E102" s="15"/>
      <c r="F102" s="194"/>
      <c r="G102" s="3"/>
      <c r="H102" s="1"/>
      <c r="I102" s="2"/>
      <c r="J102" s="1"/>
      <c r="K102" s="2"/>
      <c r="L102" s="1"/>
      <c r="M102" s="2"/>
      <c r="N102" s="16"/>
    </row>
    <row r="103" spans="1:14" ht="14.25" customHeight="1" x14ac:dyDescent="0.3">
      <c r="A103" s="1"/>
      <c r="B103" s="137"/>
      <c r="C103" s="137"/>
      <c r="D103" s="2"/>
      <c r="E103" s="15"/>
      <c r="F103" s="194"/>
      <c r="G103" s="3"/>
      <c r="H103" s="1"/>
      <c r="I103" s="2"/>
      <c r="J103" s="1"/>
      <c r="K103" s="2"/>
      <c r="L103" s="1"/>
      <c r="M103" s="2"/>
      <c r="N103" s="16"/>
    </row>
    <row r="104" spans="1:14" ht="14.25" customHeight="1" x14ac:dyDescent="0.3">
      <c r="A104" s="1"/>
      <c r="B104" s="137"/>
      <c r="C104" s="137"/>
      <c r="D104" s="2"/>
      <c r="E104" s="15"/>
      <c r="F104" s="194"/>
      <c r="G104" s="3"/>
      <c r="H104" s="1"/>
      <c r="I104" s="2"/>
      <c r="J104" s="1"/>
      <c r="K104" s="2"/>
      <c r="L104" s="1"/>
      <c r="M104" s="2"/>
      <c r="N104" s="16"/>
    </row>
    <row r="105" spans="1:14" ht="14.25" customHeight="1" x14ac:dyDescent="0.3">
      <c r="A105" s="1"/>
      <c r="B105" s="137"/>
      <c r="C105" s="137"/>
      <c r="D105" s="2"/>
      <c r="E105" s="15"/>
      <c r="F105" s="194"/>
      <c r="G105" s="3"/>
      <c r="H105" s="1"/>
      <c r="I105" s="2"/>
      <c r="J105" s="1"/>
      <c r="K105" s="2"/>
      <c r="L105" s="1"/>
      <c r="M105" s="2"/>
      <c r="N105" s="16"/>
    </row>
    <row r="106" spans="1:14" ht="14.25" customHeight="1" x14ac:dyDescent="0.3">
      <c r="A106" s="1"/>
      <c r="B106" s="137"/>
      <c r="C106" s="137"/>
      <c r="D106" s="2"/>
      <c r="E106" s="15"/>
      <c r="F106" s="194"/>
      <c r="G106" s="3"/>
      <c r="H106" s="1"/>
      <c r="I106" s="2"/>
      <c r="J106" s="1"/>
      <c r="K106" s="2"/>
      <c r="L106" s="1"/>
      <c r="M106" s="2"/>
      <c r="N106" s="16"/>
    </row>
    <row r="107" spans="1:14" ht="14.25" customHeight="1" x14ac:dyDescent="0.3">
      <c r="A107" s="1"/>
      <c r="B107" s="137"/>
      <c r="C107" s="137"/>
      <c r="D107" s="2"/>
      <c r="E107" s="15"/>
      <c r="F107" s="194"/>
      <c r="G107" s="3"/>
      <c r="H107" s="1"/>
      <c r="I107" s="2"/>
      <c r="J107" s="1"/>
      <c r="K107" s="2"/>
      <c r="L107" s="1"/>
      <c r="M107" s="2"/>
      <c r="N107" s="16"/>
    </row>
    <row r="108" spans="1:14" ht="14.25" customHeight="1" x14ac:dyDescent="0.3">
      <c r="A108" s="1"/>
      <c r="B108" s="137"/>
      <c r="C108" s="137"/>
      <c r="D108" s="2"/>
      <c r="E108" s="15"/>
      <c r="F108" s="194"/>
      <c r="G108" s="3"/>
      <c r="H108" s="1"/>
      <c r="I108" s="2"/>
      <c r="J108" s="1"/>
      <c r="K108" s="2"/>
      <c r="L108" s="1"/>
      <c r="M108" s="2"/>
      <c r="N108" s="16"/>
    </row>
    <row r="109" spans="1:14" ht="14.25" customHeight="1" x14ac:dyDescent="0.3">
      <c r="A109" s="1"/>
      <c r="B109" s="137"/>
      <c r="C109" s="137"/>
      <c r="D109" s="2"/>
      <c r="E109" s="15"/>
      <c r="F109" s="194"/>
      <c r="G109" s="3"/>
      <c r="H109" s="1"/>
      <c r="I109" s="2"/>
      <c r="J109" s="1"/>
      <c r="K109" s="2"/>
      <c r="L109" s="1"/>
      <c r="M109" s="2"/>
      <c r="N109" s="16"/>
    </row>
    <row r="110" spans="1:14" ht="14.25" customHeight="1" x14ac:dyDescent="0.3">
      <c r="A110" s="1"/>
      <c r="B110" s="137"/>
      <c r="C110" s="137"/>
      <c r="D110" s="2"/>
      <c r="E110" s="15"/>
      <c r="F110" s="194"/>
      <c r="G110" s="3"/>
      <c r="H110" s="1"/>
      <c r="I110" s="2"/>
      <c r="J110" s="1"/>
      <c r="K110" s="2"/>
      <c r="L110" s="1"/>
      <c r="M110" s="2"/>
      <c r="N110" s="16"/>
    </row>
    <row r="111" spans="1:14" ht="14.25" customHeight="1" x14ac:dyDescent="0.3">
      <c r="A111" s="1"/>
      <c r="B111" s="137"/>
      <c r="C111" s="137"/>
      <c r="D111" s="2"/>
      <c r="E111" s="15"/>
      <c r="F111" s="194"/>
      <c r="G111" s="3"/>
      <c r="H111" s="1"/>
      <c r="I111" s="2"/>
      <c r="J111" s="1"/>
      <c r="K111" s="2"/>
      <c r="L111" s="1"/>
      <c r="M111" s="2"/>
      <c r="N111" s="16"/>
    </row>
    <row r="112" spans="1:14" ht="14.25" customHeight="1" x14ac:dyDescent="0.3">
      <c r="A112" s="1"/>
      <c r="B112" s="137"/>
      <c r="C112" s="137"/>
      <c r="D112" s="2"/>
      <c r="E112" s="15"/>
      <c r="F112" s="194"/>
      <c r="G112" s="3"/>
      <c r="H112" s="1"/>
      <c r="I112" s="2"/>
      <c r="J112" s="1"/>
      <c r="K112" s="2"/>
      <c r="L112" s="1"/>
      <c r="M112" s="2"/>
      <c r="N112" s="16"/>
    </row>
    <row r="113" spans="1:14" ht="14.25" customHeight="1" x14ac:dyDescent="0.3">
      <c r="A113" s="1"/>
      <c r="B113" s="137"/>
      <c r="C113" s="137"/>
      <c r="D113" s="2"/>
      <c r="E113" s="15"/>
      <c r="F113" s="194"/>
      <c r="G113" s="3"/>
      <c r="H113" s="1"/>
      <c r="I113" s="2"/>
      <c r="J113" s="1"/>
      <c r="K113" s="2"/>
      <c r="L113" s="1"/>
      <c r="M113" s="2"/>
      <c r="N113" s="16"/>
    </row>
    <row r="114" spans="1:14" ht="14.25" customHeight="1" x14ac:dyDescent="0.3">
      <c r="A114" s="1"/>
      <c r="B114" s="137"/>
      <c r="C114" s="137"/>
      <c r="D114" s="2"/>
      <c r="E114" s="15"/>
      <c r="F114" s="194"/>
      <c r="G114" s="3"/>
      <c r="H114" s="1"/>
      <c r="I114" s="2"/>
      <c r="J114" s="1"/>
      <c r="K114" s="2"/>
      <c r="L114" s="1"/>
      <c r="M114" s="2"/>
      <c r="N114" s="16"/>
    </row>
    <row r="115" spans="1:14" ht="14.25" customHeight="1" x14ac:dyDescent="0.3">
      <c r="A115" s="1"/>
      <c r="B115" s="137"/>
      <c r="C115" s="137"/>
      <c r="D115" s="2"/>
      <c r="E115" s="15"/>
      <c r="F115" s="194"/>
      <c r="G115" s="3"/>
      <c r="H115" s="1"/>
      <c r="I115" s="2"/>
      <c r="J115" s="1"/>
      <c r="K115" s="2"/>
      <c r="L115" s="1"/>
      <c r="M115" s="2"/>
      <c r="N115" s="16"/>
    </row>
    <row r="116" spans="1:14" ht="14.25" customHeight="1" x14ac:dyDescent="0.3">
      <c r="A116" s="1"/>
      <c r="B116" s="137"/>
      <c r="C116" s="137"/>
      <c r="D116" s="2"/>
      <c r="E116" s="15"/>
      <c r="F116" s="194"/>
      <c r="G116" s="3"/>
      <c r="H116" s="1"/>
      <c r="I116" s="2"/>
      <c r="J116" s="1"/>
      <c r="K116" s="2"/>
      <c r="L116" s="1"/>
      <c r="M116" s="2"/>
      <c r="N116" s="16"/>
    </row>
    <row r="117" spans="1:14" ht="14.25" customHeight="1" x14ac:dyDescent="0.3">
      <c r="A117" s="1"/>
      <c r="B117" s="137"/>
      <c r="C117" s="137"/>
      <c r="D117" s="2"/>
      <c r="E117" s="15"/>
      <c r="F117" s="194"/>
      <c r="G117" s="3"/>
      <c r="H117" s="1"/>
      <c r="I117" s="2"/>
      <c r="J117" s="1"/>
      <c r="K117" s="2"/>
      <c r="L117" s="1"/>
      <c r="M117" s="2"/>
      <c r="N117" s="16"/>
    </row>
    <row r="118" spans="1:14" ht="14.25" customHeight="1" x14ac:dyDescent="0.3">
      <c r="A118" s="1"/>
      <c r="B118" s="137"/>
      <c r="C118" s="137"/>
      <c r="D118" s="2"/>
      <c r="E118" s="15"/>
      <c r="F118" s="194"/>
      <c r="G118" s="3"/>
      <c r="H118" s="1"/>
      <c r="I118" s="2"/>
      <c r="J118" s="1"/>
      <c r="K118" s="2"/>
      <c r="L118" s="1"/>
      <c r="M118" s="2"/>
      <c r="N118" s="16"/>
    </row>
    <row r="119" spans="1:14" ht="14.25" customHeight="1" x14ac:dyDescent="0.3">
      <c r="A119" s="1"/>
      <c r="B119" s="137"/>
      <c r="C119" s="137"/>
      <c r="D119" s="2"/>
      <c r="E119" s="15"/>
      <c r="F119" s="194"/>
      <c r="G119" s="3"/>
      <c r="H119" s="1"/>
      <c r="I119" s="2"/>
      <c r="J119" s="1"/>
      <c r="K119" s="2"/>
      <c r="L119" s="1"/>
      <c r="M119" s="2"/>
      <c r="N119" s="16"/>
    </row>
    <row r="120" spans="1:14" ht="14.25" customHeight="1" x14ac:dyDescent="0.3">
      <c r="A120" s="1"/>
      <c r="B120" s="137"/>
      <c r="C120" s="137"/>
      <c r="D120" s="2"/>
      <c r="E120" s="15"/>
      <c r="F120" s="194"/>
      <c r="G120" s="3"/>
      <c r="H120" s="1"/>
      <c r="I120" s="2"/>
      <c r="J120" s="1"/>
      <c r="K120" s="2"/>
      <c r="L120" s="1"/>
      <c r="M120" s="2"/>
      <c r="N120" s="16"/>
    </row>
    <row r="121" spans="1:14" ht="14.25" customHeight="1" x14ac:dyDescent="0.3">
      <c r="A121" s="1"/>
      <c r="B121" s="137"/>
      <c r="C121" s="137"/>
      <c r="D121" s="2"/>
      <c r="E121" s="15"/>
      <c r="F121" s="194"/>
      <c r="G121" s="3"/>
      <c r="H121" s="1"/>
      <c r="I121" s="2"/>
      <c r="J121" s="1"/>
      <c r="K121" s="2"/>
      <c r="L121" s="1"/>
      <c r="M121" s="2"/>
      <c r="N121" s="16"/>
    </row>
    <row r="122" spans="1:14" ht="14.25" customHeight="1" x14ac:dyDescent="0.3">
      <c r="A122" s="1"/>
      <c r="B122" s="137"/>
      <c r="C122" s="137"/>
      <c r="D122" s="2"/>
      <c r="E122" s="15"/>
      <c r="F122" s="194"/>
      <c r="G122" s="3"/>
      <c r="H122" s="1"/>
      <c r="I122" s="2"/>
      <c r="J122" s="1"/>
      <c r="K122" s="2"/>
      <c r="L122" s="1"/>
      <c r="M122" s="2"/>
      <c r="N122" s="16"/>
    </row>
    <row r="123" spans="1:14" ht="14.25" customHeight="1" x14ac:dyDescent="0.3">
      <c r="A123" s="1"/>
      <c r="B123" s="137"/>
      <c r="C123" s="137"/>
      <c r="D123" s="2"/>
      <c r="E123" s="15"/>
      <c r="F123" s="194"/>
      <c r="G123" s="3"/>
      <c r="H123" s="1"/>
      <c r="I123" s="2"/>
      <c r="J123" s="1"/>
      <c r="K123" s="2"/>
      <c r="L123" s="1"/>
      <c r="M123" s="2"/>
      <c r="N123" s="16"/>
    </row>
    <row r="124" spans="1:14" ht="14.25" customHeight="1" x14ac:dyDescent="0.3">
      <c r="A124" s="1"/>
      <c r="B124" s="137"/>
      <c r="C124" s="137"/>
      <c r="D124" s="2"/>
      <c r="E124" s="15"/>
      <c r="F124" s="194"/>
      <c r="G124" s="3"/>
      <c r="H124" s="1"/>
      <c r="I124" s="2"/>
      <c r="J124" s="1"/>
      <c r="K124" s="2"/>
      <c r="L124" s="1"/>
      <c r="M124" s="2"/>
      <c r="N124" s="16"/>
    </row>
    <row r="125" spans="1:14" ht="14.25" customHeight="1" x14ac:dyDescent="0.3">
      <c r="A125" s="1"/>
      <c r="B125" s="137"/>
      <c r="C125" s="137"/>
      <c r="D125" s="2"/>
      <c r="E125" s="15"/>
      <c r="F125" s="194"/>
      <c r="G125" s="3"/>
      <c r="H125" s="1"/>
      <c r="I125" s="2"/>
      <c r="J125" s="1"/>
      <c r="K125" s="2"/>
      <c r="L125" s="1"/>
      <c r="M125" s="2"/>
      <c r="N125" s="16"/>
    </row>
    <row r="126" spans="1:14" ht="14.25" customHeight="1" x14ac:dyDescent="0.3">
      <c r="A126" s="1"/>
      <c r="B126" s="137"/>
      <c r="C126" s="137"/>
      <c r="D126" s="2"/>
      <c r="E126" s="15"/>
      <c r="F126" s="194"/>
      <c r="G126" s="3"/>
      <c r="H126" s="1"/>
      <c r="I126" s="2"/>
      <c r="J126" s="1"/>
      <c r="K126" s="2"/>
      <c r="L126" s="1"/>
      <c r="M126" s="2"/>
      <c r="N126" s="16"/>
    </row>
    <row r="127" spans="1:14" ht="14.25" customHeight="1" x14ac:dyDescent="0.3">
      <c r="A127" s="1"/>
      <c r="B127" s="137"/>
      <c r="C127" s="137"/>
      <c r="D127" s="2"/>
      <c r="E127" s="15"/>
      <c r="F127" s="194"/>
      <c r="G127" s="3"/>
      <c r="H127" s="1"/>
      <c r="I127" s="2"/>
      <c r="J127" s="1"/>
      <c r="K127" s="2"/>
      <c r="L127" s="1"/>
      <c r="M127" s="2"/>
      <c r="N127" s="16"/>
    </row>
    <row r="128" spans="1:14" ht="14.25" customHeight="1" x14ac:dyDescent="0.3">
      <c r="A128" s="1"/>
      <c r="B128" s="137"/>
      <c r="C128" s="137"/>
      <c r="D128" s="2"/>
      <c r="E128" s="15"/>
      <c r="F128" s="194"/>
      <c r="G128" s="3"/>
      <c r="H128" s="1"/>
      <c r="I128" s="2"/>
      <c r="J128" s="1"/>
      <c r="K128" s="2"/>
      <c r="L128" s="1"/>
      <c r="M128" s="2"/>
      <c r="N128" s="16"/>
    </row>
    <row r="129" spans="1:14" ht="14.25" customHeight="1" x14ac:dyDescent="0.3">
      <c r="A129" s="1"/>
      <c r="B129" s="137"/>
      <c r="C129" s="137"/>
      <c r="D129" s="2"/>
      <c r="E129" s="15"/>
      <c r="F129" s="194"/>
      <c r="G129" s="3"/>
      <c r="H129" s="1"/>
      <c r="I129" s="2"/>
      <c r="J129" s="1"/>
      <c r="K129" s="2"/>
      <c r="L129" s="1"/>
      <c r="M129" s="2"/>
      <c r="N129" s="16"/>
    </row>
    <row r="130" spans="1:14" ht="14.25" customHeight="1" x14ac:dyDescent="0.3">
      <c r="A130" s="1"/>
      <c r="B130" s="137"/>
      <c r="C130" s="137"/>
      <c r="D130" s="2"/>
      <c r="E130" s="15"/>
      <c r="F130" s="194"/>
      <c r="G130" s="3"/>
      <c r="H130" s="1"/>
      <c r="I130" s="2"/>
      <c r="J130" s="1"/>
      <c r="K130" s="2"/>
      <c r="L130" s="1"/>
      <c r="M130" s="2"/>
      <c r="N130" s="16"/>
    </row>
    <row r="131" spans="1:14" ht="14.25" customHeight="1" x14ac:dyDescent="0.3">
      <c r="A131" s="1"/>
      <c r="B131" s="137"/>
      <c r="C131" s="137"/>
      <c r="D131" s="2"/>
      <c r="E131" s="15"/>
      <c r="F131" s="194"/>
      <c r="G131" s="3"/>
      <c r="H131" s="1"/>
      <c r="I131" s="2"/>
      <c r="J131" s="1"/>
      <c r="K131" s="2"/>
      <c r="L131" s="1"/>
      <c r="M131" s="2"/>
      <c r="N131" s="16"/>
    </row>
    <row r="132" spans="1:14" ht="14.25" customHeight="1" x14ac:dyDescent="0.3">
      <c r="A132" s="1"/>
      <c r="B132" s="137"/>
      <c r="C132" s="137"/>
      <c r="D132" s="2"/>
      <c r="E132" s="15"/>
      <c r="F132" s="194"/>
      <c r="G132" s="3"/>
      <c r="H132" s="1"/>
      <c r="I132" s="2"/>
      <c r="J132" s="1"/>
      <c r="K132" s="2"/>
      <c r="L132" s="1"/>
      <c r="M132" s="2"/>
      <c r="N132" s="16"/>
    </row>
    <row r="133" spans="1:14" ht="14.25" customHeight="1" x14ac:dyDescent="0.3">
      <c r="A133" s="1"/>
      <c r="B133" s="137"/>
      <c r="C133" s="137"/>
      <c r="D133" s="2"/>
      <c r="E133" s="15"/>
      <c r="F133" s="194"/>
      <c r="G133" s="3"/>
      <c r="H133" s="1"/>
      <c r="I133" s="2"/>
      <c r="J133" s="1"/>
      <c r="K133" s="2"/>
      <c r="L133" s="1"/>
      <c r="M133" s="2"/>
      <c r="N133" s="16"/>
    </row>
    <row r="134" spans="1:14" ht="14.25" customHeight="1" x14ac:dyDescent="0.3">
      <c r="A134" s="1"/>
      <c r="B134" s="137"/>
      <c r="C134" s="137"/>
      <c r="D134" s="2"/>
      <c r="E134" s="15"/>
      <c r="F134" s="194"/>
      <c r="G134" s="3"/>
      <c r="H134" s="1"/>
      <c r="I134" s="2"/>
      <c r="J134" s="1"/>
      <c r="K134" s="2"/>
      <c r="L134" s="1"/>
      <c r="M134" s="2"/>
      <c r="N134" s="16"/>
    </row>
    <row r="135" spans="1:14" ht="14.25" customHeight="1" x14ac:dyDescent="0.3">
      <c r="A135" s="1"/>
      <c r="B135" s="137"/>
      <c r="C135" s="137"/>
      <c r="D135" s="2"/>
      <c r="E135" s="15"/>
      <c r="F135" s="194"/>
      <c r="G135" s="3"/>
      <c r="H135" s="1"/>
      <c r="I135" s="2"/>
      <c r="J135" s="1"/>
      <c r="K135" s="2"/>
      <c r="L135" s="1"/>
      <c r="M135" s="2"/>
      <c r="N135" s="16"/>
    </row>
    <row r="136" spans="1:14" ht="14.25" customHeight="1" x14ac:dyDescent="0.3">
      <c r="A136" s="1"/>
      <c r="B136" s="137"/>
      <c r="C136" s="137"/>
      <c r="D136" s="2"/>
      <c r="E136" s="15"/>
      <c r="F136" s="194"/>
      <c r="G136" s="3"/>
      <c r="H136" s="1"/>
      <c r="I136" s="2"/>
      <c r="J136" s="1"/>
      <c r="K136" s="2"/>
      <c r="L136" s="1"/>
      <c r="M136" s="2"/>
      <c r="N136" s="16"/>
    </row>
    <row r="137" spans="1:14" ht="14.25" customHeight="1" x14ac:dyDescent="0.3">
      <c r="A137" s="1"/>
      <c r="B137" s="137"/>
      <c r="C137" s="137"/>
      <c r="D137" s="2"/>
      <c r="E137" s="15"/>
      <c r="F137" s="194"/>
      <c r="G137" s="3"/>
      <c r="H137" s="1"/>
      <c r="I137" s="2"/>
      <c r="J137" s="1"/>
      <c r="K137" s="2"/>
      <c r="L137" s="1"/>
      <c r="M137" s="2"/>
      <c r="N137" s="16"/>
    </row>
    <row r="138" spans="1:14" ht="14.25" customHeight="1" x14ac:dyDescent="0.3">
      <c r="A138" s="1"/>
      <c r="B138" s="137"/>
      <c r="C138" s="137"/>
      <c r="D138" s="2"/>
      <c r="E138" s="15"/>
      <c r="F138" s="194"/>
      <c r="G138" s="3"/>
      <c r="H138" s="1"/>
      <c r="I138" s="2"/>
      <c r="J138" s="1"/>
      <c r="K138" s="2"/>
      <c r="L138" s="1"/>
      <c r="M138" s="2"/>
      <c r="N138" s="16"/>
    </row>
    <row r="139" spans="1:14" ht="14.25" customHeight="1" x14ac:dyDescent="0.3">
      <c r="A139" s="1"/>
      <c r="B139" s="137"/>
      <c r="C139" s="137"/>
      <c r="D139" s="2"/>
      <c r="E139" s="15"/>
      <c r="F139" s="194"/>
      <c r="G139" s="3"/>
      <c r="H139" s="1"/>
      <c r="I139" s="2"/>
      <c r="J139" s="1"/>
      <c r="K139" s="2"/>
      <c r="L139" s="1"/>
      <c r="M139" s="2"/>
      <c r="N139" s="16"/>
    </row>
    <row r="140" spans="1:14" ht="14.25" customHeight="1" x14ac:dyDescent="0.3">
      <c r="A140" s="1"/>
      <c r="B140" s="137"/>
      <c r="C140" s="137"/>
      <c r="D140" s="2"/>
      <c r="E140" s="15"/>
      <c r="F140" s="194"/>
      <c r="G140" s="3"/>
      <c r="H140" s="1"/>
      <c r="I140" s="2"/>
      <c r="J140" s="1"/>
      <c r="K140" s="2"/>
      <c r="L140" s="1"/>
      <c r="M140" s="2"/>
      <c r="N140" s="16"/>
    </row>
    <row r="141" spans="1:14" ht="14.25" customHeight="1" x14ac:dyDescent="0.3">
      <c r="A141" s="1"/>
      <c r="B141" s="137"/>
      <c r="C141" s="137"/>
      <c r="D141" s="2"/>
      <c r="E141" s="15"/>
      <c r="F141" s="194"/>
      <c r="G141" s="3"/>
      <c r="H141" s="1"/>
      <c r="I141" s="2"/>
      <c r="J141" s="1"/>
      <c r="K141" s="2"/>
      <c r="L141" s="1"/>
      <c r="M141" s="2"/>
      <c r="N141" s="16"/>
    </row>
    <row r="142" spans="1:14" ht="14.25" customHeight="1" x14ac:dyDescent="0.3">
      <c r="A142" s="1"/>
      <c r="B142" s="137"/>
      <c r="C142" s="137"/>
      <c r="D142" s="2"/>
      <c r="E142" s="15"/>
      <c r="F142" s="194"/>
      <c r="G142" s="3"/>
      <c r="H142" s="1"/>
      <c r="I142" s="2"/>
      <c r="J142" s="1"/>
      <c r="K142" s="2"/>
      <c r="L142" s="1"/>
      <c r="M142" s="2"/>
      <c r="N142" s="16"/>
    </row>
    <row r="143" spans="1:14" ht="14.25" customHeight="1" x14ac:dyDescent="0.3">
      <c r="A143" s="1"/>
      <c r="B143" s="137"/>
      <c r="C143" s="137"/>
      <c r="D143" s="2"/>
      <c r="E143" s="15"/>
      <c r="F143" s="194"/>
      <c r="G143" s="3"/>
      <c r="H143" s="1"/>
      <c r="I143" s="2"/>
      <c r="J143" s="1"/>
      <c r="K143" s="2"/>
      <c r="L143" s="1"/>
      <c r="M143" s="2"/>
      <c r="N143" s="16"/>
    </row>
    <row r="144" spans="1:14" ht="14.25" customHeight="1" x14ac:dyDescent="0.3">
      <c r="A144" s="1"/>
      <c r="B144" s="137"/>
      <c r="C144" s="137"/>
      <c r="D144" s="2"/>
      <c r="E144" s="15"/>
      <c r="F144" s="194"/>
      <c r="G144" s="3"/>
      <c r="H144" s="1"/>
      <c r="I144" s="2"/>
      <c r="J144" s="1"/>
      <c r="K144" s="2"/>
      <c r="L144" s="1"/>
      <c r="M144" s="2"/>
      <c r="N144" s="16"/>
    </row>
    <row r="145" spans="1:14" ht="14.25" customHeight="1" x14ac:dyDescent="0.3">
      <c r="A145" s="1"/>
      <c r="B145" s="137"/>
      <c r="C145" s="137"/>
      <c r="D145" s="2"/>
      <c r="E145" s="15"/>
      <c r="F145" s="194"/>
      <c r="G145" s="3"/>
      <c r="H145" s="1"/>
      <c r="I145" s="2"/>
      <c r="J145" s="1"/>
      <c r="K145" s="2"/>
      <c r="L145" s="1"/>
      <c r="M145" s="2"/>
      <c r="N145" s="16"/>
    </row>
    <row r="146" spans="1:14" ht="14.25" customHeight="1" x14ac:dyDescent="0.3">
      <c r="A146" s="1"/>
      <c r="B146" s="137"/>
      <c r="C146" s="137"/>
      <c r="D146" s="2"/>
      <c r="E146" s="15"/>
      <c r="F146" s="194"/>
      <c r="G146" s="3"/>
      <c r="H146" s="1"/>
      <c r="I146" s="2"/>
      <c r="J146" s="1"/>
      <c r="K146" s="2"/>
      <c r="L146" s="1"/>
      <c r="M146" s="2"/>
      <c r="N146" s="16"/>
    </row>
    <row r="147" spans="1:14" ht="14.25" customHeight="1" x14ac:dyDescent="0.3">
      <c r="A147" s="1"/>
      <c r="B147" s="137"/>
      <c r="C147" s="137"/>
      <c r="D147" s="2"/>
      <c r="E147" s="15"/>
      <c r="F147" s="194"/>
      <c r="G147" s="3"/>
      <c r="H147" s="1"/>
      <c r="I147" s="2"/>
      <c r="J147" s="1"/>
      <c r="K147" s="2"/>
      <c r="L147" s="1"/>
      <c r="M147" s="2"/>
      <c r="N147" s="16"/>
    </row>
    <row r="148" spans="1:14" ht="14.25" customHeight="1" x14ac:dyDescent="0.3">
      <c r="A148" s="1"/>
      <c r="B148" s="137"/>
      <c r="C148" s="137"/>
      <c r="D148" s="2"/>
      <c r="E148" s="15"/>
      <c r="F148" s="194"/>
      <c r="G148" s="3"/>
      <c r="H148" s="1"/>
      <c r="I148" s="2"/>
      <c r="J148" s="1"/>
      <c r="K148" s="2"/>
      <c r="L148" s="1"/>
      <c r="M148" s="2"/>
      <c r="N148" s="16"/>
    </row>
    <row r="149" spans="1:14" ht="14.25" customHeight="1" x14ac:dyDescent="0.3">
      <c r="A149" s="1"/>
      <c r="B149" s="137"/>
      <c r="C149" s="137"/>
      <c r="D149" s="2"/>
      <c r="E149" s="15"/>
      <c r="F149" s="194"/>
      <c r="G149" s="3"/>
      <c r="H149" s="1"/>
      <c r="I149" s="2"/>
      <c r="J149" s="1"/>
      <c r="K149" s="2"/>
      <c r="L149" s="1"/>
      <c r="M149" s="2"/>
      <c r="N149" s="16"/>
    </row>
    <row r="150" spans="1:14" ht="14.25" customHeight="1" x14ac:dyDescent="0.3">
      <c r="A150" s="1"/>
      <c r="B150" s="137"/>
      <c r="C150" s="137"/>
      <c r="D150" s="2"/>
      <c r="E150" s="15"/>
      <c r="F150" s="194"/>
      <c r="G150" s="3"/>
      <c r="H150" s="1"/>
      <c r="I150" s="2"/>
      <c r="J150" s="1"/>
      <c r="K150" s="2"/>
      <c r="L150" s="1"/>
      <c r="M150" s="2"/>
      <c r="N150" s="16"/>
    </row>
    <row r="151" spans="1:14" ht="14.25" customHeight="1" x14ac:dyDescent="0.3">
      <c r="A151" s="1"/>
      <c r="B151" s="137"/>
      <c r="C151" s="137"/>
      <c r="D151" s="2"/>
      <c r="E151" s="15"/>
      <c r="F151" s="194"/>
      <c r="G151" s="3"/>
      <c r="H151" s="1"/>
      <c r="I151" s="2"/>
      <c r="J151" s="1"/>
      <c r="K151" s="2"/>
      <c r="L151" s="1"/>
      <c r="M151" s="2"/>
      <c r="N151" s="16"/>
    </row>
    <row r="152" spans="1:14" ht="14.25" customHeight="1" x14ac:dyDescent="0.3">
      <c r="A152" s="1"/>
      <c r="B152" s="137"/>
      <c r="C152" s="137"/>
      <c r="D152" s="2"/>
      <c r="E152" s="15"/>
      <c r="F152" s="194"/>
      <c r="G152" s="3"/>
      <c r="H152" s="1"/>
      <c r="I152" s="2"/>
      <c r="J152" s="1"/>
      <c r="K152" s="2"/>
      <c r="L152" s="1"/>
      <c r="M152" s="2"/>
      <c r="N152" s="16"/>
    </row>
    <row r="153" spans="1:14" ht="14.25" customHeight="1" x14ac:dyDescent="0.3">
      <c r="A153" s="1"/>
      <c r="B153" s="137"/>
      <c r="C153" s="137"/>
      <c r="D153" s="2"/>
      <c r="E153" s="15"/>
      <c r="F153" s="194"/>
      <c r="G153" s="3"/>
      <c r="H153" s="1"/>
      <c r="I153" s="2"/>
      <c r="J153" s="1"/>
      <c r="K153" s="2"/>
      <c r="L153" s="1"/>
      <c r="M153" s="2"/>
      <c r="N153" s="16"/>
    </row>
    <row r="154" spans="1:14" ht="14.25" customHeight="1" x14ac:dyDescent="0.3">
      <c r="A154" s="1"/>
      <c r="B154" s="137"/>
      <c r="C154" s="137"/>
      <c r="D154" s="2"/>
      <c r="E154" s="15"/>
      <c r="F154" s="194"/>
      <c r="G154" s="3"/>
      <c r="H154" s="1"/>
      <c r="I154" s="2"/>
      <c r="J154" s="1"/>
      <c r="K154" s="2"/>
      <c r="L154" s="1"/>
      <c r="M154" s="2"/>
      <c r="N154" s="16"/>
    </row>
    <row r="155" spans="1:14" ht="14.25" customHeight="1" x14ac:dyDescent="0.3">
      <c r="A155" s="1"/>
      <c r="B155" s="137"/>
      <c r="C155" s="137"/>
      <c r="D155" s="2"/>
      <c r="E155" s="15"/>
      <c r="F155" s="194"/>
      <c r="G155" s="3"/>
      <c r="H155" s="1"/>
      <c r="I155" s="2"/>
      <c r="J155" s="1"/>
      <c r="K155" s="2"/>
      <c r="L155" s="1"/>
      <c r="M155" s="2"/>
      <c r="N155" s="16"/>
    </row>
    <row r="156" spans="1:14" ht="14.25" customHeight="1" x14ac:dyDescent="0.3">
      <c r="A156" s="1"/>
      <c r="B156" s="137"/>
      <c r="C156" s="137"/>
      <c r="D156" s="2"/>
      <c r="E156" s="15"/>
      <c r="F156" s="194"/>
      <c r="G156" s="3"/>
      <c r="H156" s="1"/>
      <c r="I156" s="2"/>
      <c r="J156" s="1"/>
      <c r="K156" s="2"/>
      <c r="L156" s="1"/>
      <c r="M156" s="2"/>
      <c r="N156" s="16"/>
    </row>
    <row r="157" spans="1:14" ht="14.25" customHeight="1" x14ac:dyDescent="0.3">
      <c r="A157" s="1"/>
      <c r="B157" s="137"/>
      <c r="C157" s="137"/>
      <c r="D157" s="2"/>
      <c r="E157" s="15"/>
      <c r="F157" s="194"/>
      <c r="G157" s="3"/>
      <c r="H157" s="1"/>
      <c r="I157" s="2"/>
      <c r="J157" s="1"/>
      <c r="K157" s="2"/>
      <c r="L157" s="1"/>
      <c r="M157" s="2"/>
      <c r="N157" s="16"/>
    </row>
    <row r="158" spans="1:14" ht="14.25" customHeight="1" x14ac:dyDescent="0.3">
      <c r="A158" s="1"/>
      <c r="B158" s="137"/>
      <c r="C158" s="137"/>
      <c r="D158" s="2"/>
      <c r="E158" s="15"/>
      <c r="F158" s="194"/>
      <c r="G158" s="3"/>
      <c r="H158" s="1"/>
      <c r="I158" s="2"/>
      <c r="J158" s="1"/>
      <c r="K158" s="2"/>
      <c r="L158" s="1"/>
      <c r="M158" s="2"/>
      <c r="N158" s="16"/>
    </row>
    <row r="159" spans="1:14" ht="14.25" customHeight="1" x14ac:dyDescent="0.3">
      <c r="A159" s="1"/>
      <c r="B159" s="137"/>
      <c r="C159" s="137"/>
      <c r="D159" s="2"/>
      <c r="E159" s="15"/>
      <c r="F159" s="194"/>
      <c r="G159" s="3"/>
      <c r="H159" s="1"/>
      <c r="I159" s="2"/>
      <c r="J159" s="1"/>
      <c r="K159" s="2"/>
      <c r="L159" s="1"/>
      <c r="M159" s="2"/>
      <c r="N159" s="16"/>
    </row>
    <row r="160" spans="1:14" ht="14.25" customHeight="1" x14ac:dyDescent="0.3">
      <c r="A160" s="1"/>
      <c r="B160" s="137"/>
      <c r="C160" s="137"/>
      <c r="D160" s="2"/>
      <c r="E160" s="15"/>
      <c r="F160" s="194"/>
      <c r="G160" s="3"/>
      <c r="H160" s="1"/>
      <c r="I160" s="2"/>
      <c r="J160" s="1"/>
      <c r="K160" s="2"/>
      <c r="L160" s="1"/>
      <c r="M160" s="2"/>
      <c r="N160" s="16"/>
    </row>
    <row r="161" spans="1:14" ht="14.25" customHeight="1" x14ac:dyDescent="0.3">
      <c r="A161" s="1"/>
      <c r="B161" s="137"/>
      <c r="C161" s="137"/>
      <c r="D161" s="2"/>
      <c r="E161" s="15"/>
      <c r="F161" s="194"/>
      <c r="G161" s="3"/>
      <c r="H161" s="1"/>
      <c r="I161" s="2"/>
      <c r="J161" s="1"/>
      <c r="K161" s="2"/>
      <c r="L161" s="1"/>
      <c r="M161" s="2"/>
      <c r="N161" s="16"/>
    </row>
    <row r="162" spans="1:14" ht="14.25" customHeight="1" x14ac:dyDescent="0.3">
      <c r="A162" s="1"/>
      <c r="B162" s="137"/>
      <c r="C162" s="137"/>
      <c r="D162" s="2"/>
      <c r="E162" s="15"/>
      <c r="F162" s="194"/>
      <c r="G162" s="3"/>
      <c r="H162" s="1"/>
      <c r="I162" s="2"/>
      <c r="J162" s="1"/>
      <c r="K162" s="2"/>
      <c r="L162" s="1"/>
      <c r="M162" s="2"/>
      <c r="N162" s="16"/>
    </row>
    <row r="163" spans="1:14" ht="14.25" customHeight="1" x14ac:dyDescent="0.3">
      <c r="A163" s="1"/>
      <c r="B163" s="137"/>
      <c r="C163" s="137"/>
      <c r="D163" s="2"/>
      <c r="E163" s="15"/>
      <c r="F163" s="194"/>
      <c r="G163" s="3"/>
      <c r="H163" s="1"/>
      <c r="I163" s="2"/>
      <c r="J163" s="1"/>
      <c r="K163" s="2"/>
      <c r="L163" s="1"/>
      <c r="M163" s="2"/>
      <c r="N163" s="16"/>
    </row>
    <row r="164" spans="1:14" ht="14.25" customHeight="1" x14ac:dyDescent="0.3">
      <c r="A164" s="1"/>
      <c r="B164" s="137"/>
      <c r="C164" s="137"/>
      <c r="D164" s="2"/>
      <c r="E164" s="15"/>
      <c r="F164" s="194"/>
      <c r="G164" s="3"/>
      <c r="H164" s="1"/>
      <c r="I164" s="2"/>
      <c r="J164" s="1"/>
      <c r="K164" s="2"/>
      <c r="L164" s="1"/>
      <c r="M164" s="2"/>
      <c r="N164" s="16"/>
    </row>
    <row r="165" spans="1:14" ht="14.25" customHeight="1" x14ac:dyDescent="0.3">
      <c r="A165" s="1"/>
      <c r="B165" s="137"/>
      <c r="C165" s="137"/>
      <c r="D165" s="2"/>
      <c r="E165" s="15"/>
      <c r="F165" s="194"/>
      <c r="G165" s="3"/>
      <c r="H165" s="1"/>
      <c r="I165" s="2"/>
      <c r="J165" s="1"/>
      <c r="K165" s="2"/>
      <c r="L165" s="1"/>
      <c r="M165" s="2"/>
      <c r="N165" s="16"/>
    </row>
    <row r="166" spans="1:14" ht="14.25" customHeight="1" x14ac:dyDescent="0.3">
      <c r="A166" s="1"/>
      <c r="B166" s="137"/>
      <c r="C166" s="137"/>
      <c r="D166" s="2"/>
      <c r="E166" s="15"/>
      <c r="F166" s="194"/>
      <c r="G166" s="3"/>
      <c r="H166" s="1"/>
      <c r="I166" s="2"/>
      <c r="J166" s="1"/>
      <c r="K166" s="2"/>
      <c r="L166" s="1"/>
      <c r="M166" s="2"/>
      <c r="N166" s="16"/>
    </row>
    <row r="167" spans="1:14" ht="14.25" customHeight="1" x14ac:dyDescent="0.3">
      <c r="A167" s="1"/>
      <c r="B167" s="137"/>
      <c r="C167" s="137"/>
      <c r="D167" s="2"/>
      <c r="E167" s="15"/>
      <c r="F167" s="194"/>
      <c r="G167" s="3"/>
      <c r="H167" s="1"/>
      <c r="I167" s="2"/>
      <c r="J167" s="1"/>
      <c r="K167" s="2"/>
      <c r="L167" s="1"/>
      <c r="M167" s="2"/>
      <c r="N167" s="16"/>
    </row>
    <row r="168" spans="1:14" ht="14.25" customHeight="1" x14ac:dyDescent="0.3">
      <c r="A168" s="1"/>
      <c r="B168" s="137"/>
      <c r="C168" s="137"/>
      <c r="D168" s="2"/>
      <c r="E168" s="15"/>
      <c r="F168" s="194"/>
      <c r="G168" s="3"/>
      <c r="H168" s="1"/>
      <c r="I168" s="2"/>
      <c r="J168" s="1"/>
      <c r="K168" s="2"/>
      <c r="L168" s="1"/>
      <c r="M168" s="2"/>
      <c r="N168" s="16"/>
    </row>
    <row r="169" spans="1:14" ht="14.25" customHeight="1" x14ac:dyDescent="0.3">
      <c r="A169" s="1"/>
      <c r="B169" s="137"/>
      <c r="C169" s="137"/>
      <c r="D169" s="2"/>
      <c r="E169" s="15"/>
      <c r="F169" s="194"/>
      <c r="G169" s="3"/>
      <c r="H169" s="1"/>
      <c r="I169" s="2"/>
      <c r="J169" s="1"/>
      <c r="K169" s="2"/>
      <c r="L169" s="1"/>
      <c r="M169" s="2"/>
      <c r="N169" s="16"/>
    </row>
    <row r="170" spans="1:14" ht="14.25" customHeight="1" x14ac:dyDescent="0.3">
      <c r="A170" s="1"/>
      <c r="B170" s="137"/>
      <c r="C170" s="137"/>
      <c r="D170" s="2"/>
      <c r="E170" s="15"/>
      <c r="F170" s="194"/>
      <c r="G170" s="3"/>
      <c r="H170" s="1"/>
      <c r="I170" s="2"/>
      <c r="J170" s="1"/>
      <c r="K170" s="2"/>
      <c r="L170" s="1"/>
      <c r="M170" s="2"/>
      <c r="N170" s="16"/>
    </row>
    <row r="171" spans="1:14" ht="14.25" customHeight="1" x14ac:dyDescent="0.3">
      <c r="A171" s="1"/>
      <c r="B171" s="137"/>
      <c r="C171" s="137"/>
      <c r="D171" s="2"/>
      <c r="E171" s="15"/>
      <c r="F171" s="194"/>
      <c r="G171" s="3"/>
      <c r="H171" s="1"/>
      <c r="I171" s="2"/>
      <c r="J171" s="1"/>
      <c r="K171" s="2"/>
      <c r="L171" s="1"/>
      <c r="M171" s="2"/>
      <c r="N171" s="16"/>
    </row>
    <row r="172" spans="1:14" ht="14.25" customHeight="1" x14ac:dyDescent="0.3">
      <c r="A172" s="1"/>
      <c r="B172" s="137"/>
      <c r="C172" s="137"/>
      <c r="D172" s="2"/>
      <c r="E172" s="15"/>
      <c r="F172" s="194"/>
      <c r="G172" s="3"/>
      <c r="H172" s="1"/>
      <c r="I172" s="2"/>
      <c r="J172" s="1"/>
      <c r="K172" s="2"/>
      <c r="L172" s="1"/>
      <c r="M172" s="2"/>
      <c r="N172" s="16"/>
    </row>
    <row r="173" spans="1:14" ht="14.25" customHeight="1" x14ac:dyDescent="0.3">
      <c r="A173" s="1"/>
      <c r="B173" s="137"/>
      <c r="C173" s="137"/>
      <c r="D173" s="2"/>
      <c r="E173" s="15"/>
      <c r="F173" s="194"/>
      <c r="G173" s="3"/>
      <c r="H173" s="1"/>
      <c r="I173" s="2"/>
      <c r="J173" s="1"/>
      <c r="K173" s="2"/>
      <c r="L173" s="1"/>
      <c r="M173" s="2"/>
      <c r="N173" s="16"/>
    </row>
    <row r="174" spans="1:14" ht="14.25" customHeight="1" x14ac:dyDescent="0.3">
      <c r="A174" s="1"/>
      <c r="B174" s="137"/>
      <c r="C174" s="137"/>
      <c r="D174" s="2"/>
      <c r="E174" s="15"/>
      <c r="F174" s="194"/>
      <c r="G174" s="3"/>
      <c r="H174" s="1"/>
      <c r="I174" s="2"/>
      <c r="J174" s="1"/>
      <c r="K174" s="2"/>
      <c r="L174" s="1"/>
      <c r="M174" s="2"/>
      <c r="N174" s="16"/>
    </row>
    <row r="175" spans="1:14" ht="14.25" customHeight="1" x14ac:dyDescent="0.3">
      <c r="A175" s="1"/>
      <c r="B175" s="137"/>
      <c r="C175" s="137"/>
      <c r="D175" s="2"/>
      <c r="E175" s="15"/>
      <c r="F175" s="194"/>
      <c r="G175" s="3"/>
      <c r="H175" s="1"/>
      <c r="I175" s="2"/>
      <c r="J175" s="1"/>
      <c r="K175" s="2"/>
      <c r="L175" s="1"/>
      <c r="M175" s="2"/>
      <c r="N175" s="16"/>
    </row>
    <row r="176" spans="1:14" ht="14.25" customHeight="1" x14ac:dyDescent="0.3">
      <c r="A176" s="1"/>
      <c r="B176" s="137"/>
      <c r="C176" s="137"/>
      <c r="D176" s="2"/>
      <c r="E176" s="15"/>
      <c r="F176" s="194"/>
      <c r="G176" s="3"/>
      <c r="H176" s="1"/>
      <c r="I176" s="2"/>
      <c r="J176" s="1"/>
      <c r="K176" s="2"/>
      <c r="L176" s="1"/>
      <c r="M176" s="2"/>
      <c r="N176" s="16"/>
    </row>
    <row r="177" spans="1:14" ht="14.25" customHeight="1" x14ac:dyDescent="0.3">
      <c r="A177" s="1"/>
      <c r="B177" s="137"/>
      <c r="C177" s="137"/>
      <c r="D177" s="2"/>
      <c r="E177" s="15"/>
      <c r="F177" s="194"/>
      <c r="G177" s="3"/>
      <c r="H177" s="1"/>
      <c r="I177" s="2"/>
      <c r="J177" s="1"/>
      <c r="K177" s="2"/>
      <c r="L177" s="1"/>
      <c r="M177" s="2"/>
      <c r="N177" s="16"/>
    </row>
    <row r="178" spans="1:14" ht="14.25" customHeight="1" x14ac:dyDescent="0.3">
      <c r="A178" s="1"/>
      <c r="B178" s="137"/>
      <c r="C178" s="137"/>
      <c r="D178" s="2"/>
      <c r="E178" s="15"/>
      <c r="F178" s="194"/>
      <c r="G178" s="3"/>
      <c r="H178" s="1"/>
      <c r="I178" s="2"/>
      <c r="J178" s="1"/>
      <c r="K178" s="2"/>
      <c r="L178" s="1"/>
      <c r="M178" s="2"/>
      <c r="N178" s="16"/>
    </row>
    <row r="179" spans="1:14" ht="14.25" customHeight="1" x14ac:dyDescent="0.3">
      <c r="A179" s="1"/>
      <c r="B179" s="137"/>
      <c r="C179" s="137"/>
      <c r="D179" s="2"/>
      <c r="E179" s="15"/>
      <c r="F179" s="194"/>
      <c r="G179" s="3"/>
      <c r="H179" s="1"/>
      <c r="I179" s="2"/>
      <c r="J179" s="1"/>
      <c r="K179" s="2"/>
      <c r="L179" s="1"/>
      <c r="M179" s="2"/>
      <c r="N179" s="16"/>
    </row>
    <row r="180" spans="1:14" ht="14.25" customHeight="1" x14ac:dyDescent="0.3">
      <c r="A180" s="1"/>
      <c r="B180" s="137"/>
      <c r="C180" s="137"/>
      <c r="D180" s="2"/>
      <c r="E180" s="15"/>
      <c r="F180" s="194"/>
      <c r="G180" s="3"/>
      <c r="H180" s="1"/>
      <c r="I180" s="2"/>
      <c r="J180" s="1"/>
      <c r="K180" s="2"/>
      <c r="L180" s="1"/>
      <c r="M180" s="2"/>
      <c r="N180" s="16"/>
    </row>
    <row r="181" spans="1:14" ht="14.25" customHeight="1" x14ac:dyDescent="0.3">
      <c r="A181" s="1"/>
      <c r="B181" s="137"/>
      <c r="C181" s="137"/>
      <c r="D181" s="2"/>
      <c r="E181" s="15"/>
      <c r="F181" s="194"/>
      <c r="G181" s="3"/>
      <c r="H181" s="1"/>
      <c r="I181" s="2"/>
      <c r="J181" s="1"/>
      <c r="K181" s="2"/>
      <c r="L181" s="1"/>
      <c r="M181" s="2"/>
      <c r="N181" s="16"/>
    </row>
    <row r="182" spans="1:14" ht="14.25" customHeight="1" x14ac:dyDescent="0.3">
      <c r="A182" s="1"/>
      <c r="B182" s="137"/>
      <c r="C182" s="137"/>
      <c r="D182" s="2"/>
      <c r="E182" s="15"/>
      <c r="F182" s="194"/>
      <c r="G182" s="3"/>
      <c r="H182" s="1"/>
      <c r="I182" s="2"/>
      <c r="J182" s="1"/>
      <c r="K182" s="2"/>
      <c r="L182" s="1"/>
      <c r="M182" s="2"/>
      <c r="N182" s="16"/>
    </row>
    <row r="183" spans="1:14" ht="14.25" customHeight="1" x14ac:dyDescent="0.3">
      <c r="A183" s="1"/>
      <c r="B183" s="137"/>
      <c r="C183" s="137"/>
      <c r="D183" s="2"/>
      <c r="E183" s="15"/>
      <c r="F183" s="194"/>
      <c r="G183" s="3"/>
      <c r="H183" s="1"/>
      <c r="I183" s="2"/>
      <c r="J183" s="1"/>
      <c r="K183" s="2"/>
      <c r="L183" s="1"/>
      <c r="M183" s="2"/>
      <c r="N183" s="16"/>
    </row>
    <row r="184" spans="1:14" ht="14.25" customHeight="1" x14ac:dyDescent="0.3">
      <c r="A184" s="1"/>
      <c r="B184" s="137"/>
      <c r="C184" s="137"/>
      <c r="D184" s="2"/>
      <c r="E184" s="15"/>
      <c r="F184" s="194"/>
      <c r="G184" s="3"/>
      <c r="H184" s="1"/>
      <c r="I184" s="2"/>
      <c r="J184" s="1"/>
      <c r="K184" s="2"/>
      <c r="L184" s="1"/>
      <c r="M184" s="2"/>
      <c r="N184" s="16"/>
    </row>
    <row r="185" spans="1:14" ht="14.25" customHeight="1" x14ac:dyDescent="0.3">
      <c r="A185" s="1"/>
      <c r="B185" s="137"/>
      <c r="C185" s="137"/>
      <c r="D185" s="2"/>
      <c r="E185" s="15"/>
      <c r="F185" s="194"/>
      <c r="G185" s="3"/>
      <c r="H185" s="1"/>
      <c r="I185" s="2"/>
      <c r="J185" s="1"/>
      <c r="K185" s="2"/>
      <c r="L185" s="1"/>
      <c r="M185" s="2"/>
      <c r="N185" s="16"/>
    </row>
    <row r="186" spans="1:14" ht="14.25" customHeight="1" x14ac:dyDescent="0.3">
      <c r="A186" s="1"/>
      <c r="B186" s="137"/>
      <c r="C186" s="137"/>
      <c r="D186" s="2"/>
      <c r="E186" s="15"/>
      <c r="F186" s="194"/>
      <c r="G186" s="3"/>
      <c r="H186" s="1"/>
      <c r="I186" s="2"/>
      <c r="J186" s="1"/>
      <c r="K186" s="2"/>
      <c r="L186" s="1"/>
      <c r="M186" s="2"/>
      <c r="N186" s="16"/>
    </row>
    <row r="187" spans="1:14" ht="14.25" customHeight="1" x14ac:dyDescent="0.3">
      <c r="A187" s="1"/>
      <c r="B187" s="137"/>
      <c r="C187" s="137"/>
      <c r="D187" s="2"/>
      <c r="E187" s="15"/>
      <c r="F187" s="194"/>
      <c r="G187" s="3"/>
      <c r="H187" s="1"/>
      <c r="I187" s="2"/>
      <c r="J187" s="1"/>
      <c r="K187" s="2"/>
      <c r="L187" s="1"/>
      <c r="M187" s="2"/>
      <c r="N187" s="16"/>
    </row>
    <row r="188" spans="1:14" ht="14.25" customHeight="1" x14ac:dyDescent="0.3">
      <c r="A188" s="1"/>
      <c r="B188" s="137"/>
      <c r="C188" s="137"/>
      <c r="D188" s="2"/>
      <c r="E188" s="15"/>
      <c r="F188" s="194"/>
      <c r="G188" s="3"/>
      <c r="H188" s="1"/>
      <c r="I188" s="2"/>
      <c r="J188" s="1"/>
      <c r="K188" s="2"/>
      <c r="L188" s="1"/>
      <c r="M188" s="2"/>
      <c r="N188" s="16"/>
    </row>
    <row r="189" spans="1:14" ht="14.25" customHeight="1" x14ac:dyDescent="0.3">
      <c r="A189" s="1"/>
      <c r="B189" s="137"/>
      <c r="C189" s="137"/>
      <c r="D189" s="2"/>
      <c r="E189" s="15"/>
      <c r="F189" s="194"/>
      <c r="G189" s="3"/>
      <c r="H189" s="1"/>
      <c r="I189" s="2"/>
      <c r="J189" s="1"/>
      <c r="K189" s="2"/>
      <c r="L189" s="1"/>
      <c r="M189" s="2"/>
      <c r="N189" s="16"/>
    </row>
    <row r="190" spans="1:14" ht="14.25" customHeight="1" x14ac:dyDescent="0.3">
      <c r="A190" s="1"/>
      <c r="B190" s="137"/>
      <c r="C190" s="137"/>
      <c r="D190" s="2"/>
      <c r="E190" s="15"/>
      <c r="F190" s="194"/>
      <c r="G190" s="3"/>
      <c r="H190" s="1"/>
      <c r="I190" s="2"/>
      <c r="J190" s="1"/>
      <c r="K190" s="2"/>
      <c r="L190" s="1"/>
      <c r="M190" s="2"/>
      <c r="N190" s="16"/>
    </row>
    <row r="191" spans="1:14" ht="14.25" customHeight="1" x14ac:dyDescent="0.3">
      <c r="A191" s="1"/>
      <c r="B191" s="137"/>
      <c r="C191" s="137"/>
      <c r="D191" s="2"/>
      <c r="E191" s="15"/>
      <c r="F191" s="194"/>
      <c r="G191" s="3"/>
      <c r="H191" s="1"/>
      <c r="I191" s="2"/>
      <c r="J191" s="1"/>
      <c r="K191" s="2"/>
      <c r="L191" s="1"/>
      <c r="M191" s="2"/>
      <c r="N191" s="16"/>
    </row>
    <row r="192" spans="1:14" ht="14.25" customHeight="1" x14ac:dyDescent="0.3">
      <c r="A192" s="1"/>
      <c r="B192" s="137"/>
      <c r="C192" s="137"/>
      <c r="D192" s="2"/>
      <c r="E192" s="15"/>
      <c r="F192" s="194"/>
      <c r="G192" s="3"/>
      <c r="H192" s="1"/>
      <c r="I192" s="2"/>
      <c r="J192" s="1"/>
      <c r="K192" s="2"/>
      <c r="L192" s="1"/>
      <c r="M192" s="2"/>
      <c r="N192" s="16"/>
    </row>
    <row r="193" spans="1:14" ht="14.25" customHeight="1" x14ac:dyDescent="0.3">
      <c r="A193" s="1"/>
      <c r="B193" s="137"/>
      <c r="C193" s="137"/>
      <c r="D193" s="2"/>
      <c r="E193" s="15"/>
      <c r="F193" s="194"/>
      <c r="G193" s="3"/>
      <c r="H193" s="1"/>
      <c r="I193" s="2"/>
      <c r="J193" s="1"/>
      <c r="K193" s="2"/>
      <c r="L193" s="1"/>
      <c r="M193" s="2"/>
      <c r="N193" s="16"/>
    </row>
    <row r="194" spans="1:14" ht="14.25" customHeight="1" x14ac:dyDescent="0.3">
      <c r="A194" s="1"/>
      <c r="B194" s="137"/>
      <c r="C194" s="137"/>
      <c r="D194" s="2"/>
      <c r="E194" s="15"/>
      <c r="F194" s="194"/>
      <c r="G194" s="3"/>
      <c r="H194" s="1"/>
      <c r="I194" s="2"/>
      <c r="J194" s="1"/>
      <c r="K194" s="2"/>
      <c r="L194" s="1"/>
      <c r="M194" s="2"/>
      <c r="N194" s="16"/>
    </row>
    <row r="195" spans="1:14" ht="14.25" customHeight="1" x14ac:dyDescent="0.3">
      <c r="A195" s="1"/>
      <c r="B195" s="137"/>
      <c r="C195" s="137"/>
      <c r="D195" s="2"/>
      <c r="E195" s="15"/>
      <c r="F195" s="194"/>
      <c r="G195" s="3"/>
      <c r="H195" s="1"/>
      <c r="I195" s="2"/>
      <c r="J195" s="1"/>
      <c r="K195" s="2"/>
      <c r="L195" s="1"/>
      <c r="M195" s="2"/>
      <c r="N195" s="16"/>
    </row>
    <row r="196" spans="1:14" ht="14.25" customHeight="1" x14ac:dyDescent="0.3">
      <c r="A196" s="1"/>
      <c r="B196" s="137"/>
      <c r="C196" s="137"/>
      <c r="D196" s="2"/>
      <c r="E196" s="15"/>
      <c r="F196" s="194"/>
      <c r="G196" s="3"/>
      <c r="H196" s="1"/>
      <c r="I196" s="2"/>
      <c r="J196" s="1"/>
      <c r="K196" s="2"/>
      <c r="L196" s="1"/>
      <c r="M196" s="2"/>
      <c r="N196" s="16"/>
    </row>
    <row r="197" spans="1:14" ht="14.25" customHeight="1" x14ac:dyDescent="0.3">
      <c r="A197" s="1"/>
      <c r="B197" s="137"/>
      <c r="C197" s="137"/>
      <c r="D197" s="2"/>
      <c r="E197" s="15"/>
      <c r="F197" s="194"/>
      <c r="G197" s="3"/>
      <c r="H197" s="1"/>
      <c r="I197" s="2"/>
      <c r="J197" s="1"/>
      <c r="K197" s="2"/>
      <c r="L197" s="1"/>
      <c r="M197" s="2"/>
      <c r="N197" s="16"/>
    </row>
    <row r="198" spans="1:14" ht="14.25" customHeight="1" x14ac:dyDescent="0.3">
      <c r="A198" s="1"/>
      <c r="B198" s="137"/>
      <c r="C198" s="137"/>
      <c r="D198" s="2"/>
      <c r="E198" s="15"/>
      <c r="F198" s="194"/>
      <c r="G198" s="3"/>
      <c r="H198" s="1"/>
      <c r="I198" s="2"/>
      <c r="J198" s="1"/>
      <c r="K198" s="2"/>
      <c r="L198" s="1"/>
      <c r="M198" s="2"/>
      <c r="N198" s="16"/>
    </row>
    <row r="199" spans="1:14" ht="14.25" customHeight="1" x14ac:dyDescent="0.3">
      <c r="A199" s="1"/>
      <c r="B199" s="137"/>
      <c r="C199" s="137"/>
      <c r="D199" s="2"/>
      <c r="E199" s="15"/>
      <c r="F199" s="194"/>
      <c r="G199" s="3"/>
      <c r="H199" s="1"/>
      <c r="I199" s="2"/>
      <c r="J199" s="1"/>
      <c r="K199" s="2"/>
      <c r="L199" s="1"/>
      <c r="M199" s="2"/>
      <c r="N199" s="16"/>
    </row>
    <row r="200" spans="1:14" ht="14.25" customHeight="1" x14ac:dyDescent="0.3">
      <c r="A200" s="1"/>
      <c r="B200" s="137"/>
      <c r="C200" s="137"/>
      <c r="D200" s="2"/>
      <c r="E200" s="15"/>
      <c r="F200" s="194"/>
      <c r="G200" s="3"/>
      <c r="H200" s="1"/>
      <c r="I200" s="2"/>
      <c r="J200" s="1"/>
      <c r="K200" s="2"/>
      <c r="L200" s="1"/>
      <c r="M200" s="2"/>
      <c r="N200" s="16"/>
    </row>
    <row r="201" spans="1:14" ht="14.25" customHeight="1" x14ac:dyDescent="0.3">
      <c r="A201" s="1"/>
      <c r="B201" s="137"/>
      <c r="C201" s="137"/>
      <c r="D201" s="2"/>
      <c r="E201" s="15"/>
      <c r="F201" s="194"/>
      <c r="G201" s="3"/>
      <c r="H201" s="1"/>
      <c r="I201" s="2"/>
      <c r="J201" s="1"/>
      <c r="K201" s="2"/>
      <c r="L201" s="1"/>
      <c r="M201" s="2"/>
      <c r="N201" s="16"/>
    </row>
    <row r="202" spans="1:14" ht="14.25" customHeight="1" x14ac:dyDescent="0.3">
      <c r="A202" s="1"/>
      <c r="B202" s="137"/>
      <c r="C202" s="137"/>
      <c r="D202" s="2"/>
      <c r="E202" s="15"/>
      <c r="F202" s="194"/>
      <c r="G202" s="3"/>
      <c r="H202" s="1"/>
      <c r="I202" s="2"/>
      <c r="J202" s="1"/>
      <c r="K202" s="2"/>
      <c r="L202" s="1"/>
      <c r="M202" s="2"/>
      <c r="N202" s="16"/>
    </row>
    <row r="203" spans="1:14" ht="14.25" customHeight="1" x14ac:dyDescent="0.3">
      <c r="A203" s="1"/>
      <c r="B203" s="137"/>
      <c r="C203" s="137"/>
      <c r="D203" s="2"/>
      <c r="E203" s="15"/>
      <c r="F203" s="194"/>
      <c r="G203" s="3"/>
      <c r="H203" s="1"/>
      <c r="I203" s="2"/>
      <c r="J203" s="1"/>
      <c r="K203" s="2"/>
      <c r="L203" s="1"/>
      <c r="M203" s="2"/>
      <c r="N203" s="16"/>
    </row>
    <row r="204" spans="1:14" ht="14.25" customHeight="1" x14ac:dyDescent="0.3">
      <c r="A204" s="1"/>
      <c r="B204" s="137"/>
      <c r="C204" s="137"/>
      <c r="D204" s="2"/>
      <c r="E204" s="15"/>
      <c r="F204" s="194"/>
      <c r="G204" s="3"/>
      <c r="H204" s="1"/>
      <c r="I204" s="2"/>
      <c r="J204" s="1"/>
      <c r="K204" s="2"/>
      <c r="L204" s="1"/>
      <c r="M204" s="2"/>
      <c r="N204" s="16"/>
    </row>
    <row r="205" spans="1:14" ht="14.25" customHeight="1" x14ac:dyDescent="0.3">
      <c r="A205" s="1"/>
      <c r="B205" s="137"/>
      <c r="C205" s="137"/>
      <c r="D205" s="2"/>
      <c r="E205" s="15"/>
      <c r="F205" s="194"/>
      <c r="G205" s="3"/>
      <c r="H205" s="1"/>
      <c r="I205" s="2"/>
      <c r="J205" s="1"/>
      <c r="K205" s="2"/>
      <c r="L205" s="1"/>
      <c r="M205" s="2"/>
      <c r="N205" s="16"/>
    </row>
    <row r="206" spans="1:14" ht="14.25" customHeight="1" x14ac:dyDescent="0.3">
      <c r="A206" s="1"/>
      <c r="B206" s="137"/>
      <c r="C206" s="137"/>
      <c r="D206" s="2"/>
      <c r="E206" s="15"/>
      <c r="F206" s="194"/>
      <c r="G206" s="3"/>
      <c r="H206" s="1"/>
      <c r="I206" s="2"/>
      <c r="J206" s="1"/>
      <c r="K206" s="2"/>
      <c r="L206" s="1"/>
      <c r="M206" s="2"/>
      <c r="N206" s="16"/>
    </row>
    <row r="207" spans="1:14" ht="14.25" customHeight="1" x14ac:dyDescent="0.3">
      <c r="A207" s="1"/>
      <c r="B207" s="137"/>
      <c r="C207" s="137"/>
      <c r="D207" s="2"/>
      <c r="E207" s="15"/>
      <c r="F207" s="194"/>
      <c r="G207" s="3"/>
      <c r="H207" s="1"/>
      <c r="I207" s="2"/>
      <c r="J207" s="1"/>
      <c r="K207" s="2"/>
      <c r="L207" s="1"/>
      <c r="M207" s="2"/>
      <c r="N207" s="16"/>
    </row>
    <row r="208" spans="1:14" ht="14.25" customHeight="1" x14ac:dyDescent="0.3">
      <c r="A208" s="1"/>
      <c r="B208" s="137"/>
      <c r="C208" s="137"/>
      <c r="D208" s="2"/>
      <c r="E208" s="15"/>
      <c r="F208" s="194"/>
      <c r="G208" s="3"/>
      <c r="H208" s="1"/>
      <c r="I208" s="2"/>
      <c r="J208" s="1"/>
      <c r="K208" s="2"/>
      <c r="L208" s="1"/>
      <c r="M208" s="2"/>
      <c r="N208" s="16"/>
    </row>
    <row r="209" spans="1:14" ht="14.25" customHeight="1" x14ac:dyDescent="0.3">
      <c r="A209" s="1"/>
      <c r="B209" s="137"/>
      <c r="C209" s="137"/>
      <c r="D209" s="2"/>
      <c r="E209" s="15"/>
      <c r="F209" s="194"/>
      <c r="G209" s="3"/>
      <c r="H209" s="1"/>
      <c r="I209" s="2"/>
      <c r="J209" s="1"/>
      <c r="K209" s="2"/>
      <c r="L209" s="1"/>
      <c r="M209" s="2"/>
      <c r="N209" s="16"/>
    </row>
    <row r="210" spans="1:14" ht="14.25" customHeight="1" x14ac:dyDescent="0.3">
      <c r="A210" s="1"/>
      <c r="B210" s="137"/>
      <c r="C210" s="137"/>
      <c r="D210" s="2"/>
      <c r="E210" s="15"/>
      <c r="F210" s="194"/>
      <c r="G210" s="3"/>
      <c r="H210" s="1"/>
      <c r="I210" s="2"/>
      <c r="J210" s="1"/>
      <c r="K210" s="2"/>
      <c r="L210" s="1"/>
      <c r="M210" s="2"/>
      <c r="N210" s="16"/>
    </row>
    <row r="211" spans="1:14" ht="14.25" customHeight="1" x14ac:dyDescent="0.3">
      <c r="A211" s="1"/>
      <c r="B211" s="137"/>
      <c r="C211" s="137"/>
      <c r="D211" s="2"/>
      <c r="E211" s="15"/>
      <c r="F211" s="194"/>
      <c r="G211" s="3"/>
      <c r="H211" s="1"/>
      <c r="I211" s="2"/>
      <c r="J211" s="1"/>
      <c r="K211" s="2"/>
      <c r="L211" s="1"/>
      <c r="M211" s="2"/>
      <c r="N211" s="16"/>
    </row>
    <row r="212" spans="1:14" ht="14.25" customHeight="1" x14ac:dyDescent="0.3">
      <c r="A212" s="1"/>
      <c r="B212" s="137"/>
      <c r="C212" s="137"/>
      <c r="D212" s="2"/>
      <c r="E212" s="15"/>
      <c r="F212" s="194"/>
      <c r="G212" s="3"/>
      <c r="H212" s="1"/>
      <c r="I212" s="2"/>
      <c r="J212" s="1"/>
      <c r="K212" s="2"/>
      <c r="L212" s="1"/>
      <c r="M212" s="2"/>
      <c r="N212" s="16"/>
    </row>
    <row r="213" spans="1:14" ht="14.25" customHeight="1" x14ac:dyDescent="0.3">
      <c r="A213" s="1"/>
      <c r="B213" s="137"/>
      <c r="C213" s="137"/>
      <c r="D213" s="2"/>
      <c r="E213" s="15"/>
      <c r="F213" s="194"/>
      <c r="G213" s="3"/>
      <c r="H213" s="1"/>
      <c r="I213" s="2"/>
      <c r="J213" s="1"/>
      <c r="K213" s="2"/>
      <c r="L213" s="1"/>
      <c r="M213" s="2"/>
      <c r="N213" s="16"/>
    </row>
    <row r="214" spans="1:14" ht="14.25" customHeight="1" x14ac:dyDescent="0.3">
      <c r="A214" s="1"/>
      <c r="B214" s="137"/>
      <c r="C214" s="137"/>
      <c r="D214" s="2"/>
      <c r="E214" s="15"/>
      <c r="F214" s="194"/>
      <c r="G214" s="3"/>
      <c r="H214" s="1"/>
      <c r="I214" s="2"/>
      <c r="J214" s="1"/>
      <c r="K214" s="2"/>
      <c r="L214" s="1"/>
      <c r="M214" s="2"/>
      <c r="N214" s="16"/>
    </row>
    <row r="215" spans="1:14" ht="14.25" customHeight="1" x14ac:dyDescent="0.3">
      <c r="A215" s="1"/>
      <c r="B215" s="137"/>
      <c r="C215" s="137"/>
      <c r="D215" s="2"/>
      <c r="E215" s="15"/>
      <c r="F215" s="194"/>
      <c r="G215" s="3"/>
      <c r="H215" s="1"/>
      <c r="I215" s="2"/>
      <c r="J215" s="1"/>
      <c r="K215" s="2"/>
      <c r="L215" s="1"/>
      <c r="M215" s="2"/>
      <c r="N215" s="16"/>
    </row>
    <row r="216" spans="1:14" ht="14.25" customHeight="1" x14ac:dyDescent="0.3">
      <c r="A216" s="1"/>
      <c r="B216" s="137"/>
      <c r="C216" s="137"/>
      <c r="D216" s="2"/>
      <c r="E216" s="15"/>
      <c r="F216" s="194"/>
      <c r="G216" s="3"/>
      <c r="H216" s="1"/>
      <c r="I216" s="2"/>
      <c r="J216" s="1"/>
      <c r="K216" s="2"/>
      <c r="L216" s="1"/>
      <c r="M216" s="2"/>
      <c r="N216" s="16"/>
    </row>
    <row r="217" spans="1:14" ht="14.25" customHeight="1" x14ac:dyDescent="0.3">
      <c r="A217" s="1"/>
      <c r="B217" s="137"/>
      <c r="C217" s="137"/>
      <c r="D217" s="2"/>
      <c r="E217" s="15"/>
      <c r="F217" s="194"/>
      <c r="G217" s="3"/>
      <c r="H217" s="1"/>
      <c r="I217" s="2"/>
      <c r="J217" s="1"/>
      <c r="K217" s="2"/>
      <c r="L217" s="1"/>
      <c r="M217" s="2"/>
      <c r="N217" s="16"/>
    </row>
    <row r="218" spans="1:14" ht="14.25" customHeight="1" x14ac:dyDescent="0.3">
      <c r="A218" s="1"/>
      <c r="B218" s="137"/>
      <c r="C218" s="137"/>
      <c r="D218" s="2"/>
      <c r="E218" s="15"/>
      <c r="F218" s="194"/>
      <c r="G218" s="3"/>
      <c r="H218" s="1"/>
      <c r="I218" s="2"/>
      <c r="J218" s="1"/>
      <c r="K218" s="2"/>
      <c r="L218" s="1"/>
      <c r="M218" s="2"/>
      <c r="N218" s="16"/>
    </row>
    <row r="219" spans="1:14" ht="14.25" customHeight="1" x14ac:dyDescent="0.3">
      <c r="A219" s="1"/>
      <c r="B219" s="137"/>
      <c r="C219" s="137"/>
      <c r="D219" s="2"/>
      <c r="E219" s="15"/>
      <c r="F219" s="194"/>
      <c r="G219" s="3"/>
      <c r="H219" s="1"/>
      <c r="I219" s="2"/>
      <c r="J219" s="1"/>
      <c r="K219" s="2"/>
      <c r="L219" s="1"/>
      <c r="M219" s="2"/>
      <c r="N219" s="16"/>
    </row>
    <row r="220" spans="1:14" ht="14.25" customHeight="1" x14ac:dyDescent="0.3">
      <c r="A220" s="1"/>
      <c r="B220" s="137"/>
      <c r="C220" s="137"/>
      <c r="D220" s="2"/>
      <c r="E220" s="15"/>
      <c r="F220" s="194"/>
      <c r="G220" s="3"/>
      <c r="H220" s="1"/>
      <c r="I220" s="2"/>
      <c r="J220" s="1"/>
      <c r="K220" s="2"/>
      <c r="L220" s="1"/>
      <c r="M220" s="2"/>
      <c r="N220" s="16"/>
    </row>
    <row r="221" spans="1:14" ht="14.25" customHeight="1" x14ac:dyDescent="0.3">
      <c r="A221" s="1"/>
      <c r="B221" s="137"/>
      <c r="C221" s="137"/>
      <c r="D221" s="2"/>
      <c r="E221" s="15"/>
      <c r="F221" s="194"/>
      <c r="G221" s="3"/>
      <c r="H221" s="1"/>
      <c r="I221" s="2"/>
      <c r="J221" s="1"/>
      <c r="K221" s="2"/>
      <c r="L221" s="1"/>
      <c r="M221" s="2"/>
      <c r="N221" s="16"/>
    </row>
    <row r="222" spans="1:14" ht="14.25" customHeight="1" x14ac:dyDescent="0.3">
      <c r="A222" s="1"/>
      <c r="B222" s="137"/>
      <c r="C222" s="137"/>
      <c r="D222" s="2"/>
      <c r="E222" s="15"/>
      <c r="F222" s="194"/>
      <c r="G222" s="3"/>
      <c r="H222" s="1"/>
      <c r="I222" s="2"/>
      <c r="J222" s="1"/>
      <c r="K222" s="2"/>
      <c r="L222" s="1"/>
      <c r="M222" s="2"/>
      <c r="N222" s="16"/>
    </row>
    <row r="223" spans="1:14" ht="14.25" customHeight="1" x14ac:dyDescent="0.3">
      <c r="A223" s="1"/>
      <c r="B223" s="137"/>
      <c r="C223" s="137"/>
      <c r="D223" s="2"/>
      <c r="E223" s="15"/>
      <c r="F223" s="194"/>
      <c r="G223" s="3"/>
      <c r="H223" s="1"/>
      <c r="I223" s="2"/>
      <c r="J223" s="1"/>
      <c r="K223" s="2"/>
      <c r="L223" s="1"/>
      <c r="M223" s="2"/>
      <c r="N223" s="16"/>
    </row>
    <row r="224" spans="1:14" ht="14.25" customHeight="1" x14ac:dyDescent="0.3">
      <c r="A224" s="1"/>
      <c r="B224" s="137"/>
      <c r="C224" s="137"/>
      <c r="D224" s="2"/>
      <c r="E224" s="15"/>
      <c r="F224" s="194"/>
      <c r="G224" s="3"/>
      <c r="H224" s="1"/>
      <c r="I224" s="2"/>
      <c r="J224" s="1"/>
      <c r="K224" s="2"/>
      <c r="L224" s="1"/>
      <c r="M224" s="2"/>
      <c r="N224" s="16"/>
    </row>
    <row r="225" spans="1:14" ht="14.25" customHeight="1" x14ac:dyDescent="0.3">
      <c r="A225" s="1"/>
      <c r="B225" s="137"/>
      <c r="C225" s="137"/>
      <c r="D225" s="2"/>
      <c r="E225" s="15"/>
      <c r="F225" s="194"/>
      <c r="G225" s="3"/>
      <c r="H225" s="1"/>
      <c r="I225" s="2"/>
      <c r="J225" s="1"/>
      <c r="K225" s="2"/>
      <c r="L225" s="1"/>
      <c r="M225" s="2"/>
      <c r="N225" s="16"/>
    </row>
    <row r="226" spans="1:14" ht="14.25" customHeight="1" x14ac:dyDescent="0.3">
      <c r="A226" s="1"/>
      <c r="B226" s="137"/>
      <c r="C226" s="137"/>
      <c r="D226" s="2"/>
      <c r="E226" s="15"/>
      <c r="F226" s="194"/>
      <c r="G226" s="3"/>
      <c r="H226" s="1"/>
      <c r="I226" s="2"/>
      <c r="J226" s="1"/>
      <c r="K226" s="2"/>
      <c r="L226" s="1"/>
      <c r="M226" s="2"/>
      <c r="N226" s="16"/>
    </row>
    <row r="227" spans="1:14" ht="14.25" customHeight="1" x14ac:dyDescent="0.3">
      <c r="A227" s="1"/>
      <c r="B227" s="137"/>
      <c r="C227" s="137"/>
      <c r="D227" s="2"/>
      <c r="E227" s="15"/>
      <c r="F227" s="194"/>
      <c r="G227" s="3"/>
      <c r="H227" s="1"/>
      <c r="I227" s="2"/>
      <c r="J227" s="1"/>
      <c r="K227" s="2"/>
      <c r="L227" s="1"/>
      <c r="M227" s="2"/>
      <c r="N227" s="16"/>
    </row>
    <row r="228" spans="1:14" ht="14.25" customHeight="1" x14ac:dyDescent="0.3">
      <c r="A228" s="1"/>
      <c r="B228" s="137"/>
      <c r="C228" s="137"/>
      <c r="D228" s="2"/>
      <c r="E228" s="15"/>
      <c r="F228" s="194"/>
      <c r="G228" s="3"/>
      <c r="H228" s="1"/>
      <c r="I228" s="2"/>
      <c r="J228" s="1"/>
      <c r="K228" s="2"/>
      <c r="L228" s="1"/>
      <c r="M228" s="2"/>
      <c r="N228" s="16"/>
    </row>
    <row r="229" spans="1:14" ht="14.25" customHeight="1" x14ac:dyDescent="0.3">
      <c r="A229" s="1"/>
      <c r="B229" s="137"/>
      <c r="C229" s="137"/>
      <c r="D229" s="2"/>
      <c r="E229" s="15"/>
      <c r="F229" s="194"/>
      <c r="G229" s="3"/>
      <c r="H229" s="1"/>
      <c r="I229" s="2"/>
      <c r="J229" s="1"/>
      <c r="K229" s="2"/>
      <c r="L229" s="1"/>
      <c r="M229" s="2"/>
      <c r="N229" s="16"/>
    </row>
    <row r="230" spans="1:14" ht="14.25" customHeight="1" x14ac:dyDescent="0.3">
      <c r="A230" s="1"/>
      <c r="B230" s="137"/>
      <c r="C230" s="137"/>
      <c r="D230" s="2"/>
      <c r="E230" s="15"/>
      <c r="F230" s="194"/>
      <c r="G230" s="3"/>
      <c r="H230" s="1"/>
      <c r="I230" s="2"/>
      <c r="J230" s="1"/>
      <c r="K230" s="2"/>
      <c r="L230" s="1"/>
      <c r="M230" s="2"/>
      <c r="N230" s="16"/>
    </row>
    <row r="231" spans="1:14" ht="14.25" customHeight="1" x14ac:dyDescent="0.3">
      <c r="A231" s="1"/>
      <c r="B231" s="137"/>
      <c r="C231" s="137"/>
      <c r="D231" s="2"/>
      <c r="E231" s="15"/>
      <c r="F231" s="194"/>
      <c r="G231" s="3"/>
      <c r="H231" s="1"/>
      <c r="I231" s="2"/>
      <c r="J231" s="1"/>
      <c r="K231" s="2"/>
      <c r="L231" s="1"/>
      <c r="M231" s="2"/>
      <c r="N231" s="16"/>
    </row>
    <row r="232" spans="1:14" ht="14.25" customHeight="1" x14ac:dyDescent="0.3">
      <c r="A232" s="1"/>
      <c r="B232" s="137"/>
      <c r="C232" s="137"/>
      <c r="D232" s="2"/>
      <c r="E232" s="15"/>
      <c r="F232" s="194"/>
      <c r="G232" s="3"/>
      <c r="H232" s="1"/>
      <c r="I232" s="2"/>
      <c r="J232" s="1"/>
      <c r="K232" s="2"/>
      <c r="L232" s="1"/>
      <c r="M232" s="2"/>
      <c r="N232" s="16"/>
    </row>
    <row r="233" spans="1:14" ht="14.25" customHeight="1" x14ac:dyDescent="0.3">
      <c r="A233" s="1"/>
      <c r="B233" s="137"/>
      <c r="C233" s="137"/>
      <c r="D233" s="2"/>
      <c r="E233" s="15"/>
      <c r="F233" s="194"/>
      <c r="G233" s="3"/>
      <c r="H233" s="1"/>
      <c r="I233" s="2"/>
      <c r="J233" s="1"/>
      <c r="K233" s="2"/>
      <c r="L233" s="1"/>
      <c r="M233" s="2"/>
      <c r="N233" s="16"/>
    </row>
    <row r="234" spans="1:14" ht="14.25" customHeight="1" x14ac:dyDescent="0.3">
      <c r="A234" s="1"/>
      <c r="B234" s="137"/>
      <c r="C234" s="137"/>
      <c r="D234" s="2"/>
      <c r="E234" s="15"/>
      <c r="F234" s="194"/>
      <c r="G234" s="3"/>
      <c r="H234" s="1"/>
      <c r="I234" s="2"/>
      <c r="J234" s="1"/>
      <c r="K234" s="2"/>
      <c r="L234" s="1"/>
      <c r="M234" s="2"/>
      <c r="N234" s="16"/>
    </row>
    <row r="235" spans="1:14" ht="14.25" customHeight="1" x14ac:dyDescent="0.3">
      <c r="A235" s="1"/>
      <c r="B235" s="137"/>
      <c r="C235" s="137"/>
      <c r="D235" s="2"/>
      <c r="E235" s="15"/>
      <c r="F235" s="194"/>
      <c r="G235" s="3"/>
      <c r="H235" s="1"/>
      <c r="I235" s="2"/>
      <c r="J235" s="1"/>
      <c r="K235" s="2"/>
      <c r="L235" s="1"/>
      <c r="M235" s="2"/>
      <c r="N235" s="16"/>
    </row>
    <row r="236" spans="1:14" ht="14.25" customHeight="1" x14ac:dyDescent="0.3">
      <c r="A236" s="1"/>
      <c r="B236" s="137"/>
      <c r="C236" s="137"/>
      <c r="D236" s="2"/>
      <c r="E236" s="15"/>
      <c r="F236" s="194"/>
      <c r="G236" s="3"/>
      <c r="H236" s="1"/>
      <c r="I236" s="2"/>
      <c r="J236" s="1"/>
      <c r="K236" s="2"/>
      <c r="L236" s="1"/>
      <c r="M236" s="2"/>
      <c r="N236" s="16"/>
    </row>
    <row r="237" spans="1:14" ht="14.25" customHeight="1" x14ac:dyDescent="0.3">
      <c r="A237" s="1"/>
      <c r="B237" s="137"/>
      <c r="C237" s="137"/>
      <c r="D237" s="2"/>
      <c r="E237" s="15"/>
      <c r="F237" s="194"/>
      <c r="G237" s="3"/>
      <c r="H237" s="1"/>
      <c r="I237" s="2"/>
      <c r="J237" s="1"/>
      <c r="K237" s="2"/>
      <c r="L237" s="1"/>
      <c r="M237" s="2"/>
      <c r="N237" s="16"/>
    </row>
    <row r="238" spans="1:14" ht="14.25" customHeight="1" x14ac:dyDescent="0.3">
      <c r="A238" s="1"/>
      <c r="B238" s="137"/>
      <c r="C238" s="137"/>
      <c r="D238" s="2"/>
      <c r="E238" s="15"/>
      <c r="F238" s="194"/>
      <c r="G238" s="3"/>
      <c r="H238" s="1"/>
      <c r="I238" s="2"/>
      <c r="J238" s="1"/>
      <c r="K238" s="2"/>
      <c r="L238" s="1"/>
      <c r="M238" s="2"/>
      <c r="N238" s="16"/>
    </row>
    <row r="239" spans="1:14" ht="14.25" customHeight="1" x14ac:dyDescent="0.3">
      <c r="A239" s="1"/>
      <c r="B239" s="137"/>
      <c r="C239" s="137"/>
      <c r="D239" s="2"/>
      <c r="E239" s="15"/>
      <c r="F239" s="194"/>
      <c r="G239" s="3"/>
      <c r="H239" s="1"/>
      <c r="I239" s="2"/>
      <c r="J239" s="1"/>
      <c r="K239" s="2"/>
      <c r="L239" s="1"/>
      <c r="M239" s="2"/>
      <c r="N239" s="16"/>
    </row>
    <row r="240" spans="1:14" ht="14.25" customHeight="1" x14ac:dyDescent="0.3">
      <c r="A240" s="1"/>
      <c r="B240" s="137"/>
      <c r="C240" s="137"/>
      <c r="D240" s="2"/>
      <c r="E240" s="15"/>
      <c r="F240" s="194"/>
      <c r="G240" s="3"/>
      <c r="H240" s="1"/>
      <c r="I240" s="2"/>
      <c r="J240" s="1"/>
      <c r="K240" s="2"/>
      <c r="L240" s="1"/>
      <c r="M240" s="2"/>
      <c r="N240" s="16"/>
    </row>
    <row r="241" spans="1:14" ht="14.25" customHeight="1" x14ac:dyDescent="0.3">
      <c r="A241" s="1"/>
      <c r="B241" s="137"/>
      <c r="C241" s="137"/>
      <c r="D241" s="2"/>
      <c r="E241" s="15"/>
      <c r="F241" s="194"/>
      <c r="G241" s="3"/>
      <c r="H241" s="1"/>
      <c r="I241" s="2"/>
      <c r="J241" s="1"/>
      <c r="K241" s="2"/>
      <c r="L241" s="1"/>
      <c r="M241" s="2"/>
      <c r="N241" s="16"/>
    </row>
    <row r="242" spans="1:14" ht="14.25" customHeight="1" x14ac:dyDescent="0.3">
      <c r="A242" s="1"/>
      <c r="B242" s="137"/>
      <c r="C242" s="137"/>
      <c r="D242" s="2"/>
      <c r="E242" s="15"/>
      <c r="F242" s="194"/>
      <c r="G242" s="3"/>
      <c r="H242" s="1"/>
      <c r="I242" s="2"/>
      <c r="J242" s="1"/>
      <c r="K242" s="2"/>
      <c r="L242" s="1"/>
      <c r="M242" s="2"/>
      <c r="N242" s="16"/>
    </row>
    <row r="243" spans="1:14" ht="14.25" customHeight="1" x14ac:dyDescent="0.3">
      <c r="A243" s="1"/>
      <c r="B243" s="137"/>
      <c r="C243" s="137"/>
      <c r="D243" s="2"/>
      <c r="E243" s="15"/>
      <c r="F243" s="194"/>
      <c r="G243" s="3"/>
      <c r="H243" s="1"/>
      <c r="I243" s="2"/>
      <c r="J243" s="1"/>
      <c r="K243" s="2"/>
      <c r="L243" s="1"/>
      <c r="M243" s="2"/>
      <c r="N243" s="16"/>
    </row>
    <row r="244" spans="1:14" ht="14.25" customHeight="1" x14ac:dyDescent="0.3">
      <c r="A244" s="1"/>
      <c r="B244" s="137"/>
      <c r="C244" s="137"/>
      <c r="D244" s="2"/>
      <c r="E244" s="15"/>
      <c r="F244" s="194"/>
      <c r="G244" s="3"/>
      <c r="H244" s="1"/>
      <c r="I244" s="2"/>
      <c r="J244" s="1"/>
      <c r="K244" s="2"/>
      <c r="L244" s="1"/>
      <c r="M244" s="2"/>
      <c r="N244" s="16"/>
    </row>
    <row r="245" spans="1:14" ht="14.25" customHeight="1" x14ac:dyDescent="0.3">
      <c r="A245" s="1"/>
      <c r="B245" s="137"/>
      <c r="C245" s="137"/>
      <c r="D245" s="2"/>
      <c r="E245" s="15"/>
      <c r="F245" s="194"/>
      <c r="G245" s="3"/>
      <c r="H245" s="1"/>
      <c r="I245" s="2"/>
      <c r="J245" s="1"/>
      <c r="K245" s="2"/>
      <c r="L245" s="1"/>
      <c r="M245" s="2"/>
      <c r="N245" s="16"/>
    </row>
    <row r="246" spans="1:14" ht="14.25" customHeight="1" x14ac:dyDescent="0.3">
      <c r="A246" s="1"/>
      <c r="B246" s="137"/>
      <c r="C246" s="137"/>
      <c r="D246" s="2"/>
      <c r="E246" s="15"/>
      <c r="F246" s="194"/>
      <c r="G246" s="3"/>
      <c r="H246" s="1"/>
      <c r="I246" s="2"/>
      <c r="J246" s="1"/>
      <c r="K246" s="2"/>
      <c r="L246" s="1"/>
      <c r="M246" s="2"/>
      <c r="N246" s="16"/>
    </row>
    <row r="247" spans="1:14" ht="14.25" customHeight="1" x14ac:dyDescent="0.3">
      <c r="A247" s="1"/>
      <c r="B247" s="137"/>
      <c r="C247" s="137"/>
      <c r="D247" s="2"/>
      <c r="E247" s="15"/>
      <c r="F247" s="194"/>
      <c r="G247" s="3"/>
      <c r="H247" s="1"/>
      <c r="I247" s="2"/>
      <c r="J247" s="1"/>
      <c r="K247" s="2"/>
      <c r="L247" s="1"/>
      <c r="M247" s="2"/>
      <c r="N247" s="16"/>
    </row>
    <row r="248" spans="1:14" ht="14.25" customHeight="1" x14ac:dyDescent="0.3">
      <c r="A248" s="1"/>
      <c r="B248" s="137"/>
      <c r="C248" s="137"/>
      <c r="D248" s="2"/>
      <c r="E248" s="15"/>
      <c r="F248" s="194"/>
      <c r="G248" s="3"/>
      <c r="H248" s="1"/>
      <c r="I248" s="2"/>
      <c r="J248" s="1"/>
      <c r="K248" s="2"/>
      <c r="L248" s="1"/>
      <c r="M248" s="2"/>
      <c r="N248" s="16"/>
    </row>
    <row r="249" spans="1:14" ht="14.25" customHeight="1" x14ac:dyDescent="0.3">
      <c r="A249" s="1"/>
      <c r="B249" s="137"/>
      <c r="C249" s="137"/>
      <c r="D249" s="2"/>
      <c r="E249" s="15"/>
      <c r="F249" s="194"/>
      <c r="G249" s="3"/>
      <c r="H249" s="1"/>
      <c r="I249" s="2"/>
      <c r="J249" s="1"/>
      <c r="K249" s="2"/>
      <c r="L249" s="1"/>
      <c r="M249" s="2"/>
      <c r="N249" s="16"/>
    </row>
    <row r="250" spans="1:14" ht="14.25" customHeight="1" x14ac:dyDescent="0.3">
      <c r="A250" s="1"/>
      <c r="B250" s="137"/>
      <c r="C250" s="137"/>
      <c r="D250" s="2"/>
      <c r="E250" s="15"/>
      <c r="F250" s="194"/>
      <c r="G250" s="3"/>
      <c r="H250" s="1"/>
      <c r="I250" s="2"/>
      <c r="J250" s="1"/>
      <c r="K250" s="2"/>
      <c r="L250" s="1"/>
      <c r="M250" s="2"/>
      <c r="N250" s="16"/>
    </row>
    <row r="251" spans="1:14" ht="14.25" customHeight="1" x14ac:dyDescent="0.3">
      <c r="A251" s="1"/>
      <c r="B251" s="137"/>
      <c r="C251" s="137"/>
      <c r="D251" s="2"/>
      <c r="E251" s="15"/>
      <c r="F251" s="194"/>
      <c r="G251" s="3"/>
      <c r="H251" s="1"/>
      <c r="I251" s="2"/>
      <c r="J251" s="1"/>
      <c r="K251" s="2"/>
      <c r="L251" s="1"/>
      <c r="M251" s="2"/>
      <c r="N251" s="16"/>
    </row>
    <row r="252" spans="1:14" ht="14.25" customHeight="1" x14ac:dyDescent="0.3">
      <c r="A252" s="1"/>
      <c r="B252" s="137"/>
      <c r="C252" s="137"/>
      <c r="D252" s="2"/>
      <c r="E252" s="15"/>
      <c r="F252" s="194"/>
      <c r="G252" s="3"/>
      <c r="H252" s="1"/>
      <c r="I252" s="2"/>
      <c r="J252" s="1"/>
      <c r="K252" s="2"/>
      <c r="L252" s="1"/>
      <c r="M252" s="2"/>
      <c r="N252" s="16"/>
    </row>
    <row r="253" spans="1:14" ht="14.25" customHeight="1" x14ac:dyDescent="0.3">
      <c r="A253" s="1"/>
      <c r="B253" s="137"/>
      <c r="C253" s="137"/>
      <c r="D253" s="2"/>
      <c r="E253" s="15"/>
      <c r="F253" s="194"/>
      <c r="G253" s="3"/>
      <c r="H253" s="1"/>
      <c r="I253" s="2"/>
      <c r="J253" s="1"/>
      <c r="K253" s="2"/>
      <c r="L253" s="1"/>
      <c r="M253" s="2"/>
      <c r="N253" s="16"/>
    </row>
    <row r="254" spans="1:14" ht="14.25" customHeight="1" x14ac:dyDescent="0.3">
      <c r="A254" s="1"/>
      <c r="B254" s="137"/>
      <c r="C254" s="137"/>
      <c r="D254" s="2"/>
      <c r="E254" s="15"/>
      <c r="F254" s="194"/>
      <c r="G254" s="3"/>
      <c r="H254" s="1"/>
      <c r="I254" s="2"/>
      <c r="J254" s="1"/>
      <c r="K254" s="2"/>
      <c r="L254" s="1"/>
      <c r="M254" s="2"/>
      <c r="N254" s="16"/>
    </row>
    <row r="255" spans="1:14" ht="14.25" customHeight="1" x14ac:dyDescent="0.3">
      <c r="A255" s="1"/>
      <c r="B255" s="137"/>
      <c r="C255" s="137"/>
      <c r="D255" s="2"/>
      <c r="E255" s="15"/>
      <c r="F255" s="194"/>
      <c r="G255" s="3"/>
      <c r="H255" s="1"/>
      <c r="I255" s="2"/>
      <c r="J255" s="1"/>
      <c r="K255" s="2"/>
      <c r="L255" s="1"/>
      <c r="M255" s="2"/>
      <c r="N255" s="16"/>
    </row>
    <row r="256" spans="1:14" ht="14.25" customHeight="1" x14ac:dyDescent="0.3">
      <c r="A256" s="1"/>
      <c r="B256" s="137"/>
      <c r="C256" s="137"/>
      <c r="D256" s="2"/>
      <c r="E256" s="15"/>
      <c r="F256" s="194"/>
      <c r="G256" s="3"/>
      <c r="H256" s="1"/>
      <c r="I256" s="2"/>
      <c r="J256" s="1"/>
      <c r="K256" s="2"/>
      <c r="L256" s="1"/>
      <c r="M256" s="2"/>
      <c r="N256" s="16"/>
    </row>
    <row r="257" spans="1:14" ht="14.25" customHeight="1" x14ac:dyDescent="0.3">
      <c r="A257" s="1"/>
      <c r="B257" s="137"/>
      <c r="C257" s="137"/>
      <c r="D257" s="2"/>
      <c r="E257" s="15"/>
      <c r="F257" s="194"/>
      <c r="G257" s="3"/>
      <c r="H257" s="1"/>
      <c r="I257" s="2"/>
      <c r="J257" s="1"/>
      <c r="K257" s="2"/>
      <c r="L257" s="1"/>
      <c r="M257" s="2"/>
      <c r="N257" s="16"/>
    </row>
    <row r="258" spans="1:14" ht="14.25" customHeight="1" x14ac:dyDescent="0.3">
      <c r="A258" s="1"/>
      <c r="B258" s="137"/>
      <c r="C258" s="137"/>
      <c r="D258" s="2"/>
      <c r="E258" s="15"/>
      <c r="F258" s="194"/>
      <c r="G258" s="3"/>
      <c r="H258" s="1"/>
      <c r="I258" s="2"/>
      <c r="J258" s="1"/>
      <c r="K258" s="2"/>
      <c r="L258" s="1"/>
      <c r="M258" s="2"/>
      <c r="N258" s="16"/>
    </row>
    <row r="259" spans="1:14" ht="14.25" customHeight="1" x14ac:dyDescent="0.3">
      <c r="A259" s="1"/>
      <c r="B259" s="137"/>
      <c r="C259" s="137"/>
      <c r="D259" s="2"/>
      <c r="E259" s="15"/>
      <c r="F259" s="194"/>
      <c r="G259" s="3"/>
      <c r="H259" s="1"/>
      <c r="I259" s="2"/>
      <c r="J259" s="1"/>
      <c r="K259" s="2"/>
      <c r="L259" s="1"/>
      <c r="M259" s="2"/>
      <c r="N259" s="16"/>
    </row>
    <row r="260" spans="1:14" ht="14.25" customHeight="1" x14ac:dyDescent="0.3">
      <c r="A260" s="1"/>
      <c r="B260" s="137"/>
      <c r="C260" s="137"/>
      <c r="D260" s="2"/>
      <c r="E260" s="15"/>
      <c r="F260" s="194"/>
      <c r="G260" s="3"/>
      <c r="H260" s="1"/>
      <c r="I260" s="2"/>
      <c r="J260" s="1"/>
      <c r="K260" s="2"/>
      <c r="L260" s="1"/>
      <c r="M260" s="2"/>
      <c r="N260" s="16"/>
    </row>
    <row r="261" spans="1:14" ht="14.25" customHeight="1" x14ac:dyDescent="0.3">
      <c r="A261" s="1"/>
      <c r="B261" s="137"/>
      <c r="C261" s="137"/>
      <c r="D261" s="2"/>
      <c r="E261" s="15"/>
      <c r="F261" s="194"/>
      <c r="G261" s="3"/>
      <c r="H261" s="1"/>
      <c r="I261" s="2"/>
      <c r="J261" s="1"/>
      <c r="K261" s="2"/>
      <c r="L261" s="1"/>
      <c r="M261" s="2"/>
      <c r="N261" s="16"/>
    </row>
    <row r="262" spans="1:14" ht="14.25" customHeight="1" x14ac:dyDescent="0.3">
      <c r="A262" s="1"/>
      <c r="B262" s="137"/>
      <c r="C262" s="137"/>
      <c r="D262" s="2"/>
      <c r="E262" s="15"/>
      <c r="F262" s="194"/>
      <c r="G262" s="3"/>
      <c r="H262" s="1"/>
      <c r="I262" s="2"/>
      <c r="J262" s="1"/>
      <c r="K262" s="2"/>
      <c r="L262" s="1"/>
      <c r="M262" s="2"/>
      <c r="N262" s="16"/>
    </row>
    <row r="263" spans="1:14" ht="14.25" customHeight="1" x14ac:dyDescent="0.3">
      <c r="A263" s="1"/>
      <c r="B263" s="137"/>
      <c r="C263" s="137"/>
      <c r="D263" s="2"/>
      <c r="E263" s="15"/>
      <c r="F263" s="194"/>
      <c r="G263" s="3"/>
      <c r="H263" s="1"/>
      <c r="I263" s="2"/>
      <c r="J263" s="1"/>
      <c r="K263" s="2"/>
      <c r="L263" s="1"/>
      <c r="M263" s="2"/>
      <c r="N263" s="16"/>
    </row>
    <row r="264" spans="1:14" ht="14.25" customHeight="1" x14ac:dyDescent="0.3">
      <c r="A264" s="1"/>
      <c r="B264" s="137"/>
      <c r="C264" s="137"/>
      <c r="D264" s="2"/>
      <c r="E264" s="15"/>
      <c r="F264" s="194"/>
      <c r="G264" s="3"/>
      <c r="H264" s="1"/>
      <c r="I264" s="2"/>
      <c r="J264" s="1"/>
      <c r="K264" s="2"/>
      <c r="L264" s="1"/>
      <c r="M264" s="2"/>
      <c r="N264" s="16"/>
    </row>
    <row r="265" spans="1:14" ht="14.25" customHeight="1" x14ac:dyDescent="0.3">
      <c r="A265" s="1"/>
      <c r="B265" s="137"/>
      <c r="C265" s="137"/>
      <c r="D265" s="2"/>
      <c r="E265" s="15"/>
      <c r="F265" s="194"/>
      <c r="G265" s="3"/>
      <c r="H265" s="1"/>
      <c r="I265" s="2"/>
      <c r="J265" s="1"/>
      <c r="K265" s="2"/>
      <c r="L265" s="1"/>
      <c r="M265" s="2"/>
      <c r="N265" s="16"/>
    </row>
    <row r="266" spans="1:14" ht="14.25" customHeight="1" x14ac:dyDescent="0.3">
      <c r="A266" s="1"/>
      <c r="B266" s="137"/>
      <c r="C266" s="137"/>
      <c r="D266" s="2"/>
      <c r="E266" s="15"/>
      <c r="F266" s="194"/>
      <c r="G266" s="3"/>
      <c r="H266" s="1"/>
      <c r="I266" s="2"/>
      <c r="J266" s="1"/>
      <c r="K266" s="2"/>
      <c r="L266" s="1"/>
      <c r="M266" s="2"/>
      <c r="N266" s="16"/>
    </row>
    <row r="267" spans="1:14" ht="14.25" customHeight="1" x14ac:dyDescent="0.3">
      <c r="A267" s="1"/>
      <c r="B267" s="137"/>
      <c r="C267" s="137"/>
      <c r="D267" s="2"/>
      <c r="E267" s="15"/>
      <c r="F267" s="194"/>
      <c r="G267" s="3"/>
      <c r="H267" s="1"/>
      <c r="I267" s="2"/>
      <c r="J267" s="1"/>
      <c r="K267" s="2"/>
      <c r="L267" s="1"/>
      <c r="M267" s="2"/>
      <c r="N267" s="16"/>
    </row>
    <row r="268" spans="1:14" ht="14.25" customHeight="1" x14ac:dyDescent="0.3">
      <c r="A268" s="1"/>
      <c r="B268" s="137"/>
      <c r="C268" s="137"/>
      <c r="D268" s="2"/>
      <c r="E268" s="15"/>
      <c r="F268" s="194"/>
      <c r="G268" s="3"/>
      <c r="H268" s="1"/>
      <c r="I268" s="2"/>
      <c r="J268" s="1"/>
      <c r="K268" s="2"/>
      <c r="L268" s="1"/>
      <c r="M268" s="2"/>
      <c r="N268" s="16"/>
    </row>
    <row r="269" spans="1:14" ht="14.25" customHeight="1" x14ac:dyDescent="0.3">
      <c r="A269" s="1"/>
      <c r="B269" s="137"/>
      <c r="C269" s="137"/>
      <c r="D269" s="2"/>
      <c r="E269" s="15"/>
      <c r="F269" s="194"/>
      <c r="G269" s="3"/>
      <c r="H269" s="1"/>
      <c r="I269" s="2"/>
      <c r="J269" s="1"/>
      <c r="K269" s="2"/>
      <c r="L269" s="1"/>
      <c r="M269" s="2"/>
      <c r="N269" s="16"/>
    </row>
    <row r="270" spans="1:14" ht="14.25" customHeight="1" x14ac:dyDescent="0.3">
      <c r="A270" s="1"/>
      <c r="B270" s="137"/>
      <c r="C270" s="137"/>
      <c r="D270" s="2"/>
      <c r="E270" s="15"/>
      <c r="F270" s="194"/>
      <c r="G270" s="3"/>
      <c r="H270" s="1"/>
      <c r="I270" s="2"/>
      <c r="J270" s="1"/>
      <c r="K270" s="2"/>
      <c r="L270" s="1"/>
      <c r="M270" s="2"/>
      <c r="N270" s="16"/>
    </row>
    <row r="271" spans="1:14" ht="14.25" customHeight="1" x14ac:dyDescent="0.3">
      <c r="A271" s="1"/>
      <c r="B271" s="137"/>
      <c r="C271" s="137"/>
      <c r="D271" s="2"/>
      <c r="E271" s="15"/>
      <c r="F271" s="194"/>
      <c r="G271" s="3"/>
      <c r="H271" s="1"/>
      <c r="I271" s="2"/>
      <c r="J271" s="1"/>
      <c r="K271" s="2"/>
      <c r="L271" s="1"/>
      <c r="M271" s="2"/>
      <c r="N271" s="16"/>
    </row>
    <row r="272" spans="1:14" ht="14.25" customHeight="1" x14ac:dyDescent="0.3">
      <c r="A272" s="1"/>
      <c r="B272" s="137"/>
      <c r="C272" s="137"/>
      <c r="D272" s="2"/>
      <c r="E272" s="15"/>
      <c r="F272" s="194"/>
      <c r="G272" s="3"/>
      <c r="H272" s="1"/>
      <c r="I272" s="2"/>
      <c r="J272" s="1"/>
      <c r="K272" s="2"/>
      <c r="L272" s="1"/>
      <c r="M272" s="2"/>
      <c r="N272" s="16"/>
    </row>
    <row r="273" spans="1:14" ht="14.25" customHeight="1" x14ac:dyDescent="0.3">
      <c r="A273" s="1"/>
      <c r="B273" s="137"/>
      <c r="C273" s="137"/>
      <c r="D273" s="2"/>
      <c r="E273" s="15"/>
      <c r="F273" s="194"/>
      <c r="G273" s="3"/>
      <c r="H273" s="1"/>
      <c r="I273" s="2"/>
      <c r="J273" s="1"/>
      <c r="K273" s="2"/>
      <c r="L273" s="1"/>
      <c r="M273" s="2"/>
      <c r="N273" s="16"/>
    </row>
    <row r="274" spans="1:14" ht="14.25" customHeight="1" x14ac:dyDescent="0.3">
      <c r="A274" s="1"/>
      <c r="B274" s="137"/>
      <c r="C274" s="137"/>
      <c r="D274" s="2"/>
      <c r="E274" s="15"/>
      <c r="F274" s="194"/>
      <c r="G274" s="3"/>
      <c r="H274" s="1"/>
      <c r="I274" s="2"/>
      <c r="J274" s="1"/>
      <c r="K274" s="2"/>
      <c r="L274" s="1"/>
      <c r="M274" s="2"/>
      <c r="N274" s="16"/>
    </row>
    <row r="275" spans="1:14" ht="14.25" customHeight="1" x14ac:dyDescent="0.3">
      <c r="A275" s="1"/>
      <c r="B275" s="137"/>
      <c r="C275" s="137"/>
      <c r="D275" s="2"/>
      <c r="E275" s="15"/>
      <c r="F275" s="194"/>
      <c r="G275" s="3"/>
      <c r="H275" s="1"/>
      <c r="I275" s="2"/>
      <c r="J275" s="1"/>
      <c r="K275" s="2"/>
      <c r="L275" s="1"/>
      <c r="M275" s="2"/>
      <c r="N275" s="16"/>
    </row>
    <row r="276" spans="1:14" ht="14.25" customHeight="1" x14ac:dyDescent="0.3">
      <c r="A276" s="1"/>
      <c r="B276" s="137"/>
      <c r="C276" s="137"/>
      <c r="D276" s="2"/>
      <c r="E276" s="15"/>
      <c r="F276" s="194"/>
      <c r="G276" s="3"/>
      <c r="H276" s="1"/>
      <c r="I276" s="2"/>
      <c r="J276" s="1"/>
      <c r="K276" s="2"/>
      <c r="L276" s="1"/>
      <c r="M276" s="2"/>
      <c r="N276" s="16"/>
    </row>
    <row r="277" spans="1:14" ht="14.25" customHeight="1" x14ac:dyDescent="0.3">
      <c r="A277" s="1"/>
      <c r="B277" s="137"/>
      <c r="C277" s="137"/>
      <c r="D277" s="2"/>
      <c r="E277" s="15"/>
      <c r="F277" s="194"/>
      <c r="G277" s="3"/>
      <c r="H277" s="1"/>
      <c r="I277" s="2"/>
      <c r="J277" s="1"/>
      <c r="K277" s="2"/>
      <c r="L277" s="1"/>
      <c r="M277" s="2"/>
      <c r="N277" s="16"/>
    </row>
    <row r="278" spans="1:14" ht="14.25" customHeight="1" x14ac:dyDescent="0.3">
      <c r="A278" s="1"/>
      <c r="B278" s="137"/>
      <c r="C278" s="137"/>
      <c r="D278" s="2"/>
      <c r="E278" s="15"/>
      <c r="F278" s="194"/>
      <c r="G278" s="3"/>
      <c r="H278" s="1"/>
      <c r="I278" s="2"/>
      <c r="J278" s="1"/>
      <c r="K278" s="2"/>
      <c r="L278" s="1"/>
      <c r="M278" s="2"/>
      <c r="N278" s="16"/>
    </row>
    <row r="279" spans="1:14" ht="14.25" customHeight="1" x14ac:dyDescent="0.3">
      <c r="A279" s="1"/>
      <c r="B279" s="137"/>
      <c r="C279" s="137"/>
      <c r="D279" s="2"/>
      <c r="E279" s="15"/>
      <c r="F279" s="194"/>
      <c r="G279" s="3"/>
      <c r="H279" s="1"/>
      <c r="I279" s="2"/>
      <c r="J279" s="1"/>
      <c r="K279" s="2"/>
      <c r="L279" s="1"/>
      <c r="M279" s="2"/>
      <c r="N279" s="16"/>
    </row>
    <row r="280" spans="1:14" ht="14.25" customHeight="1" x14ac:dyDescent="0.3">
      <c r="A280" s="1"/>
      <c r="B280" s="137"/>
      <c r="C280" s="137"/>
      <c r="D280" s="2"/>
      <c r="E280" s="15"/>
      <c r="F280" s="194"/>
      <c r="G280" s="3"/>
      <c r="H280" s="1"/>
      <c r="I280" s="2"/>
      <c r="J280" s="1"/>
      <c r="K280" s="2"/>
      <c r="L280" s="1"/>
      <c r="M280" s="2"/>
      <c r="N280" s="16"/>
    </row>
    <row r="281" spans="1:14" ht="14.25" customHeight="1" x14ac:dyDescent="0.3">
      <c r="A281" s="1"/>
      <c r="B281" s="137"/>
      <c r="C281" s="137"/>
      <c r="D281" s="2"/>
      <c r="E281" s="15"/>
      <c r="F281" s="194"/>
      <c r="G281" s="3"/>
      <c r="H281" s="1"/>
      <c r="I281" s="2"/>
      <c r="J281" s="1"/>
      <c r="K281" s="2"/>
      <c r="L281" s="1"/>
      <c r="M281" s="2"/>
      <c r="N281" s="16"/>
    </row>
    <row r="282" spans="1:14" ht="14.25" customHeight="1" x14ac:dyDescent="0.3">
      <c r="A282" s="1"/>
      <c r="B282" s="137"/>
      <c r="C282" s="137"/>
      <c r="D282" s="2"/>
      <c r="E282" s="15"/>
      <c r="F282" s="194"/>
      <c r="G282" s="3"/>
      <c r="H282" s="1"/>
      <c r="I282" s="2"/>
      <c r="J282" s="1"/>
      <c r="K282" s="2"/>
      <c r="L282" s="1"/>
      <c r="M282" s="2"/>
      <c r="N282" s="16"/>
    </row>
    <row r="283" spans="1:14" ht="14.25" customHeight="1" x14ac:dyDescent="0.3">
      <c r="A283" s="1"/>
      <c r="B283" s="137"/>
      <c r="C283" s="137"/>
      <c r="D283" s="2"/>
      <c r="E283" s="15"/>
      <c r="F283" s="194"/>
      <c r="G283" s="3"/>
      <c r="H283" s="1"/>
      <c r="I283" s="2"/>
      <c r="J283" s="1"/>
      <c r="K283" s="2"/>
      <c r="L283" s="1"/>
      <c r="M283" s="2"/>
      <c r="N283" s="16"/>
    </row>
    <row r="284" spans="1:14" ht="14.25" customHeight="1" x14ac:dyDescent="0.3">
      <c r="A284" s="1"/>
      <c r="B284" s="137"/>
      <c r="C284" s="137"/>
      <c r="D284" s="2"/>
      <c r="E284" s="15"/>
      <c r="F284" s="194"/>
      <c r="G284" s="3"/>
      <c r="H284" s="1"/>
      <c r="I284" s="2"/>
      <c r="J284" s="1"/>
      <c r="K284" s="2"/>
      <c r="L284" s="1"/>
      <c r="M284" s="2"/>
      <c r="N284" s="16"/>
    </row>
    <row r="285" spans="1:14" ht="14.25" customHeight="1" x14ac:dyDescent="0.3">
      <c r="A285" s="1"/>
      <c r="B285" s="137"/>
      <c r="C285" s="137"/>
      <c r="D285" s="2"/>
      <c r="E285" s="15"/>
      <c r="F285" s="194"/>
      <c r="G285" s="3"/>
      <c r="H285" s="1"/>
      <c r="I285" s="2"/>
      <c r="J285" s="1"/>
      <c r="K285" s="2"/>
      <c r="L285" s="1"/>
      <c r="M285" s="2"/>
      <c r="N285" s="16"/>
    </row>
    <row r="286" spans="1:14" ht="14.25" customHeight="1" x14ac:dyDescent="0.3">
      <c r="A286" s="1"/>
      <c r="B286" s="137"/>
      <c r="C286" s="137"/>
      <c r="D286" s="2"/>
      <c r="E286" s="15"/>
      <c r="F286" s="194"/>
      <c r="G286" s="3"/>
      <c r="H286" s="1"/>
      <c r="I286" s="2"/>
      <c r="J286" s="1"/>
      <c r="K286" s="2"/>
      <c r="L286" s="1"/>
      <c r="M286" s="2"/>
      <c r="N286" s="16"/>
    </row>
    <row r="287" spans="1:14" ht="14.25" customHeight="1" x14ac:dyDescent="0.3">
      <c r="A287" s="1"/>
      <c r="B287" s="137"/>
      <c r="C287" s="137"/>
      <c r="D287" s="2"/>
      <c r="E287" s="15"/>
      <c r="F287" s="194"/>
      <c r="G287" s="3"/>
      <c r="H287" s="1"/>
      <c r="I287" s="2"/>
      <c r="J287" s="1"/>
      <c r="K287" s="2"/>
      <c r="L287" s="1"/>
      <c r="M287" s="2"/>
      <c r="N287" s="16"/>
    </row>
    <row r="288" spans="1:14" ht="14.25" customHeight="1" x14ac:dyDescent="0.3">
      <c r="A288" s="1"/>
      <c r="B288" s="137"/>
      <c r="C288" s="137"/>
      <c r="D288" s="2"/>
      <c r="E288" s="15"/>
      <c r="F288" s="194"/>
      <c r="G288" s="3"/>
      <c r="H288" s="1"/>
      <c r="I288" s="2"/>
      <c r="J288" s="1"/>
      <c r="K288" s="2"/>
      <c r="L288" s="1"/>
      <c r="M288" s="2"/>
      <c r="N288" s="16"/>
    </row>
    <row r="289" spans="1:14" ht="14.25" customHeight="1" x14ac:dyDescent="0.3">
      <c r="A289" s="1"/>
      <c r="B289" s="137"/>
      <c r="C289" s="137"/>
      <c r="D289" s="2"/>
      <c r="E289" s="15"/>
      <c r="F289" s="194"/>
      <c r="G289" s="3"/>
      <c r="H289" s="1"/>
      <c r="I289" s="2"/>
      <c r="J289" s="1"/>
      <c r="K289" s="2"/>
      <c r="L289" s="1"/>
      <c r="M289" s="2"/>
      <c r="N289" s="16"/>
    </row>
    <row r="290" spans="1:14" ht="14.25" customHeight="1" x14ac:dyDescent="0.3">
      <c r="A290" s="1"/>
      <c r="B290" s="137"/>
      <c r="C290" s="137"/>
      <c r="D290" s="2"/>
      <c r="E290" s="15"/>
      <c r="F290" s="194"/>
      <c r="G290" s="3"/>
      <c r="H290" s="1"/>
      <c r="I290" s="2"/>
      <c r="J290" s="1"/>
      <c r="K290" s="2"/>
      <c r="L290" s="1"/>
      <c r="M290" s="2"/>
      <c r="N290" s="16"/>
    </row>
    <row r="291" spans="1:14" ht="14.25" customHeight="1" x14ac:dyDescent="0.3">
      <c r="A291" s="1"/>
      <c r="B291" s="137"/>
      <c r="C291" s="137"/>
      <c r="D291" s="2"/>
      <c r="E291" s="15"/>
      <c r="F291" s="194"/>
      <c r="G291" s="3"/>
      <c r="H291" s="1"/>
      <c r="I291" s="2"/>
      <c r="J291" s="1"/>
      <c r="K291" s="2"/>
      <c r="L291" s="1"/>
      <c r="M291" s="2"/>
      <c r="N291" s="16"/>
    </row>
    <row r="292" spans="1:14" ht="14.25" customHeight="1" x14ac:dyDescent="0.3">
      <c r="A292" s="1"/>
      <c r="B292" s="137"/>
      <c r="C292" s="137"/>
      <c r="D292" s="2"/>
      <c r="E292" s="15"/>
      <c r="F292" s="194"/>
      <c r="G292" s="3"/>
      <c r="H292" s="1"/>
      <c r="I292" s="2"/>
      <c r="J292" s="1"/>
      <c r="K292" s="2"/>
      <c r="L292" s="1"/>
      <c r="M292" s="2"/>
      <c r="N292" s="16"/>
    </row>
    <row r="293" spans="1:14" ht="14.25" customHeight="1" x14ac:dyDescent="0.3">
      <c r="A293" s="1"/>
      <c r="B293" s="137"/>
      <c r="C293" s="137"/>
      <c r="D293" s="2"/>
      <c r="E293" s="15"/>
      <c r="F293" s="194"/>
      <c r="G293" s="3"/>
      <c r="H293" s="1"/>
      <c r="I293" s="2"/>
      <c r="J293" s="1"/>
      <c r="K293" s="2"/>
      <c r="L293" s="1"/>
      <c r="M293" s="2"/>
      <c r="N293" s="16"/>
    </row>
    <row r="294" spans="1:14" ht="14.25" customHeight="1" x14ac:dyDescent="0.3">
      <c r="A294" s="1"/>
      <c r="B294" s="137"/>
      <c r="C294" s="137"/>
      <c r="D294" s="2"/>
      <c r="E294" s="15"/>
      <c r="F294" s="194"/>
      <c r="G294" s="3"/>
      <c r="H294" s="1"/>
      <c r="I294" s="2"/>
      <c r="J294" s="1"/>
      <c r="K294" s="2"/>
      <c r="L294" s="1"/>
      <c r="M294" s="2"/>
      <c r="N294" s="16"/>
    </row>
    <row r="295" spans="1:14" ht="14.25" customHeight="1" x14ac:dyDescent="0.3">
      <c r="A295" s="1"/>
      <c r="B295" s="137"/>
      <c r="C295" s="137"/>
      <c r="D295" s="2"/>
      <c r="E295" s="15"/>
      <c r="F295" s="194"/>
      <c r="G295" s="3"/>
      <c r="H295" s="1"/>
      <c r="I295" s="2"/>
      <c r="J295" s="1"/>
      <c r="K295" s="2"/>
      <c r="L295" s="1"/>
      <c r="M295" s="2"/>
      <c r="N295" s="16"/>
    </row>
    <row r="296" spans="1:14" ht="14.25" customHeight="1" x14ac:dyDescent="0.3">
      <c r="A296" s="1"/>
      <c r="B296" s="137"/>
      <c r="C296" s="137"/>
      <c r="D296" s="2"/>
      <c r="E296" s="15"/>
      <c r="F296" s="194"/>
      <c r="G296" s="3"/>
      <c r="H296" s="1"/>
      <c r="I296" s="2"/>
      <c r="J296" s="1"/>
      <c r="K296" s="2"/>
      <c r="L296" s="1"/>
      <c r="M296" s="2"/>
      <c r="N296" s="16"/>
    </row>
    <row r="297" spans="1:14" ht="14.25" customHeight="1" x14ac:dyDescent="0.3">
      <c r="A297" s="1"/>
      <c r="B297" s="137"/>
      <c r="C297" s="137"/>
      <c r="D297" s="2"/>
      <c r="E297" s="15"/>
      <c r="F297" s="194"/>
      <c r="G297" s="3"/>
      <c r="H297" s="1"/>
      <c r="I297" s="2"/>
      <c r="J297" s="1"/>
      <c r="K297" s="2"/>
      <c r="L297" s="1"/>
      <c r="M297" s="2"/>
      <c r="N297" s="16"/>
    </row>
    <row r="298" spans="1:14" ht="14.25" customHeight="1" x14ac:dyDescent="0.3">
      <c r="A298" s="1"/>
      <c r="B298" s="137"/>
      <c r="C298" s="137"/>
      <c r="D298" s="2"/>
      <c r="E298" s="15"/>
      <c r="F298" s="194"/>
      <c r="G298" s="3"/>
      <c r="H298" s="1"/>
      <c r="I298" s="2"/>
      <c r="J298" s="1"/>
      <c r="K298" s="2"/>
      <c r="L298" s="1"/>
      <c r="M298" s="2"/>
      <c r="N298" s="16"/>
    </row>
    <row r="299" spans="1:14" ht="14.25" customHeight="1" x14ac:dyDescent="0.3">
      <c r="A299" s="1"/>
      <c r="B299" s="137"/>
      <c r="C299" s="137"/>
      <c r="D299" s="2"/>
      <c r="E299" s="15"/>
      <c r="F299" s="194"/>
      <c r="G299" s="3"/>
      <c r="H299" s="1"/>
      <c r="I299" s="2"/>
      <c r="J299" s="1"/>
      <c r="K299" s="2"/>
      <c r="L299" s="1"/>
      <c r="M299" s="2"/>
      <c r="N299" s="16"/>
    </row>
    <row r="300" spans="1:14" ht="14.25" customHeight="1" x14ac:dyDescent="0.3">
      <c r="A300" s="1"/>
      <c r="B300" s="137"/>
      <c r="C300" s="137"/>
      <c r="D300" s="2"/>
      <c r="E300" s="15"/>
      <c r="F300" s="194"/>
      <c r="G300" s="3"/>
      <c r="H300" s="1"/>
      <c r="I300" s="2"/>
      <c r="J300" s="1"/>
      <c r="K300" s="2"/>
      <c r="L300" s="1"/>
      <c r="M300" s="2"/>
      <c r="N300" s="16"/>
    </row>
    <row r="301" spans="1:14" ht="14.25" customHeight="1" x14ac:dyDescent="0.3">
      <c r="A301" s="1"/>
      <c r="B301" s="137"/>
      <c r="C301" s="137"/>
      <c r="D301" s="2"/>
      <c r="E301" s="15"/>
      <c r="F301" s="194"/>
      <c r="G301" s="3"/>
      <c r="H301" s="1"/>
      <c r="I301" s="2"/>
      <c r="J301" s="1"/>
      <c r="K301" s="2"/>
      <c r="L301" s="1"/>
      <c r="M301" s="2"/>
      <c r="N301" s="16"/>
    </row>
    <row r="302" spans="1:14" ht="14.25" customHeight="1" x14ac:dyDescent="0.3">
      <c r="A302" s="1"/>
      <c r="B302" s="137"/>
      <c r="C302" s="137"/>
      <c r="D302" s="2"/>
      <c r="E302" s="15"/>
      <c r="F302" s="194"/>
      <c r="G302" s="3"/>
      <c r="H302" s="1"/>
      <c r="I302" s="2"/>
      <c r="J302" s="1"/>
      <c r="K302" s="2"/>
      <c r="L302" s="1"/>
      <c r="M302" s="2"/>
      <c r="N302" s="16"/>
    </row>
    <row r="303" spans="1:14" ht="14.25" customHeight="1" x14ac:dyDescent="0.3">
      <c r="A303" s="1"/>
      <c r="B303" s="137"/>
      <c r="C303" s="137"/>
      <c r="D303" s="2"/>
      <c r="E303" s="15"/>
      <c r="F303" s="194"/>
      <c r="G303" s="3"/>
      <c r="H303" s="1"/>
      <c r="I303" s="2"/>
      <c r="J303" s="1"/>
      <c r="K303" s="2"/>
      <c r="L303" s="1"/>
      <c r="M303" s="2"/>
      <c r="N303" s="16"/>
    </row>
    <row r="304" spans="1:14" ht="14.25" customHeight="1" x14ac:dyDescent="0.3">
      <c r="A304" s="1"/>
      <c r="B304" s="137"/>
      <c r="C304" s="137"/>
      <c r="D304" s="2"/>
      <c r="E304" s="15"/>
      <c r="F304" s="194"/>
      <c r="G304" s="3"/>
      <c r="H304" s="1"/>
      <c r="I304" s="2"/>
      <c r="J304" s="1"/>
      <c r="K304" s="2"/>
      <c r="L304" s="1"/>
      <c r="M304" s="2"/>
      <c r="N304" s="16"/>
    </row>
    <row r="305" spans="1:14" ht="14.25" customHeight="1" x14ac:dyDescent="0.3">
      <c r="A305" s="1"/>
      <c r="B305" s="137"/>
      <c r="C305" s="137"/>
      <c r="D305" s="2"/>
      <c r="E305" s="15"/>
      <c r="F305" s="194"/>
      <c r="G305" s="3"/>
      <c r="H305" s="1"/>
      <c r="I305" s="2"/>
      <c r="J305" s="1"/>
      <c r="K305" s="2"/>
      <c r="L305" s="1"/>
      <c r="M305" s="2"/>
      <c r="N305" s="16"/>
    </row>
    <row r="306" spans="1:14" ht="14.25" customHeight="1" x14ac:dyDescent="0.3">
      <c r="A306" s="1"/>
      <c r="B306" s="137"/>
      <c r="C306" s="137"/>
      <c r="D306" s="2"/>
      <c r="E306" s="15"/>
      <c r="F306" s="194"/>
      <c r="G306" s="3"/>
      <c r="H306" s="1"/>
      <c r="I306" s="2"/>
      <c r="J306" s="1"/>
      <c r="K306" s="2"/>
      <c r="L306" s="1"/>
      <c r="M306" s="2"/>
      <c r="N306" s="16"/>
    </row>
    <row r="307" spans="1:14" ht="14.25" customHeight="1" x14ac:dyDescent="0.3">
      <c r="A307" s="1"/>
      <c r="B307" s="137"/>
      <c r="C307" s="137"/>
      <c r="D307" s="2"/>
      <c r="E307" s="15"/>
      <c r="F307" s="194"/>
      <c r="G307" s="3"/>
      <c r="H307" s="1"/>
      <c r="I307" s="2"/>
      <c r="J307" s="1"/>
      <c r="K307" s="2"/>
      <c r="L307" s="1"/>
      <c r="M307" s="2"/>
      <c r="N307" s="16"/>
    </row>
    <row r="308" spans="1:14" ht="14.25" customHeight="1" x14ac:dyDescent="0.3">
      <c r="A308" s="1"/>
      <c r="B308" s="137"/>
      <c r="C308" s="137"/>
      <c r="D308" s="2"/>
      <c r="E308" s="15"/>
      <c r="F308" s="194"/>
      <c r="G308" s="3"/>
      <c r="H308" s="1"/>
      <c r="I308" s="2"/>
      <c r="J308" s="1"/>
      <c r="K308" s="2"/>
      <c r="L308" s="1"/>
      <c r="M308" s="2"/>
      <c r="N308" s="16"/>
    </row>
    <row r="309" spans="1:14" ht="14.25" customHeight="1" x14ac:dyDescent="0.3">
      <c r="A309" s="1"/>
      <c r="B309" s="137"/>
      <c r="C309" s="137"/>
      <c r="D309" s="2"/>
      <c r="E309" s="15"/>
      <c r="F309" s="194"/>
      <c r="G309" s="3"/>
      <c r="H309" s="1"/>
      <c r="I309" s="2"/>
      <c r="J309" s="1"/>
      <c r="K309" s="2"/>
      <c r="L309" s="1"/>
      <c r="M309" s="2"/>
      <c r="N309" s="16"/>
    </row>
    <row r="310" spans="1:14" ht="14.25" customHeight="1" x14ac:dyDescent="0.3">
      <c r="A310" s="1"/>
      <c r="B310" s="137"/>
      <c r="C310" s="137"/>
      <c r="D310" s="2"/>
      <c r="E310" s="15"/>
      <c r="F310" s="194"/>
      <c r="G310" s="3"/>
      <c r="H310" s="1"/>
      <c r="I310" s="2"/>
      <c r="J310" s="1"/>
      <c r="K310" s="2"/>
      <c r="L310" s="1"/>
      <c r="M310" s="2"/>
      <c r="N310" s="16"/>
    </row>
    <row r="311" spans="1:14" ht="14.25" customHeight="1" x14ac:dyDescent="0.3">
      <c r="A311" s="1"/>
      <c r="B311" s="137"/>
      <c r="C311" s="137"/>
      <c r="D311" s="2"/>
      <c r="E311" s="15"/>
      <c r="F311" s="194"/>
      <c r="G311" s="3"/>
      <c r="H311" s="1"/>
      <c r="I311" s="2"/>
      <c r="J311" s="1"/>
      <c r="K311" s="2"/>
      <c r="L311" s="1"/>
      <c r="M311" s="2"/>
      <c r="N311" s="16"/>
    </row>
    <row r="312" spans="1:14" ht="14.25" customHeight="1" x14ac:dyDescent="0.3">
      <c r="A312" s="1"/>
      <c r="B312" s="137"/>
      <c r="C312" s="137"/>
      <c r="D312" s="2"/>
      <c r="E312" s="15"/>
      <c r="F312" s="194"/>
      <c r="G312" s="3"/>
      <c r="H312" s="1"/>
      <c r="I312" s="2"/>
      <c r="J312" s="1"/>
      <c r="K312" s="2"/>
      <c r="L312" s="1"/>
      <c r="M312" s="2"/>
      <c r="N312" s="16"/>
    </row>
    <row r="313" spans="1:14" ht="14.25" customHeight="1" x14ac:dyDescent="0.3">
      <c r="A313" s="1"/>
      <c r="B313" s="137"/>
      <c r="C313" s="137"/>
      <c r="D313" s="2"/>
      <c r="E313" s="15"/>
      <c r="F313" s="194"/>
      <c r="G313" s="3"/>
      <c r="H313" s="1"/>
      <c r="I313" s="2"/>
      <c r="J313" s="1"/>
      <c r="K313" s="2"/>
      <c r="L313" s="1"/>
      <c r="M313" s="2"/>
      <c r="N313" s="16"/>
    </row>
    <row r="314" spans="1:14" ht="14.25" customHeight="1" x14ac:dyDescent="0.3">
      <c r="A314" s="1"/>
      <c r="B314" s="137"/>
      <c r="C314" s="137"/>
      <c r="D314" s="2"/>
      <c r="E314" s="15"/>
      <c r="F314" s="194"/>
      <c r="G314" s="3"/>
      <c r="H314" s="1"/>
      <c r="I314" s="2"/>
      <c r="J314" s="1"/>
      <c r="K314" s="2"/>
      <c r="L314" s="1"/>
      <c r="M314" s="2"/>
      <c r="N314" s="16"/>
    </row>
    <row r="315" spans="1:14" ht="14.25" customHeight="1" x14ac:dyDescent="0.3">
      <c r="A315" s="1"/>
      <c r="B315" s="137"/>
      <c r="C315" s="137"/>
      <c r="D315" s="2"/>
      <c r="E315" s="15"/>
      <c r="F315" s="194"/>
      <c r="G315" s="3"/>
      <c r="H315" s="1"/>
      <c r="I315" s="2"/>
      <c r="J315" s="1"/>
      <c r="K315" s="2"/>
      <c r="L315" s="1"/>
      <c r="M315" s="2"/>
      <c r="N315" s="16"/>
    </row>
    <row r="316" spans="1:14" ht="14.25" customHeight="1" x14ac:dyDescent="0.3">
      <c r="A316" s="1"/>
      <c r="B316" s="137"/>
      <c r="C316" s="137"/>
      <c r="D316" s="2"/>
      <c r="E316" s="15"/>
      <c r="F316" s="194"/>
      <c r="G316" s="3"/>
      <c r="H316" s="1"/>
      <c r="I316" s="2"/>
      <c r="J316" s="1"/>
      <c r="K316" s="2"/>
      <c r="L316" s="1"/>
      <c r="M316" s="2"/>
      <c r="N316" s="16"/>
    </row>
    <row r="317" spans="1:14" ht="14.25" customHeight="1" x14ac:dyDescent="0.3">
      <c r="A317" s="1"/>
      <c r="B317" s="137"/>
      <c r="C317" s="137"/>
      <c r="D317" s="2"/>
      <c r="E317" s="15"/>
      <c r="F317" s="194"/>
      <c r="G317" s="3"/>
      <c r="H317" s="1"/>
      <c r="I317" s="2"/>
      <c r="J317" s="1"/>
      <c r="K317" s="2"/>
      <c r="L317" s="1"/>
      <c r="M317" s="2"/>
      <c r="N317" s="16"/>
    </row>
    <row r="318" spans="1:14" ht="14.25" customHeight="1" x14ac:dyDescent="0.3">
      <c r="A318" s="1"/>
      <c r="B318" s="137"/>
      <c r="C318" s="137"/>
      <c r="D318" s="2"/>
      <c r="E318" s="15"/>
      <c r="F318" s="194"/>
      <c r="G318" s="3"/>
      <c r="H318" s="1"/>
      <c r="I318" s="2"/>
      <c r="J318" s="1"/>
      <c r="K318" s="2"/>
      <c r="L318" s="1"/>
      <c r="M318" s="2"/>
      <c r="N318" s="16"/>
    </row>
    <row r="319" spans="1:14" ht="14.25" customHeight="1" x14ac:dyDescent="0.3">
      <c r="A319" s="1"/>
      <c r="B319" s="137"/>
      <c r="C319" s="137"/>
      <c r="D319" s="2"/>
      <c r="E319" s="15"/>
      <c r="F319" s="194"/>
      <c r="G319" s="3"/>
      <c r="H319" s="1"/>
      <c r="I319" s="2"/>
      <c r="J319" s="1"/>
      <c r="K319" s="2"/>
      <c r="L319" s="1"/>
      <c r="M319" s="2"/>
      <c r="N319" s="16"/>
    </row>
    <row r="320" spans="1:14" ht="14.25" customHeight="1" x14ac:dyDescent="0.3">
      <c r="A320" s="1"/>
      <c r="B320" s="137"/>
      <c r="C320" s="137"/>
      <c r="D320" s="2"/>
      <c r="E320" s="15"/>
      <c r="F320" s="194"/>
      <c r="G320" s="3"/>
      <c r="H320" s="1"/>
      <c r="I320" s="2"/>
      <c r="J320" s="1"/>
      <c r="K320" s="2"/>
      <c r="L320" s="1"/>
      <c r="M320" s="2"/>
      <c r="N320" s="16"/>
    </row>
    <row r="321" spans="1:14" ht="14.25" customHeight="1" x14ac:dyDescent="0.3">
      <c r="A321" s="1"/>
      <c r="B321" s="137"/>
      <c r="C321" s="137"/>
      <c r="D321" s="2"/>
      <c r="E321" s="15"/>
      <c r="F321" s="194"/>
      <c r="G321" s="3"/>
      <c r="H321" s="1"/>
      <c r="I321" s="2"/>
      <c r="J321" s="1"/>
      <c r="K321" s="2"/>
      <c r="L321" s="1"/>
      <c r="M321" s="2"/>
      <c r="N321" s="16"/>
    </row>
    <row r="322" spans="1:14" ht="14.25" customHeight="1" x14ac:dyDescent="0.3">
      <c r="A322" s="1"/>
      <c r="B322" s="137"/>
      <c r="C322" s="137"/>
      <c r="D322" s="2"/>
      <c r="E322" s="15"/>
      <c r="F322" s="194"/>
      <c r="G322" s="3"/>
      <c r="H322" s="1"/>
      <c r="I322" s="2"/>
      <c r="J322" s="1"/>
      <c r="K322" s="2"/>
      <c r="L322" s="1"/>
      <c r="M322" s="2"/>
      <c r="N322" s="16"/>
    </row>
    <row r="323" spans="1:14" ht="14.25" customHeight="1" x14ac:dyDescent="0.3">
      <c r="A323" s="1"/>
      <c r="B323" s="137"/>
      <c r="C323" s="137"/>
      <c r="D323" s="2"/>
      <c r="E323" s="15"/>
      <c r="F323" s="194"/>
      <c r="G323" s="3"/>
      <c r="H323" s="1"/>
      <c r="I323" s="2"/>
      <c r="J323" s="1"/>
      <c r="K323" s="2"/>
      <c r="L323" s="1"/>
      <c r="M323" s="2"/>
      <c r="N323" s="16"/>
    </row>
    <row r="324" spans="1:14" ht="14.25" customHeight="1" x14ac:dyDescent="0.3">
      <c r="A324" s="1"/>
      <c r="B324" s="137"/>
      <c r="C324" s="137"/>
      <c r="D324" s="2"/>
      <c r="E324" s="15"/>
      <c r="F324" s="194"/>
      <c r="G324" s="3"/>
      <c r="H324" s="1"/>
      <c r="I324" s="2"/>
      <c r="J324" s="1"/>
      <c r="K324" s="2"/>
      <c r="L324" s="1"/>
      <c r="M324" s="2"/>
      <c r="N324" s="16"/>
    </row>
    <row r="325" spans="1:14" ht="14.25" customHeight="1" x14ac:dyDescent="0.3">
      <c r="A325" s="1"/>
      <c r="B325" s="137"/>
      <c r="C325" s="137"/>
      <c r="D325" s="2"/>
      <c r="E325" s="15"/>
      <c r="F325" s="194"/>
      <c r="G325" s="3"/>
      <c r="H325" s="1"/>
      <c r="I325" s="2"/>
      <c r="J325" s="1"/>
      <c r="K325" s="2"/>
      <c r="L325" s="1"/>
      <c r="M325" s="2"/>
      <c r="N325" s="16"/>
    </row>
    <row r="326" spans="1:14" ht="14.25" customHeight="1" x14ac:dyDescent="0.3">
      <c r="A326" s="1"/>
      <c r="B326" s="137"/>
      <c r="C326" s="137"/>
      <c r="D326" s="2"/>
      <c r="E326" s="15"/>
      <c r="F326" s="194"/>
      <c r="G326" s="3"/>
      <c r="H326" s="1"/>
      <c r="I326" s="2"/>
      <c r="J326" s="1"/>
      <c r="K326" s="2"/>
      <c r="L326" s="1"/>
      <c r="M326" s="2"/>
      <c r="N326" s="16"/>
    </row>
    <row r="327" spans="1:14" ht="14.25" customHeight="1" x14ac:dyDescent="0.3">
      <c r="A327" s="1"/>
      <c r="B327" s="137"/>
      <c r="C327" s="137"/>
      <c r="D327" s="2"/>
      <c r="E327" s="15"/>
      <c r="F327" s="194"/>
      <c r="G327" s="3"/>
      <c r="H327" s="1"/>
      <c r="I327" s="2"/>
      <c r="J327" s="1"/>
      <c r="K327" s="2"/>
      <c r="L327" s="1"/>
      <c r="M327" s="2"/>
      <c r="N327" s="16"/>
    </row>
    <row r="328" spans="1:14" ht="14.25" customHeight="1" x14ac:dyDescent="0.3">
      <c r="A328" s="1"/>
      <c r="B328" s="137"/>
      <c r="C328" s="137"/>
      <c r="D328" s="2"/>
      <c r="E328" s="15"/>
      <c r="F328" s="194"/>
      <c r="G328" s="3"/>
      <c r="H328" s="1"/>
      <c r="I328" s="2"/>
      <c r="J328" s="1"/>
      <c r="K328" s="2"/>
      <c r="L328" s="1"/>
      <c r="M328" s="2"/>
      <c r="N328" s="16"/>
    </row>
    <row r="329" spans="1:14" ht="14.25" customHeight="1" x14ac:dyDescent="0.3">
      <c r="A329" s="1"/>
      <c r="B329" s="137"/>
      <c r="C329" s="137"/>
      <c r="D329" s="2"/>
      <c r="E329" s="15"/>
      <c r="F329" s="194"/>
      <c r="G329" s="3"/>
      <c r="H329" s="1"/>
      <c r="I329" s="2"/>
      <c r="J329" s="1"/>
      <c r="K329" s="2"/>
      <c r="L329" s="1"/>
      <c r="M329" s="2"/>
      <c r="N329" s="16"/>
    </row>
    <row r="330" spans="1:14" ht="14.25" customHeight="1" x14ac:dyDescent="0.3">
      <c r="A330" s="1"/>
      <c r="B330" s="137"/>
      <c r="C330" s="137"/>
      <c r="D330" s="2"/>
      <c r="E330" s="15"/>
      <c r="F330" s="194"/>
      <c r="G330" s="3"/>
      <c r="H330" s="1"/>
      <c r="I330" s="2"/>
      <c r="J330" s="1"/>
      <c r="K330" s="2"/>
      <c r="L330" s="1"/>
      <c r="M330" s="2"/>
      <c r="N330" s="16"/>
    </row>
    <row r="331" spans="1:14" ht="14.25" customHeight="1" x14ac:dyDescent="0.3">
      <c r="A331" s="1"/>
      <c r="B331" s="137"/>
      <c r="C331" s="137"/>
      <c r="D331" s="2"/>
      <c r="E331" s="15"/>
      <c r="F331" s="194"/>
      <c r="G331" s="3"/>
      <c r="H331" s="1"/>
      <c r="I331" s="2"/>
      <c r="J331" s="1"/>
      <c r="K331" s="2"/>
      <c r="L331" s="1"/>
      <c r="M331" s="2"/>
      <c r="N331" s="16"/>
    </row>
    <row r="332" spans="1:14" ht="14.25" customHeight="1" x14ac:dyDescent="0.3">
      <c r="A332" s="1"/>
      <c r="B332" s="137"/>
      <c r="C332" s="137"/>
      <c r="D332" s="2"/>
      <c r="E332" s="15"/>
      <c r="F332" s="194"/>
      <c r="G332" s="3"/>
      <c r="H332" s="1"/>
      <c r="I332" s="2"/>
      <c r="J332" s="1"/>
      <c r="K332" s="2"/>
      <c r="L332" s="1"/>
      <c r="M332" s="2"/>
      <c r="N332" s="16"/>
    </row>
    <row r="333" spans="1:14" ht="14.25" customHeight="1" x14ac:dyDescent="0.3">
      <c r="A333" s="1"/>
      <c r="B333" s="137"/>
      <c r="C333" s="137"/>
      <c r="D333" s="2"/>
      <c r="E333" s="15"/>
      <c r="F333" s="194"/>
      <c r="G333" s="3"/>
      <c r="H333" s="1"/>
      <c r="I333" s="2"/>
      <c r="J333" s="1"/>
      <c r="K333" s="2"/>
      <c r="L333" s="1"/>
      <c r="M333" s="2"/>
      <c r="N333" s="16"/>
    </row>
    <row r="334" spans="1:14" ht="14.25" customHeight="1" x14ac:dyDescent="0.3">
      <c r="A334" s="1"/>
      <c r="B334" s="137"/>
      <c r="C334" s="137"/>
      <c r="D334" s="2"/>
      <c r="E334" s="15"/>
      <c r="F334" s="194"/>
      <c r="G334" s="3"/>
      <c r="H334" s="1"/>
      <c r="I334" s="2"/>
      <c r="J334" s="1"/>
      <c r="K334" s="2"/>
      <c r="L334" s="1"/>
      <c r="M334" s="2"/>
      <c r="N334" s="16"/>
    </row>
    <row r="335" spans="1:14" ht="14.25" customHeight="1" x14ac:dyDescent="0.3">
      <c r="A335" s="1"/>
      <c r="B335" s="137"/>
      <c r="C335" s="137"/>
      <c r="D335" s="2"/>
      <c r="E335" s="15"/>
      <c r="F335" s="194"/>
      <c r="G335" s="3"/>
      <c r="H335" s="1"/>
      <c r="I335" s="2"/>
      <c r="J335" s="1"/>
      <c r="K335" s="2"/>
      <c r="L335" s="1"/>
      <c r="M335" s="2"/>
      <c r="N335" s="16"/>
    </row>
    <row r="336" spans="1:14" ht="14.25" customHeight="1" x14ac:dyDescent="0.3">
      <c r="A336" s="1"/>
      <c r="B336" s="137"/>
      <c r="C336" s="137"/>
      <c r="D336" s="2"/>
      <c r="E336" s="15"/>
      <c r="F336" s="194"/>
      <c r="G336" s="3"/>
      <c r="H336" s="1"/>
      <c r="I336" s="2"/>
      <c r="J336" s="1"/>
      <c r="K336" s="2"/>
      <c r="L336" s="1"/>
      <c r="M336" s="2"/>
      <c r="N336" s="16"/>
    </row>
    <row r="337" spans="1:14" ht="14.25" customHeight="1" x14ac:dyDescent="0.3">
      <c r="A337" s="1"/>
      <c r="B337" s="137"/>
      <c r="C337" s="137"/>
      <c r="D337" s="2"/>
      <c r="E337" s="15"/>
      <c r="F337" s="194"/>
      <c r="G337" s="3"/>
      <c r="H337" s="1"/>
      <c r="I337" s="2"/>
      <c r="J337" s="1"/>
      <c r="K337" s="2"/>
      <c r="L337" s="1"/>
      <c r="M337" s="2"/>
      <c r="N337" s="16"/>
    </row>
    <row r="338" spans="1:14" ht="14.25" customHeight="1" x14ac:dyDescent="0.3">
      <c r="A338" s="1"/>
      <c r="B338" s="137"/>
      <c r="C338" s="137"/>
      <c r="D338" s="2"/>
      <c r="E338" s="15"/>
      <c r="F338" s="194"/>
      <c r="G338" s="3"/>
      <c r="H338" s="1"/>
      <c r="I338" s="2"/>
      <c r="J338" s="1"/>
      <c r="K338" s="2"/>
      <c r="L338" s="1"/>
      <c r="M338" s="2"/>
      <c r="N338" s="16"/>
    </row>
    <row r="339" spans="1:14" ht="14.25" customHeight="1" x14ac:dyDescent="0.3">
      <c r="A339" s="1"/>
      <c r="B339" s="137"/>
      <c r="C339" s="137"/>
      <c r="D339" s="2"/>
      <c r="E339" s="15"/>
      <c r="F339" s="194"/>
      <c r="G339" s="3"/>
      <c r="H339" s="1"/>
      <c r="I339" s="2"/>
      <c r="J339" s="1"/>
      <c r="K339" s="2"/>
      <c r="L339" s="1"/>
      <c r="M339" s="2"/>
      <c r="N339" s="16"/>
    </row>
    <row r="340" spans="1:14" ht="14.25" customHeight="1" x14ac:dyDescent="0.3">
      <c r="A340" s="1"/>
      <c r="B340" s="137"/>
      <c r="C340" s="137"/>
      <c r="D340" s="2"/>
      <c r="E340" s="15"/>
      <c r="F340" s="194"/>
      <c r="G340" s="3"/>
      <c r="H340" s="1"/>
      <c r="I340" s="2"/>
      <c r="J340" s="1"/>
      <c r="K340" s="2"/>
      <c r="L340" s="1"/>
      <c r="M340" s="2"/>
      <c r="N340" s="16"/>
    </row>
    <row r="341" spans="1:14" ht="14.25" customHeight="1" x14ac:dyDescent="0.3">
      <c r="A341" s="1"/>
      <c r="B341" s="137"/>
      <c r="C341" s="137"/>
      <c r="D341" s="2"/>
      <c r="E341" s="15"/>
      <c r="F341" s="194"/>
      <c r="G341" s="3"/>
      <c r="H341" s="1"/>
      <c r="I341" s="2"/>
      <c r="J341" s="1"/>
      <c r="K341" s="2"/>
      <c r="L341" s="1"/>
      <c r="M341" s="2"/>
      <c r="N341" s="16"/>
    </row>
    <row r="342" spans="1:14" ht="14.25" customHeight="1" x14ac:dyDescent="0.3">
      <c r="A342" s="1"/>
      <c r="B342" s="137"/>
      <c r="C342" s="137"/>
      <c r="D342" s="2"/>
      <c r="E342" s="15"/>
      <c r="F342" s="194"/>
      <c r="G342" s="3"/>
      <c r="H342" s="1"/>
      <c r="I342" s="2"/>
      <c r="J342" s="1"/>
      <c r="K342" s="2"/>
      <c r="L342" s="1"/>
      <c r="M342" s="2"/>
      <c r="N342" s="16"/>
    </row>
    <row r="343" spans="1:14" ht="14.25" customHeight="1" x14ac:dyDescent="0.3">
      <c r="A343" s="1"/>
      <c r="B343" s="137"/>
      <c r="C343" s="137"/>
      <c r="D343" s="2"/>
      <c r="E343" s="15"/>
      <c r="F343" s="194"/>
      <c r="G343" s="3"/>
      <c r="H343" s="1"/>
      <c r="I343" s="2"/>
      <c r="J343" s="1"/>
      <c r="K343" s="2"/>
      <c r="L343" s="1"/>
      <c r="M343" s="2"/>
      <c r="N343" s="16"/>
    </row>
    <row r="344" spans="1:14" ht="14.25" customHeight="1" x14ac:dyDescent="0.3">
      <c r="A344" s="1"/>
      <c r="B344" s="137"/>
      <c r="C344" s="137"/>
      <c r="D344" s="2"/>
      <c r="E344" s="15"/>
      <c r="F344" s="194"/>
      <c r="G344" s="3"/>
      <c r="H344" s="1"/>
      <c r="I344" s="2"/>
      <c r="J344" s="1"/>
      <c r="K344" s="2"/>
      <c r="L344" s="1"/>
      <c r="M344" s="2"/>
      <c r="N344" s="16"/>
    </row>
    <row r="345" spans="1:14" ht="14.25" customHeight="1" x14ac:dyDescent="0.3">
      <c r="A345" s="1"/>
      <c r="B345" s="137"/>
      <c r="C345" s="137"/>
      <c r="D345" s="2"/>
      <c r="E345" s="15"/>
      <c r="F345" s="194"/>
      <c r="G345" s="3"/>
      <c r="H345" s="1"/>
      <c r="I345" s="2"/>
      <c r="J345" s="1"/>
      <c r="K345" s="2"/>
      <c r="L345" s="1"/>
      <c r="M345" s="2"/>
      <c r="N345" s="16"/>
    </row>
    <row r="346" spans="1:14" ht="14.25" customHeight="1" x14ac:dyDescent="0.3">
      <c r="A346" s="1"/>
      <c r="B346" s="137"/>
      <c r="C346" s="137"/>
      <c r="D346" s="2"/>
      <c r="E346" s="15"/>
      <c r="F346" s="194"/>
      <c r="G346" s="3"/>
      <c r="H346" s="1"/>
      <c r="I346" s="2"/>
      <c r="J346" s="1"/>
      <c r="K346" s="2"/>
      <c r="L346" s="1"/>
      <c r="M346" s="2"/>
      <c r="N346" s="16"/>
    </row>
    <row r="347" spans="1:14" ht="14.25" customHeight="1" x14ac:dyDescent="0.3">
      <c r="A347" s="1"/>
      <c r="B347" s="137"/>
      <c r="C347" s="137"/>
      <c r="D347" s="2"/>
      <c r="E347" s="15"/>
      <c r="F347" s="194"/>
      <c r="G347" s="3"/>
      <c r="H347" s="1"/>
      <c r="I347" s="2"/>
      <c r="J347" s="1"/>
      <c r="K347" s="2"/>
      <c r="L347" s="1"/>
      <c r="M347" s="2"/>
      <c r="N347" s="16"/>
    </row>
    <row r="348" spans="1:14" ht="14.25" customHeight="1" x14ac:dyDescent="0.3">
      <c r="A348" s="1"/>
      <c r="B348" s="137"/>
      <c r="C348" s="137"/>
      <c r="D348" s="2"/>
      <c r="E348" s="15"/>
      <c r="F348" s="194"/>
      <c r="G348" s="3"/>
      <c r="H348" s="1"/>
      <c r="I348" s="2"/>
      <c r="J348" s="1"/>
      <c r="K348" s="2"/>
      <c r="L348" s="1"/>
      <c r="M348" s="2"/>
      <c r="N348" s="16"/>
    </row>
    <row r="349" spans="1:14" ht="14.25" customHeight="1" x14ac:dyDescent="0.3">
      <c r="A349" s="1"/>
      <c r="B349" s="137"/>
      <c r="C349" s="137"/>
      <c r="D349" s="2"/>
      <c r="E349" s="15"/>
      <c r="F349" s="194"/>
      <c r="G349" s="3"/>
      <c r="H349" s="1"/>
      <c r="I349" s="2"/>
      <c r="J349" s="1"/>
      <c r="K349" s="2"/>
      <c r="L349" s="1"/>
      <c r="M349" s="2"/>
      <c r="N349" s="16"/>
    </row>
    <row r="350" spans="1:14" ht="14.25" customHeight="1" x14ac:dyDescent="0.3">
      <c r="A350" s="1"/>
      <c r="B350" s="137"/>
      <c r="C350" s="137"/>
      <c r="D350" s="2"/>
      <c r="E350" s="15"/>
      <c r="F350" s="194"/>
      <c r="G350" s="3"/>
      <c r="H350" s="1"/>
      <c r="I350" s="2"/>
      <c r="J350" s="1"/>
      <c r="K350" s="2"/>
      <c r="L350" s="1"/>
      <c r="M350" s="2"/>
      <c r="N350" s="16"/>
    </row>
    <row r="351" spans="1:14" ht="14.25" customHeight="1" x14ac:dyDescent="0.3">
      <c r="A351" s="1"/>
      <c r="B351" s="137"/>
      <c r="C351" s="137"/>
      <c r="D351" s="2"/>
      <c r="E351" s="15"/>
      <c r="F351" s="194"/>
      <c r="G351" s="3"/>
      <c r="H351" s="1"/>
      <c r="I351" s="2"/>
      <c r="J351" s="1"/>
      <c r="K351" s="2"/>
      <c r="L351" s="1"/>
      <c r="M351" s="2"/>
      <c r="N351" s="16"/>
    </row>
    <row r="352" spans="1:14" ht="14.25" customHeight="1" x14ac:dyDescent="0.3">
      <c r="A352" s="1"/>
      <c r="B352" s="137"/>
      <c r="C352" s="137"/>
      <c r="D352" s="2"/>
      <c r="E352" s="15"/>
      <c r="F352" s="194"/>
      <c r="G352" s="3"/>
      <c r="H352" s="1"/>
      <c r="I352" s="2"/>
      <c r="J352" s="1"/>
      <c r="K352" s="2"/>
      <c r="L352" s="1"/>
      <c r="M352" s="2"/>
      <c r="N352" s="16"/>
    </row>
    <row r="353" spans="1:14" ht="14.25" customHeight="1" x14ac:dyDescent="0.3">
      <c r="A353" s="1"/>
      <c r="B353" s="137"/>
      <c r="C353" s="137"/>
      <c r="D353" s="2"/>
      <c r="E353" s="15"/>
      <c r="F353" s="194"/>
      <c r="G353" s="3"/>
      <c r="H353" s="1"/>
      <c r="I353" s="2"/>
      <c r="J353" s="1"/>
      <c r="K353" s="2"/>
      <c r="L353" s="1"/>
      <c r="M353" s="2"/>
      <c r="N353" s="16"/>
    </row>
    <row r="354" spans="1:14" ht="14.25" customHeight="1" x14ac:dyDescent="0.3">
      <c r="A354" s="1"/>
      <c r="B354" s="137"/>
      <c r="C354" s="137"/>
      <c r="D354" s="2"/>
      <c r="E354" s="15"/>
      <c r="F354" s="194"/>
      <c r="G354" s="3"/>
      <c r="H354" s="1"/>
      <c r="I354" s="2"/>
      <c r="J354" s="1"/>
      <c r="K354" s="2"/>
      <c r="L354" s="1"/>
      <c r="M354" s="2"/>
      <c r="N354" s="16"/>
    </row>
    <row r="355" spans="1:14" ht="14.25" customHeight="1" x14ac:dyDescent="0.3">
      <c r="A355" s="1"/>
      <c r="B355" s="137"/>
      <c r="C355" s="137"/>
      <c r="D355" s="2"/>
      <c r="E355" s="15"/>
      <c r="F355" s="194"/>
      <c r="G355" s="3"/>
      <c r="H355" s="1"/>
      <c r="I355" s="2"/>
      <c r="J355" s="1"/>
      <c r="K355" s="2"/>
      <c r="L355" s="1"/>
      <c r="M355" s="2"/>
      <c r="N355" s="16"/>
    </row>
    <row r="356" spans="1:14" ht="14.25" customHeight="1" x14ac:dyDescent="0.3">
      <c r="A356" s="1"/>
      <c r="B356" s="137"/>
      <c r="C356" s="137"/>
      <c r="D356" s="2"/>
      <c r="E356" s="15"/>
      <c r="F356" s="194"/>
      <c r="G356" s="3"/>
      <c r="H356" s="1"/>
      <c r="I356" s="2"/>
      <c r="J356" s="1"/>
      <c r="K356" s="2"/>
      <c r="L356" s="1"/>
      <c r="M356" s="2"/>
      <c r="N356" s="16"/>
    </row>
    <row r="357" spans="1:14" ht="14.25" customHeight="1" x14ac:dyDescent="0.3">
      <c r="A357" s="1"/>
      <c r="B357" s="137"/>
      <c r="C357" s="137"/>
      <c r="D357" s="2"/>
      <c r="E357" s="15"/>
      <c r="F357" s="194"/>
      <c r="G357" s="3"/>
      <c r="H357" s="1"/>
      <c r="I357" s="2"/>
      <c r="J357" s="1"/>
      <c r="K357" s="2"/>
      <c r="L357" s="1"/>
      <c r="M357" s="2"/>
      <c r="N357" s="16"/>
    </row>
    <row r="358" spans="1:14" ht="14.25" customHeight="1" x14ac:dyDescent="0.3">
      <c r="A358" s="1"/>
      <c r="B358" s="137"/>
      <c r="C358" s="137"/>
      <c r="D358" s="2"/>
      <c r="E358" s="15"/>
      <c r="F358" s="194"/>
      <c r="G358" s="3"/>
      <c r="H358" s="1"/>
      <c r="I358" s="2"/>
      <c r="J358" s="1"/>
      <c r="K358" s="2"/>
      <c r="L358" s="1"/>
      <c r="M358" s="2"/>
      <c r="N358" s="16"/>
    </row>
    <row r="359" spans="1:14" ht="14.25" customHeight="1" x14ac:dyDescent="0.3">
      <c r="A359" s="1"/>
      <c r="B359" s="137"/>
      <c r="C359" s="137"/>
      <c r="D359" s="2"/>
      <c r="E359" s="15"/>
      <c r="F359" s="194"/>
      <c r="G359" s="3"/>
      <c r="H359" s="1"/>
      <c r="I359" s="2"/>
      <c r="J359" s="1"/>
      <c r="K359" s="2"/>
      <c r="L359" s="1"/>
      <c r="M359" s="2"/>
      <c r="N359" s="16"/>
    </row>
    <row r="360" spans="1:14" ht="14.25" customHeight="1" x14ac:dyDescent="0.3">
      <c r="A360" s="1"/>
      <c r="B360" s="137"/>
      <c r="C360" s="137"/>
      <c r="D360" s="2"/>
      <c r="E360" s="15"/>
      <c r="F360" s="194"/>
      <c r="G360" s="3"/>
      <c r="H360" s="1"/>
      <c r="I360" s="2"/>
      <c r="J360" s="1"/>
      <c r="K360" s="2"/>
      <c r="L360" s="1"/>
      <c r="M360" s="2"/>
      <c r="N360" s="16"/>
    </row>
    <row r="361" spans="1:14" ht="14.25" customHeight="1" x14ac:dyDescent="0.3">
      <c r="A361" s="1"/>
      <c r="B361" s="137"/>
      <c r="C361" s="137"/>
      <c r="D361" s="2"/>
      <c r="E361" s="15"/>
      <c r="F361" s="194"/>
      <c r="G361" s="3"/>
      <c r="H361" s="1"/>
      <c r="I361" s="2"/>
      <c r="J361" s="1"/>
      <c r="K361" s="2"/>
      <c r="L361" s="1"/>
      <c r="M361" s="2"/>
      <c r="N361" s="16"/>
    </row>
    <row r="362" spans="1:14" ht="14.25" customHeight="1" x14ac:dyDescent="0.3">
      <c r="A362" s="1"/>
      <c r="B362" s="137"/>
      <c r="C362" s="137"/>
      <c r="D362" s="2"/>
      <c r="E362" s="15"/>
      <c r="F362" s="194"/>
      <c r="G362" s="3"/>
      <c r="H362" s="1"/>
      <c r="I362" s="2"/>
      <c r="J362" s="1"/>
      <c r="K362" s="2"/>
      <c r="L362" s="1"/>
      <c r="M362" s="2"/>
      <c r="N362" s="16"/>
    </row>
    <row r="363" spans="1:14" ht="14.25" customHeight="1" x14ac:dyDescent="0.3">
      <c r="A363" s="1"/>
      <c r="B363" s="137"/>
      <c r="C363" s="137"/>
      <c r="D363" s="2"/>
      <c r="E363" s="15"/>
      <c r="F363" s="194"/>
      <c r="G363" s="3"/>
      <c r="H363" s="1"/>
      <c r="I363" s="2"/>
      <c r="J363" s="1"/>
      <c r="K363" s="2"/>
      <c r="L363" s="1"/>
      <c r="M363" s="2"/>
      <c r="N363" s="16"/>
    </row>
    <row r="364" spans="1:14" ht="14.25" customHeight="1" x14ac:dyDescent="0.3">
      <c r="A364" s="1"/>
      <c r="B364" s="137"/>
      <c r="C364" s="137"/>
      <c r="D364" s="2"/>
      <c r="E364" s="15"/>
      <c r="F364" s="194"/>
      <c r="G364" s="3"/>
      <c r="H364" s="1"/>
      <c r="I364" s="2"/>
      <c r="J364" s="1"/>
      <c r="K364" s="2"/>
      <c r="L364" s="1"/>
      <c r="M364" s="2"/>
      <c r="N364" s="16"/>
    </row>
    <row r="365" spans="1:14" ht="14.25" customHeight="1" x14ac:dyDescent="0.3">
      <c r="A365" s="1"/>
      <c r="B365" s="137"/>
      <c r="C365" s="137"/>
      <c r="D365" s="2"/>
      <c r="E365" s="15"/>
      <c r="F365" s="194"/>
      <c r="G365" s="3"/>
      <c r="H365" s="1"/>
      <c r="I365" s="2"/>
      <c r="J365" s="1"/>
      <c r="K365" s="2"/>
      <c r="L365" s="1"/>
      <c r="M365" s="2"/>
      <c r="N365" s="16"/>
    </row>
    <row r="366" spans="1:14" ht="14.25" customHeight="1" x14ac:dyDescent="0.3">
      <c r="A366" s="1"/>
      <c r="B366" s="137"/>
      <c r="C366" s="137"/>
      <c r="D366" s="2"/>
      <c r="E366" s="15"/>
      <c r="F366" s="194"/>
      <c r="G366" s="3"/>
      <c r="H366" s="1"/>
      <c r="I366" s="2"/>
      <c r="J366" s="1"/>
      <c r="K366" s="2"/>
      <c r="L366" s="1"/>
      <c r="M366" s="2"/>
      <c r="N366" s="16"/>
    </row>
    <row r="367" spans="1:14" ht="14.25" customHeight="1" x14ac:dyDescent="0.3">
      <c r="A367" s="1"/>
      <c r="B367" s="137"/>
      <c r="C367" s="137"/>
      <c r="D367" s="2"/>
      <c r="E367" s="15"/>
      <c r="F367" s="194"/>
      <c r="G367" s="3"/>
      <c r="H367" s="1"/>
      <c r="I367" s="2"/>
      <c r="J367" s="1"/>
      <c r="K367" s="2"/>
      <c r="L367" s="1"/>
      <c r="M367" s="2"/>
      <c r="N367" s="16"/>
    </row>
    <row r="368" spans="1:14" ht="14.25" customHeight="1" x14ac:dyDescent="0.3">
      <c r="A368" s="1"/>
      <c r="B368" s="137"/>
      <c r="C368" s="137"/>
      <c r="D368" s="2"/>
      <c r="E368" s="15"/>
      <c r="F368" s="194"/>
      <c r="G368" s="3"/>
      <c r="H368" s="1"/>
      <c r="I368" s="2"/>
      <c r="J368" s="1"/>
      <c r="K368" s="2"/>
      <c r="L368" s="1"/>
      <c r="M368" s="2"/>
      <c r="N368" s="16"/>
    </row>
    <row r="369" spans="1:14" ht="14.25" customHeight="1" x14ac:dyDescent="0.3">
      <c r="A369" s="1"/>
      <c r="B369" s="137"/>
      <c r="C369" s="137"/>
      <c r="D369" s="2"/>
      <c r="E369" s="15"/>
      <c r="F369" s="194"/>
      <c r="G369" s="3"/>
      <c r="H369" s="1"/>
      <c r="I369" s="2"/>
      <c r="J369" s="1"/>
      <c r="K369" s="2"/>
      <c r="L369" s="1"/>
      <c r="M369" s="2"/>
      <c r="N369" s="16"/>
    </row>
    <row r="370" spans="1:14" ht="14.25" customHeight="1" x14ac:dyDescent="0.3">
      <c r="A370" s="1"/>
      <c r="B370" s="137"/>
      <c r="C370" s="137"/>
      <c r="D370" s="2"/>
      <c r="E370" s="15"/>
      <c r="F370" s="194"/>
      <c r="G370" s="3"/>
      <c r="H370" s="1"/>
      <c r="I370" s="2"/>
      <c r="J370" s="1"/>
      <c r="K370" s="2"/>
      <c r="L370" s="1"/>
      <c r="M370" s="2"/>
      <c r="N370" s="16"/>
    </row>
    <row r="371" spans="1:14" ht="14.25" customHeight="1" x14ac:dyDescent="0.3">
      <c r="A371" s="1"/>
      <c r="B371" s="137"/>
      <c r="C371" s="137"/>
      <c r="D371" s="2"/>
      <c r="E371" s="15"/>
      <c r="F371" s="194"/>
      <c r="G371" s="3"/>
      <c r="H371" s="1"/>
      <c r="I371" s="2"/>
      <c r="J371" s="1"/>
      <c r="K371" s="2"/>
      <c r="L371" s="1"/>
      <c r="M371" s="2"/>
      <c r="N371" s="16"/>
    </row>
    <row r="372" spans="1:14" ht="14.25" customHeight="1" x14ac:dyDescent="0.3">
      <c r="A372" s="1"/>
      <c r="B372" s="137"/>
      <c r="C372" s="137"/>
      <c r="D372" s="2"/>
      <c r="E372" s="15"/>
      <c r="F372" s="194"/>
      <c r="G372" s="3"/>
      <c r="H372" s="1"/>
      <c r="I372" s="2"/>
      <c r="J372" s="1"/>
      <c r="K372" s="2"/>
      <c r="L372" s="1"/>
      <c r="M372" s="2"/>
      <c r="N372" s="16"/>
    </row>
    <row r="373" spans="1:14" ht="14.25" customHeight="1" x14ac:dyDescent="0.3">
      <c r="A373" s="1"/>
      <c r="B373" s="137"/>
      <c r="C373" s="137"/>
      <c r="D373" s="2"/>
      <c r="E373" s="15"/>
      <c r="F373" s="194"/>
      <c r="G373" s="3"/>
      <c r="H373" s="1"/>
      <c r="I373" s="2"/>
      <c r="J373" s="1"/>
      <c r="K373" s="2"/>
      <c r="L373" s="1"/>
      <c r="M373" s="2"/>
      <c r="N373" s="16"/>
    </row>
    <row r="374" spans="1:14" ht="14.25" customHeight="1" x14ac:dyDescent="0.3">
      <c r="A374" s="1"/>
      <c r="B374" s="137"/>
      <c r="C374" s="137"/>
      <c r="D374" s="2"/>
      <c r="E374" s="15"/>
      <c r="F374" s="194"/>
      <c r="G374" s="3"/>
      <c r="H374" s="1"/>
      <c r="I374" s="2"/>
      <c r="J374" s="1"/>
      <c r="K374" s="2"/>
      <c r="L374" s="1"/>
      <c r="M374" s="2"/>
      <c r="N374" s="16"/>
    </row>
    <row r="375" spans="1:14" ht="14.25" customHeight="1" x14ac:dyDescent="0.3">
      <c r="A375" s="1"/>
      <c r="B375" s="137"/>
      <c r="C375" s="137"/>
      <c r="D375" s="2"/>
      <c r="E375" s="15"/>
      <c r="F375" s="194"/>
      <c r="G375" s="3"/>
      <c r="H375" s="1"/>
      <c r="I375" s="2"/>
      <c r="J375" s="1"/>
      <c r="K375" s="2"/>
      <c r="L375" s="1"/>
      <c r="M375" s="2"/>
      <c r="N375" s="16"/>
    </row>
    <row r="376" spans="1:14" ht="14.25" customHeight="1" x14ac:dyDescent="0.3">
      <c r="A376" s="1"/>
      <c r="B376" s="137"/>
      <c r="C376" s="137"/>
      <c r="D376" s="2"/>
      <c r="E376" s="15"/>
      <c r="F376" s="194"/>
      <c r="G376" s="3"/>
      <c r="H376" s="1"/>
      <c r="I376" s="2"/>
      <c r="J376" s="1"/>
      <c r="K376" s="2"/>
      <c r="L376" s="1"/>
      <c r="M376" s="2"/>
      <c r="N376" s="16"/>
    </row>
    <row r="377" spans="1:14" ht="14.25" customHeight="1" x14ac:dyDescent="0.3">
      <c r="A377" s="1"/>
      <c r="B377" s="137"/>
      <c r="C377" s="137"/>
      <c r="D377" s="2"/>
      <c r="E377" s="15"/>
      <c r="F377" s="194"/>
      <c r="G377" s="3"/>
      <c r="H377" s="1"/>
      <c r="I377" s="2"/>
      <c r="J377" s="1"/>
      <c r="K377" s="2"/>
      <c r="L377" s="1"/>
      <c r="M377" s="2"/>
      <c r="N377" s="16"/>
    </row>
    <row r="378" spans="1:14" ht="14.25" customHeight="1" x14ac:dyDescent="0.3">
      <c r="A378" s="1"/>
      <c r="B378" s="137"/>
      <c r="C378" s="137"/>
      <c r="D378" s="2"/>
      <c r="E378" s="15"/>
      <c r="F378" s="194"/>
      <c r="G378" s="3"/>
      <c r="H378" s="1"/>
      <c r="I378" s="2"/>
      <c r="J378" s="1"/>
      <c r="K378" s="2"/>
      <c r="L378" s="1"/>
      <c r="M378" s="2"/>
      <c r="N378" s="16"/>
    </row>
    <row r="379" spans="1:14" ht="14.25" customHeight="1" x14ac:dyDescent="0.3">
      <c r="A379" s="1"/>
      <c r="B379" s="137"/>
      <c r="C379" s="137"/>
      <c r="D379" s="2"/>
      <c r="E379" s="15"/>
      <c r="F379" s="194"/>
      <c r="G379" s="3"/>
      <c r="H379" s="1"/>
      <c r="I379" s="2"/>
      <c r="J379" s="1"/>
      <c r="K379" s="2"/>
      <c r="L379" s="1"/>
      <c r="M379" s="2"/>
      <c r="N379" s="16"/>
    </row>
    <row r="380" spans="1:14" ht="14.25" customHeight="1" x14ac:dyDescent="0.3">
      <c r="A380" s="1"/>
      <c r="B380" s="137"/>
      <c r="C380" s="137"/>
      <c r="D380" s="2"/>
      <c r="E380" s="15"/>
      <c r="F380" s="194"/>
      <c r="G380" s="3"/>
      <c r="H380" s="1"/>
      <c r="I380" s="2"/>
      <c r="J380" s="1"/>
      <c r="K380" s="2"/>
      <c r="L380" s="1"/>
      <c r="M380" s="2"/>
      <c r="N380" s="16"/>
    </row>
    <row r="381" spans="1:14" ht="14.25" customHeight="1" x14ac:dyDescent="0.3">
      <c r="A381" s="1"/>
      <c r="B381" s="137"/>
      <c r="C381" s="137"/>
      <c r="D381" s="2"/>
      <c r="E381" s="15"/>
      <c r="F381" s="194"/>
      <c r="G381" s="3"/>
      <c r="H381" s="1"/>
      <c r="I381" s="2"/>
      <c r="J381" s="1"/>
      <c r="K381" s="2"/>
      <c r="L381" s="1"/>
      <c r="M381" s="2"/>
      <c r="N381" s="16"/>
    </row>
    <row r="382" spans="1:14" ht="14.25" customHeight="1" x14ac:dyDescent="0.3">
      <c r="A382" s="1"/>
      <c r="B382" s="137"/>
      <c r="C382" s="137"/>
      <c r="D382" s="2"/>
      <c r="E382" s="15"/>
      <c r="F382" s="194"/>
      <c r="G382" s="3"/>
      <c r="H382" s="1"/>
      <c r="I382" s="2"/>
      <c r="J382" s="1"/>
      <c r="K382" s="2"/>
      <c r="L382" s="1"/>
      <c r="M382" s="2"/>
      <c r="N382" s="16"/>
    </row>
    <row r="383" spans="1:14" ht="14.25" customHeight="1" x14ac:dyDescent="0.3">
      <c r="A383" s="1"/>
      <c r="B383" s="137"/>
      <c r="C383" s="137"/>
      <c r="D383" s="2"/>
      <c r="E383" s="15"/>
      <c r="F383" s="194"/>
      <c r="G383" s="3"/>
      <c r="H383" s="1"/>
      <c r="I383" s="2"/>
      <c r="J383" s="1"/>
      <c r="K383" s="2"/>
      <c r="L383" s="1"/>
      <c r="M383" s="2"/>
      <c r="N383" s="16"/>
    </row>
    <row r="384" spans="1:14" ht="14.25" customHeight="1" x14ac:dyDescent="0.3">
      <c r="A384" s="1"/>
      <c r="B384" s="137"/>
      <c r="C384" s="137"/>
      <c r="D384" s="2"/>
      <c r="E384" s="15"/>
      <c r="F384" s="194"/>
      <c r="G384" s="3"/>
      <c r="H384" s="1"/>
      <c r="I384" s="2"/>
      <c r="J384" s="1"/>
      <c r="K384" s="2"/>
      <c r="L384" s="1"/>
      <c r="M384" s="2"/>
      <c r="N384" s="16"/>
    </row>
    <row r="385" spans="1:14" ht="14.25" customHeight="1" x14ac:dyDescent="0.3">
      <c r="A385" s="1"/>
      <c r="B385" s="137"/>
      <c r="C385" s="137"/>
      <c r="D385" s="2"/>
      <c r="E385" s="15"/>
      <c r="F385" s="194"/>
      <c r="G385" s="3"/>
      <c r="H385" s="1"/>
      <c r="I385" s="2"/>
      <c r="J385" s="1"/>
      <c r="K385" s="2"/>
      <c r="L385" s="1"/>
      <c r="M385" s="2"/>
      <c r="N385" s="16"/>
    </row>
    <row r="386" spans="1:14" ht="14.25" customHeight="1" x14ac:dyDescent="0.3">
      <c r="A386" s="1"/>
      <c r="B386" s="137"/>
      <c r="C386" s="137"/>
      <c r="D386" s="2"/>
      <c r="E386" s="15"/>
      <c r="F386" s="194"/>
      <c r="G386" s="3"/>
      <c r="H386" s="1"/>
      <c r="I386" s="2"/>
      <c r="J386" s="1"/>
      <c r="K386" s="2"/>
      <c r="L386" s="1"/>
      <c r="M386" s="2"/>
      <c r="N386" s="16"/>
    </row>
    <row r="387" spans="1:14" ht="14.25" customHeight="1" x14ac:dyDescent="0.3">
      <c r="A387" s="1"/>
      <c r="B387" s="137"/>
      <c r="C387" s="137"/>
      <c r="D387" s="2"/>
      <c r="E387" s="15"/>
      <c r="F387" s="194"/>
      <c r="G387" s="3"/>
      <c r="H387" s="1"/>
      <c r="I387" s="2"/>
      <c r="J387" s="1"/>
      <c r="K387" s="2"/>
      <c r="L387" s="1"/>
      <c r="M387" s="2"/>
      <c r="N387" s="16"/>
    </row>
    <row r="388" spans="1:14" ht="14.25" customHeight="1" x14ac:dyDescent="0.3">
      <c r="A388" s="1"/>
      <c r="B388" s="137"/>
      <c r="C388" s="137"/>
      <c r="D388" s="2"/>
      <c r="E388" s="15"/>
      <c r="F388" s="194"/>
      <c r="G388" s="3"/>
      <c r="H388" s="1"/>
      <c r="I388" s="2"/>
      <c r="J388" s="1"/>
      <c r="K388" s="2"/>
      <c r="L388" s="1"/>
      <c r="M388" s="2"/>
      <c r="N388" s="16"/>
    </row>
    <row r="389" spans="1:14" ht="14.25" customHeight="1" x14ac:dyDescent="0.3">
      <c r="A389" s="1"/>
      <c r="B389" s="137"/>
      <c r="C389" s="137"/>
      <c r="D389" s="2"/>
      <c r="E389" s="15"/>
      <c r="F389" s="194"/>
      <c r="G389" s="3"/>
      <c r="H389" s="1"/>
      <c r="I389" s="2"/>
      <c r="J389" s="1"/>
      <c r="K389" s="2"/>
      <c r="L389" s="1"/>
      <c r="M389" s="2"/>
      <c r="N389" s="16"/>
    </row>
    <row r="390" spans="1:14" ht="14.25" customHeight="1" x14ac:dyDescent="0.3">
      <c r="A390" s="1"/>
      <c r="B390" s="137"/>
      <c r="C390" s="137"/>
      <c r="D390" s="2"/>
      <c r="E390" s="15"/>
      <c r="F390" s="194"/>
      <c r="G390" s="3"/>
      <c r="H390" s="1"/>
      <c r="I390" s="2"/>
      <c r="J390" s="1"/>
      <c r="K390" s="2"/>
      <c r="L390" s="1"/>
      <c r="M390" s="2"/>
      <c r="N390" s="16"/>
    </row>
    <row r="391" spans="1:14" ht="14.25" customHeight="1" x14ac:dyDescent="0.3">
      <c r="A391" s="1"/>
      <c r="B391" s="137"/>
      <c r="C391" s="137"/>
      <c r="D391" s="2"/>
      <c r="E391" s="15"/>
      <c r="F391" s="194"/>
      <c r="G391" s="3"/>
      <c r="H391" s="1"/>
      <c r="I391" s="2"/>
      <c r="J391" s="1"/>
      <c r="K391" s="2"/>
      <c r="L391" s="1"/>
      <c r="M391" s="2"/>
      <c r="N391" s="16"/>
    </row>
    <row r="392" spans="1:14" ht="14.25" customHeight="1" x14ac:dyDescent="0.3">
      <c r="A392" s="1"/>
      <c r="B392" s="137"/>
      <c r="C392" s="137"/>
      <c r="D392" s="2"/>
      <c r="E392" s="15"/>
      <c r="F392" s="194"/>
      <c r="G392" s="3"/>
      <c r="H392" s="1"/>
      <c r="I392" s="2"/>
      <c r="J392" s="1"/>
      <c r="K392" s="2"/>
      <c r="L392" s="1"/>
      <c r="M392" s="2"/>
      <c r="N392" s="16"/>
    </row>
    <row r="393" spans="1:14" ht="14.25" customHeight="1" x14ac:dyDescent="0.3">
      <c r="A393" s="1"/>
      <c r="B393" s="137"/>
      <c r="C393" s="137"/>
      <c r="D393" s="2"/>
      <c r="E393" s="15"/>
      <c r="F393" s="194"/>
      <c r="G393" s="3"/>
      <c r="H393" s="1"/>
      <c r="I393" s="2"/>
      <c r="J393" s="1"/>
      <c r="K393" s="2"/>
      <c r="L393" s="1"/>
      <c r="M393" s="2"/>
      <c r="N393" s="16"/>
    </row>
    <row r="394" spans="1:14" ht="14.25" customHeight="1" x14ac:dyDescent="0.3">
      <c r="A394" s="1"/>
      <c r="B394" s="137"/>
      <c r="C394" s="137"/>
      <c r="D394" s="2"/>
      <c r="E394" s="15"/>
      <c r="F394" s="194"/>
      <c r="G394" s="3"/>
      <c r="H394" s="1"/>
      <c r="I394" s="2"/>
      <c r="J394" s="1"/>
      <c r="K394" s="2"/>
      <c r="L394" s="1"/>
      <c r="M394" s="2"/>
      <c r="N394" s="16"/>
    </row>
    <row r="395" spans="1:14" ht="14.25" customHeight="1" x14ac:dyDescent="0.3">
      <c r="A395" s="1"/>
      <c r="B395" s="137"/>
      <c r="C395" s="137"/>
      <c r="D395" s="2"/>
      <c r="E395" s="15"/>
      <c r="F395" s="194"/>
      <c r="G395" s="3"/>
      <c r="H395" s="1"/>
      <c r="I395" s="2"/>
      <c r="J395" s="1"/>
      <c r="K395" s="2"/>
      <c r="L395" s="1"/>
      <c r="M395" s="2"/>
      <c r="N395" s="16"/>
    </row>
    <row r="396" spans="1:14" ht="14.25" customHeight="1" x14ac:dyDescent="0.3">
      <c r="A396" s="1"/>
      <c r="B396" s="137"/>
      <c r="C396" s="137"/>
      <c r="D396" s="2"/>
      <c r="E396" s="15"/>
      <c r="F396" s="194"/>
      <c r="G396" s="3"/>
      <c r="H396" s="1"/>
      <c r="I396" s="2"/>
      <c r="J396" s="1"/>
      <c r="K396" s="2"/>
      <c r="L396" s="1"/>
      <c r="M396" s="2"/>
      <c r="N396" s="16"/>
    </row>
    <row r="397" spans="1:14" ht="14.25" customHeight="1" x14ac:dyDescent="0.3">
      <c r="A397" s="1"/>
      <c r="B397" s="137"/>
      <c r="C397" s="137"/>
      <c r="D397" s="2"/>
      <c r="E397" s="15"/>
      <c r="F397" s="194"/>
      <c r="G397" s="3"/>
      <c r="H397" s="1"/>
      <c r="I397" s="2"/>
      <c r="J397" s="1"/>
      <c r="K397" s="2"/>
      <c r="L397" s="1"/>
      <c r="M397" s="2"/>
      <c r="N397" s="16"/>
    </row>
    <row r="398" spans="1:14" ht="14.25" customHeight="1" x14ac:dyDescent="0.3">
      <c r="A398" s="1"/>
      <c r="B398" s="137"/>
      <c r="C398" s="137"/>
      <c r="D398" s="2"/>
      <c r="E398" s="15"/>
      <c r="F398" s="194"/>
      <c r="G398" s="3"/>
      <c r="H398" s="1"/>
      <c r="I398" s="2"/>
      <c r="J398" s="1"/>
      <c r="K398" s="2"/>
      <c r="L398" s="1"/>
      <c r="M398" s="2"/>
      <c r="N398" s="16"/>
    </row>
    <row r="399" spans="1:14" ht="14.25" customHeight="1" x14ac:dyDescent="0.3">
      <c r="A399" s="1"/>
      <c r="B399" s="137"/>
      <c r="C399" s="137"/>
      <c r="D399" s="2"/>
      <c r="E399" s="15"/>
      <c r="F399" s="194"/>
      <c r="G399" s="3"/>
      <c r="H399" s="1"/>
      <c r="I399" s="2"/>
      <c r="J399" s="1"/>
      <c r="K399" s="2"/>
      <c r="L399" s="1"/>
      <c r="M399" s="2"/>
      <c r="N399" s="16"/>
    </row>
    <row r="400" spans="1:14" ht="14.25" customHeight="1" x14ac:dyDescent="0.3">
      <c r="A400" s="1"/>
      <c r="B400" s="137"/>
      <c r="C400" s="137"/>
      <c r="D400" s="2"/>
      <c r="E400" s="15"/>
      <c r="F400" s="194"/>
      <c r="G400" s="3"/>
      <c r="H400" s="1"/>
      <c r="I400" s="2"/>
      <c r="J400" s="1"/>
      <c r="K400" s="2"/>
      <c r="L400" s="1"/>
      <c r="M400" s="2"/>
      <c r="N400" s="16"/>
    </row>
    <row r="401" spans="1:14" ht="14.25" customHeight="1" x14ac:dyDescent="0.3">
      <c r="A401" s="1"/>
      <c r="B401" s="137"/>
      <c r="C401" s="137"/>
      <c r="D401" s="2"/>
      <c r="E401" s="15"/>
      <c r="F401" s="194"/>
      <c r="G401" s="3"/>
      <c r="H401" s="1"/>
      <c r="I401" s="2"/>
      <c r="J401" s="1"/>
      <c r="K401" s="2"/>
      <c r="L401" s="1"/>
      <c r="M401" s="2"/>
      <c r="N401" s="16"/>
    </row>
    <row r="402" spans="1:14" ht="14.25" customHeight="1" x14ac:dyDescent="0.3">
      <c r="A402" s="1"/>
      <c r="B402" s="137"/>
      <c r="C402" s="137"/>
      <c r="D402" s="2"/>
      <c r="E402" s="15"/>
      <c r="F402" s="194"/>
      <c r="G402" s="3"/>
      <c r="H402" s="1"/>
      <c r="I402" s="2"/>
      <c r="J402" s="1"/>
      <c r="K402" s="2"/>
      <c r="L402" s="1"/>
      <c r="M402" s="2"/>
      <c r="N402" s="16"/>
    </row>
    <row r="403" spans="1:14" ht="14.25" customHeight="1" x14ac:dyDescent="0.3">
      <c r="A403" s="1"/>
      <c r="B403" s="137"/>
      <c r="C403" s="137"/>
      <c r="D403" s="2"/>
      <c r="E403" s="15"/>
      <c r="F403" s="194"/>
      <c r="G403" s="3"/>
      <c r="H403" s="1"/>
      <c r="I403" s="2"/>
      <c r="J403" s="1"/>
      <c r="K403" s="2"/>
      <c r="L403" s="1"/>
      <c r="M403" s="2"/>
      <c r="N403" s="16"/>
    </row>
    <row r="404" spans="1:14" ht="14.25" customHeight="1" x14ac:dyDescent="0.3">
      <c r="A404" s="1"/>
      <c r="B404" s="137"/>
      <c r="C404" s="137"/>
      <c r="D404" s="2"/>
      <c r="E404" s="15"/>
      <c r="F404" s="194"/>
      <c r="G404" s="3"/>
      <c r="H404" s="1"/>
      <c r="I404" s="2"/>
      <c r="J404" s="1"/>
      <c r="K404" s="2"/>
      <c r="L404" s="1"/>
      <c r="M404" s="2"/>
      <c r="N404" s="16"/>
    </row>
    <row r="405" spans="1:14" ht="14.25" customHeight="1" x14ac:dyDescent="0.3">
      <c r="A405" s="1"/>
      <c r="B405" s="137"/>
      <c r="C405" s="137"/>
      <c r="D405" s="2"/>
      <c r="E405" s="15"/>
      <c r="F405" s="194"/>
      <c r="G405" s="3"/>
      <c r="H405" s="1"/>
      <c r="I405" s="2"/>
      <c r="J405" s="1"/>
      <c r="K405" s="2"/>
      <c r="L405" s="1"/>
      <c r="M405" s="2"/>
      <c r="N405" s="16"/>
    </row>
    <row r="406" spans="1:14" ht="14.25" customHeight="1" x14ac:dyDescent="0.3">
      <c r="A406" s="1"/>
      <c r="B406" s="137"/>
      <c r="C406" s="137"/>
      <c r="D406" s="2"/>
      <c r="E406" s="15"/>
      <c r="F406" s="194"/>
      <c r="G406" s="3"/>
      <c r="H406" s="1"/>
      <c r="I406" s="2"/>
      <c r="J406" s="1"/>
      <c r="K406" s="2"/>
      <c r="L406" s="1"/>
      <c r="M406" s="2"/>
      <c r="N406" s="16"/>
    </row>
    <row r="407" spans="1:14" ht="14.25" customHeight="1" x14ac:dyDescent="0.3">
      <c r="A407" s="1"/>
      <c r="B407" s="137"/>
      <c r="C407" s="137"/>
      <c r="D407" s="2"/>
      <c r="E407" s="15"/>
      <c r="F407" s="194"/>
      <c r="G407" s="3"/>
      <c r="H407" s="1"/>
      <c r="I407" s="2"/>
      <c r="J407" s="1"/>
      <c r="K407" s="2"/>
      <c r="L407" s="1"/>
      <c r="M407" s="2"/>
      <c r="N407" s="16"/>
    </row>
    <row r="408" spans="1:14" ht="14.25" customHeight="1" x14ac:dyDescent="0.3">
      <c r="A408" s="1"/>
      <c r="B408" s="137"/>
      <c r="C408" s="137"/>
      <c r="D408" s="2"/>
      <c r="E408" s="15"/>
      <c r="F408" s="194"/>
      <c r="G408" s="3"/>
      <c r="H408" s="1"/>
      <c r="I408" s="2"/>
      <c r="J408" s="1"/>
      <c r="K408" s="2"/>
      <c r="L408" s="1"/>
      <c r="M408" s="2"/>
      <c r="N408" s="16"/>
    </row>
    <row r="409" spans="1:14" ht="14.25" customHeight="1" x14ac:dyDescent="0.3">
      <c r="A409" s="1"/>
      <c r="B409" s="137"/>
      <c r="C409" s="137"/>
      <c r="D409" s="2"/>
      <c r="E409" s="15"/>
      <c r="F409" s="194"/>
      <c r="G409" s="3"/>
      <c r="H409" s="1"/>
      <c r="I409" s="2"/>
      <c r="J409" s="1"/>
      <c r="K409" s="2"/>
      <c r="L409" s="1"/>
      <c r="M409" s="2"/>
      <c r="N409" s="16"/>
    </row>
    <row r="410" spans="1:14" ht="14.25" customHeight="1" x14ac:dyDescent="0.3">
      <c r="A410" s="1"/>
      <c r="B410" s="137"/>
      <c r="C410" s="137"/>
      <c r="D410" s="2"/>
      <c r="E410" s="15"/>
      <c r="F410" s="194"/>
      <c r="G410" s="3"/>
      <c r="H410" s="1"/>
      <c r="I410" s="2"/>
      <c r="J410" s="1"/>
      <c r="K410" s="2"/>
      <c r="L410" s="1"/>
      <c r="M410" s="2"/>
      <c r="N410" s="16"/>
    </row>
    <row r="411" spans="1:14" ht="14.25" customHeight="1" x14ac:dyDescent="0.3">
      <c r="A411" s="1"/>
      <c r="B411" s="137"/>
      <c r="C411" s="137"/>
      <c r="D411" s="2"/>
      <c r="E411" s="15"/>
      <c r="F411" s="194"/>
      <c r="G411" s="3"/>
      <c r="H411" s="1"/>
      <c r="I411" s="2"/>
      <c r="J411" s="1"/>
      <c r="K411" s="2"/>
      <c r="L411" s="1"/>
      <c r="M411" s="2"/>
      <c r="N411" s="16"/>
    </row>
    <row r="412" spans="1:14" ht="14.25" customHeight="1" x14ac:dyDescent="0.3">
      <c r="A412" s="1"/>
      <c r="B412" s="137"/>
      <c r="C412" s="137"/>
      <c r="D412" s="2"/>
      <c r="E412" s="15"/>
      <c r="F412" s="194"/>
      <c r="G412" s="3"/>
      <c r="H412" s="1"/>
      <c r="I412" s="2"/>
      <c r="J412" s="1"/>
      <c r="K412" s="2"/>
      <c r="L412" s="1"/>
      <c r="M412" s="2"/>
      <c r="N412" s="16"/>
    </row>
    <row r="413" spans="1:14" ht="14.25" customHeight="1" x14ac:dyDescent="0.3">
      <c r="A413" s="1"/>
      <c r="B413" s="137"/>
      <c r="C413" s="137"/>
      <c r="D413" s="2"/>
      <c r="E413" s="15"/>
      <c r="F413" s="194"/>
      <c r="G413" s="3"/>
      <c r="H413" s="1"/>
      <c r="I413" s="2"/>
      <c r="J413" s="1"/>
      <c r="K413" s="2"/>
      <c r="L413" s="1"/>
      <c r="M413" s="2"/>
      <c r="N413" s="16"/>
    </row>
    <row r="414" spans="1:14" ht="14.25" customHeight="1" x14ac:dyDescent="0.3">
      <c r="A414" s="1"/>
      <c r="B414" s="137"/>
      <c r="C414" s="137"/>
      <c r="D414" s="2"/>
      <c r="E414" s="15"/>
      <c r="F414" s="194"/>
      <c r="G414" s="3"/>
      <c r="H414" s="1"/>
      <c r="I414" s="2"/>
      <c r="J414" s="1"/>
      <c r="K414" s="2"/>
      <c r="L414" s="1"/>
      <c r="M414" s="2"/>
      <c r="N414" s="16"/>
    </row>
    <row r="415" spans="1:14" ht="14.25" customHeight="1" x14ac:dyDescent="0.3">
      <c r="A415" s="1"/>
      <c r="B415" s="137"/>
      <c r="C415" s="137"/>
      <c r="D415" s="2"/>
      <c r="E415" s="15"/>
      <c r="F415" s="194"/>
      <c r="G415" s="3"/>
      <c r="H415" s="1"/>
      <c r="I415" s="2"/>
      <c r="J415" s="1"/>
      <c r="K415" s="2"/>
      <c r="L415" s="1"/>
      <c r="M415" s="2"/>
      <c r="N415" s="16"/>
    </row>
    <row r="416" spans="1:14" ht="14.25" customHeight="1" x14ac:dyDescent="0.3">
      <c r="A416" s="1"/>
      <c r="B416" s="137"/>
      <c r="C416" s="137"/>
      <c r="D416" s="2"/>
      <c r="E416" s="15"/>
      <c r="F416" s="194"/>
      <c r="G416" s="3"/>
      <c r="H416" s="1"/>
      <c r="I416" s="2"/>
      <c r="J416" s="1"/>
      <c r="K416" s="2"/>
      <c r="L416" s="1"/>
      <c r="M416" s="2"/>
      <c r="N416" s="16"/>
    </row>
    <row r="417" spans="1:14" ht="14.25" customHeight="1" x14ac:dyDescent="0.3">
      <c r="A417" s="1"/>
      <c r="B417" s="137"/>
      <c r="C417" s="137"/>
      <c r="D417" s="2"/>
      <c r="E417" s="15"/>
      <c r="F417" s="194"/>
      <c r="G417" s="3"/>
      <c r="H417" s="1"/>
      <c r="I417" s="2"/>
      <c r="J417" s="1"/>
      <c r="K417" s="2"/>
      <c r="L417" s="1"/>
      <c r="M417" s="2"/>
      <c r="N417" s="16"/>
    </row>
    <row r="418" spans="1:14" ht="14.25" customHeight="1" x14ac:dyDescent="0.3">
      <c r="A418" s="1"/>
      <c r="B418" s="137"/>
      <c r="C418" s="137"/>
      <c r="D418" s="2"/>
      <c r="E418" s="15"/>
      <c r="F418" s="194"/>
      <c r="G418" s="3"/>
      <c r="H418" s="1"/>
      <c r="I418" s="2"/>
      <c r="J418" s="1"/>
      <c r="K418" s="2"/>
      <c r="L418" s="1"/>
      <c r="M418" s="2"/>
      <c r="N418" s="16"/>
    </row>
    <row r="419" spans="1:14" ht="14.25" customHeight="1" x14ac:dyDescent="0.3">
      <c r="A419" s="1"/>
      <c r="B419" s="137"/>
      <c r="C419" s="137"/>
      <c r="D419" s="2"/>
      <c r="E419" s="15"/>
      <c r="F419" s="194"/>
      <c r="G419" s="3"/>
      <c r="H419" s="1"/>
      <c r="I419" s="2"/>
      <c r="J419" s="1"/>
      <c r="K419" s="2"/>
      <c r="L419" s="1"/>
      <c r="M419" s="2"/>
      <c r="N419" s="16"/>
    </row>
    <row r="420" spans="1:14" ht="14.25" customHeight="1" x14ac:dyDescent="0.3">
      <c r="A420" s="1"/>
      <c r="B420" s="137"/>
      <c r="C420" s="137"/>
      <c r="D420" s="2"/>
      <c r="E420" s="15"/>
      <c r="F420" s="194"/>
      <c r="G420" s="3"/>
      <c r="H420" s="1"/>
      <c r="I420" s="2"/>
      <c r="J420" s="1"/>
      <c r="K420" s="2"/>
      <c r="L420" s="1"/>
      <c r="M420" s="2"/>
      <c r="N420" s="16"/>
    </row>
    <row r="421" spans="1:14" ht="14.25" customHeight="1" x14ac:dyDescent="0.3">
      <c r="A421" s="1"/>
      <c r="B421" s="137"/>
      <c r="C421" s="137"/>
      <c r="D421" s="2"/>
      <c r="E421" s="15"/>
      <c r="F421" s="194"/>
      <c r="G421" s="3"/>
      <c r="H421" s="1"/>
      <c r="I421" s="2"/>
      <c r="J421" s="1"/>
      <c r="K421" s="2"/>
      <c r="L421" s="1"/>
      <c r="M421" s="2"/>
      <c r="N421" s="16"/>
    </row>
    <row r="422" spans="1:14" ht="14.25" customHeight="1" x14ac:dyDescent="0.3">
      <c r="A422" s="1"/>
      <c r="B422" s="137"/>
      <c r="C422" s="137"/>
      <c r="D422" s="2"/>
      <c r="E422" s="15"/>
      <c r="F422" s="194"/>
      <c r="G422" s="3"/>
      <c r="H422" s="1"/>
      <c r="I422" s="2"/>
      <c r="J422" s="1"/>
      <c r="K422" s="2"/>
      <c r="L422" s="1"/>
      <c r="M422" s="2"/>
      <c r="N422" s="16"/>
    </row>
    <row r="423" spans="1:14" ht="14.25" customHeight="1" x14ac:dyDescent="0.3">
      <c r="A423" s="1"/>
      <c r="B423" s="137"/>
      <c r="C423" s="137"/>
      <c r="D423" s="2"/>
      <c r="E423" s="15"/>
      <c r="F423" s="194"/>
      <c r="G423" s="3"/>
      <c r="H423" s="1"/>
      <c r="I423" s="2"/>
      <c r="J423" s="1"/>
      <c r="K423" s="2"/>
      <c r="L423" s="1"/>
      <c r="M423" s="2"/>
      <c r="N423" s="16"/>
    </row>
    <row r="424" spans="1:14" ht="14.25" customHeight="1" x14ac:dyDescent="0.3">
      <c r="A424" s="1"/>
      <c r="B424" s="137"/>
      <c r="C424" s="137"/>
      <c r="D424" s="2"/>
      <c r="E424" s="15"/>
      <c r="F424" s="194"/>
      <c r="G424" s="3"/>
      <c r="H424" s="1"/>
      <c r="I424" s="2"/>
      <c r="J424" s="1"/>
      <c r="K424" s="2"/>
      <c r="L424" s="1"/>
      <c r="M424" s="2"/>
      <c r="N424" s="16"/>
    </row>
    <row r="425" spans="1:14" ht="14.25" customHeight="1" x14ac:dyDescent="0.3">
      <c r="A425" s="1"/>
      <c r="B425" s="137"/>
      <c r="C425" s="137"/>
      <c r="D425" s="2"/>
      <c r="E425" s="15"/>
      <c r="F425" s="194"/>
      <c r="G425" s="3"/>
      <c r="H425" s="1"/>
      <c r="I425" s="2"/>
      <c r="J425" s="1"/>
      <c r="K425" s="2"/>
      <c r="L425" s="1"/>
      <c r="M425" s="2"/>
      <c r="N425" s="16"/>
    </row>
    <row r="426" spans="1:14" ht="14.25" customHeight="1" x14ac:dyDescent="0.3">
      <c r="A426" s="1"/>
      <c r="B426" s="137"/>
      <c r="C426" s="137"/>
      <c r="D426" s="2"/>
      <c r="E426" s="15"/>
      <c r="F426" s="194"/>
      <c r="G426" s="3"/>
      <c r="H426" s="1"/>
      <c r="I426" s="2"/>
      <c r="J426" s="1"/>
      <c r="K426" s="2"/>
      <c r="L426" s="1"/>
      <c r="M426" s="2"/>
      <c r="N426" s="16"/>
    </row>
    <row r="427" spans="1:14" ht="14.25" customHeight="1" x14ac:dyDescent="0.3">
      <c r="A427" s="1"/>
      <c r="B427" s="137"/>
      <c r="C427" s="137"/>
      <c r="D427" s="2"/>
      <c r="E427" s="15"/>
      <c r="F427" s="194"/>
      <c r="G427" s="3"/>
      <c r="H427" s="1"/>
      <c r="I427" s="2"/>
      <c r="J427" s="1"/>
      <c r="K427" s="2"/>
      <c r="L427" s="1"/>
      <c r="M427" s="2"/>
      <c r="N427" s="16"/>
    </row>
    <row r="428" spans="1:14" ht="14.25" customHeight="1" x14ac:dyDescent="0.3">
      <c r="A428" s="1"/>
      <c r="B428" s="137"/>
      <c r="C428" s="137"/>
      <c r="D428" s="2"/>
      <c r="E428" s="15"/>
      <c r="F428" s="194"/>
      <c r="G428" s="3"/>
      <c r="H428" s="1"/>
      <c r="I428" s="2"/>
      <c r="J428" s="1"/>
      <c r="K428" s="2"/>
      <c r="L428" s="1"/>
      <c r="M428" s="2"/>
      <c r="N428" s="16"/>
    </row>
    <row r="429" spans="1:14" ht="14.25" customHeight="1" x14ac:dyDescent="0.3">
      <c r="A429" s="1"/>
      <c r="B429" s="137"/>
      <c r="C429" s="137"/>
      <c r="D429" s="2"/>
      <c r="E429" s="15"/>
      <c r="F429" s="194"/>
      <c r="G429" s="3"/>
      <c r="H429" s="1"/>
      <c r="I429" s="2"/>
      <c r="J429" s="1"/>
      <c r="K429" s="2"/>
      <c r="L429" s="1"/>
      <c r="M429" s="2"/>
      <c r="N429" s="16"/>
    </row>
    <row r="430" spans="1:14" ht="14.25" customHeight="1" x14ac:dyDescent="0.3">
      <c r="A430" s="1"/>
      <c r="B430" s="137"/>
      <c r="C430" s="137"/>
      <c r="D430" s="2"/>
      <c r="E430" s="15"/>
      <c r="F430" s="194"/>
      <c r="G430" s="3"/>
      <c r="H430" s="1"/>
      <c r="I430" s="2"/>
      <c r="J430" s="1"/>
      <c r="K430" s="2"/>
      <c r="L430" s="1"/>
      <c r="M430" s="2"/>
      <c r="N430" s="16"/>
    </row>
    <row r="431" spans="1:14" ht="14.25" customHeight="1" x14ac:dyDescent="0.3">
      <c r="A431" s="1"/>
      <c r="B431" s="137"/>
      <c r="C431" s="137"/>
      <c r="D431" s="2"/>
      <c r="E431" s="15"/>
      <c r="F431" s="194"/>
      <c r="G431" s="3"/>
      <c r="H431" s="1"/>
      <c r="I431" s="2"/>
      <c r="J431" s="1"/>
      <c r="K431" s="2"/>
      <c r="L431" s="1"/>
      <c r="M431" s="2"/>
      <c r="N431" s="16"/>
    </row>
    <row r="432" spans="1:14" ht="14.25" customHeight="1" x14ac:dyDescent="0.3">
      <c r="A432" s="1"/>
      <c r="B432" s="137"/>
      <c r="C432" s="137"/>
      <c r="D432" s="2"/>
      <c r="E432" s="15"/>
      <c r="F432" s="194"/>
      <c r="G432" s="3"/>
      <c r="H432" s="1"/>
      <c r="I432" s="2"/>
      <c r="J432" s="1"/>
      <c r="K432" s="2"/>
      <c r="L432" s="1"/>
      <c r="M432" s="2"/>
      <c r="N432" s="16"/>
    </row>
    <row r="433" spans="1:14" ht="14.25" customHeight="1" x14ac:dyDescent="0.3">
      <c r="A433" s="1"/>
      <c r="B433" s="137"/>
      <c r="C433" s="137"/>
      <c r="D433" s="2"/>
      <c r="E433" s="15"/>
      <c r="F433" s="194"/>
      <c r="G433" s="3"/>
      <c r="H433" s="1"/>
      <c r="I433" s="2"/>
      <c r="J433" s="1"/>
      <c r="K433" s="2"/>
      <c r="L433" s="1"/>
      <c r="M433" s="2"/>
      <c r="N433" s="16"/>
    </row>
    <row r="434" spans="1:14" ht="14.25" customHeight="1" x14ac:dyDescent="0.3">
      <c r="A434" s="1"/>
      <c r="B434" s="137"/>
      <c r="C434" s="137"/>
      <c r="D434" s="2"/>
      <c r="E434" s="15"/>
      <c r="F434" s="194"/>
      <c r="G434" s="3"/>
      <c r="H434" s="1"/>
      <c r="I434" s="2"/>
      <c r="J434" s="1"/>
      <c r="K434" s="2"/>
      <c r="L434" s="1"/>
      <c r="M434" s="2"/>
      <c r="N434" s="16"/>
    </row>
    <row r="435" spans="1:14" ht="14.25" customHeight="1" x14ac:dyDescent="0.3">
      <c r="A435" s="1"/>
      <c r="B435" s="137"/>
      <c r="C435" s="137"/>
      <c r="D435" s="2"/>
      <c r="E435" s="15"/>
      <c r="F435" s="194"/>
      <c r="G435" s="3"/>
      <c r="H435" s="1"/>
      <c r="I435" s="2"/>
      <c r="J435" s="1"/>
      <c r="K435" s="2"/>
      <c r="L435" s="1"/>
      <c r="M435" s="2"/>
      <c r="N435" s="16"/>
    </row>
    <row r="436" spans="1:14" ht="14.25" customHeight="1" x14ac:dyDescent="0.3">
      <c r="A436" s="1"/>
      <c r="B436" s="137"/>
      <c r="C436" s="137"/>
      <c r="D436" s="2"/>
      <c r="E436" s="15"/>
      <c r="F436" s="194"/>
      <c r="G436" s="3"/>
      <c r="H436" s="1"/>
      <c r="I436" s="2"/>
      <c r="J436" s="1"/>
      <c r="K436" s="2"/>
      <c r="L436" s="1"/>
      <c r="M436" s="2"/>
      <c r="N436" s="16"/>
    </row>
    <row r="437" spans="1:14" ht="14.25" customHeight="1" x14ac:dyDescent="0.3">
      <c r="A437" s="1"/>
      <c r="B437" s="137"/>
      <c r="C437" s="137"/>
      <c r="D437" s="2"/>
      <c r="E437" s="15"/>
      <c r="F437" s="194"/>
      <c r="G437" s="3"/>
      <c r="H437" s="1"/>
      <c r="I437" s="2"/>
      <c r="J437" s="1"/>
      <c r="K437" s="2"/>
      <c r="L437" s="1"/>
      <c r="M437" s="2"/>
      <c r="N437" s="16"/>
    </row>
    <row r="438" spans="1:14" ht="14.25" customHeight="1" x14ac:dyDescent="0.3">
      <c r="A438" s="1"/>
      <c r="B438" s="137"/>
      <c r="C438" s="137"/>
      <c r="D438" s="2"/>
      <c r="E438" s="15"/>
      <c r="F438" s="194"/>
      <c r="G438" s="3"/>
      <c r="H438" s="1"/>
      <c r="I438" s="2"/>
      <c r="J438" s="1"/>
      <c r="K438" s="2"/>
      <c r="L438" s="1"/>
      <c r="M438" s="2"/>
      <c r="N438" s="16"/>
    </row>
    <row r="439" spans="1:14" ht="14.25" customHeight="1" x14ac:dyDescent="0.3">
      <c r="A439" s="1"/>
      <c r="B439" s="137"/>
      <c r="C439" s="137"/>
      <c r="D439" s="2"/>
      <c r="E439" s="15"/>
      <c r="F439" s="194"/>
      <c r="G439" s="3"/>
      <c r="H439" s="1"/>
      <c r="I439" s="2"/>
      <c r="J439" s="1"/>
      <c r="K439" s="2"/>
      <c r="L439" s="1"/>
      <c r="M439" s="2"/>
      <c r="N439" s="16"/>
    </row>
    <row r="440" spans="1:14" ht="14.25" customHeight="1" x14ac:dyDescent="0.3">
      <c r="A440" s="1"/>
      <c r="B440" s="137"/>
      <c r="C440" s="137"/>
      <c r="D440" s="2"/>
      <c r="E440" s="15"/>
      <c r="F440" s="194"/>
      <c r="G440" s="3"/>
      <c r="H440" s="1"/>
      <c r="I440" s="2"/>
      <c r="J440" s="1"/>
      <c r="K440" s="2"/>
      <c r="L440" s="1"/>
      <c r="M440" s="2"/>
      <c r="N440" s="16"/>
    </row>
    <row r="441" spans="1:14" ht="14.25" customHeight="1" x14ac:dyDescent="0.3">
      <c r="A441" s="1"/>
      <c r="B441" s="137"/>
      <c r="C441" s="137"/>
      <c r="D441" s="2"/>
      <c r="E441" s="15"/>
      <c r="F441" s="194"/>
      <c r="G441" s="3"/>
      <c r="H441" s="1"/>
      <c r="I441" s="2"/>
      <c r="J441" s="1"/>
      <c r="K441" s="2"/>
      <c r="L441" s="1"/>
      <c r="M441" s="2"/>
      <c r="N441" s="16"/>
    </row>
    <row r="442" spans="1:14" ht="14.25" customHeight="1" x14ac:dyDescent="0.3">
      <c r="A442" s="1"/>
      <c r="B442" s="137"/>
      <c r="C442" s="137"/>
      <c r="D442" s="2"/>
      <c r="E442" s="15"/>
      <c r="F442" s="194"/>
      <c r="G442" s="3"/>
      <c r="H442" s="1"/>
      <c r="I442" s="2"/>
      <c r="J442" s="1"/>
      <c r="K442" s="2"/>
      <c r="L442" s="1"/>
      <c r="M442" s="2"/>
      <c r="N442" s="16"/>
    </row>
    <row r="443" spans="1:14" ht="14.25" customHeight="1" x14ac:dyDescent="0.3">
      <c r="A443" s="1"/>
      <c r="B443" s="137"/>
      <c r="C443" s="137"/>
      <c r="D443" s="2"/>
      <c r="E443" s="15"/>
      <c r="F443" s="194"/>
      <c r="G443" s="3"/>
      <c r="H443" s="1"/>
      <c r="I443" s="2"/>
      <c r="J443" s="1"/>
      <c r="K443" s="2"/>
      <c r="L443" s="1"/>
      <c r="M443" s="2"/>
      <c r="N443" s="16"/>
    </row>
    <row r="444" spans="1:14" ht="14.25" customHeight="1" x14ac:dyDescent="0.3">
      <c r="A444" s="1"/>
      <c r="B444" s="137"/>
      <c r="C444" s="137"/>
      <c r="D444" s="2"/>
      <c r="E444" s="15"/>
      <c r="F444" s="194"/>
      <c r="G444" s="3"/>
      <c r="H444" s="1"/>
      <c r="I444" s="2"/>
      <c r="J444" s="1"/>
      <c r="K444" s="2"/>
      <c r="L444" s="1"/>
      <c r="M444" s="2"/>
      <c r="N444" s="16"/>
    </row>
    <row r="445" spans="1:14" ht="14.25" customHeight="1" x14ac:dyDescent="0.3">
      <c r="A445" s="1"/>
      <c r="B445" s="137"/>
      <c r="C445" s="137"/>
      <c r="D445" s="2"/>
      <c r="E445" s="15"/>
      <c r="F445" s="194"/>
      <c r="G445" s="3"/>
      <c r="H445" s="1"/>
      <c r="I445" s="2"/>
      <c r="J445" s="1"/>
      <c r="K445" s="2"/>
      <c r="L445" s="1"/>
      <c r="M445" s="2"/>
      <c r="N445" s="16"/>
    </row>
    <row r="446" spans="1:14" ht="14.25" customHeight="1" x14ac:dyDescent="0.3">
      <c r="A446" s="1"/>
      <c r="B446" s="137"/>
      <c r="C446" s="137"/>
      <c r="D446" s="2"/>
      <c r="E446" s="15"/>
      <c r="F446" s="194"/>
      <c r="G446" s="3"/>
      <c r="H446" s="1"/>
      <c r="I446" s="2"/>
      <c r="J446" s="1"/>
      <c r="K446" s="2"/>
      <c r="L446" s="1"/>
      <c r="M446" s="2"/>
      <c r="N446" s="16"/>
    </row>
    <row r="447" spans="1:14" ht="14.25" customHeight="1" x14ac:dyDescent="0.3">
      <c r="A447" s="1"/>
      <c r="B447" s="137"/>
      <c r="C447" s="137"/>
      <c r="D447" s="2"/>
      <c r="E447" s="15"/>
      <c r="F447" s="194"/>
      <c r="G447" s="3"/>
      <c r="H447" s="1"/>
      <c r="I447" s="2"/>
      <c r="J447" s="1"/>
      <c r="K447" s="2"/>
      <c r="L447" s="1"/>
      <c r="M447" s="2"/>
      <c r="N447" s="16"/>
    </row>
    <row r="448" spans="1:14" ht="14.25" customHeight="1" x14ac:dyDescent="0.3">
      <c r="A448" s="1"/>
      <c r="B448" s="137"/>
      <c r="C448" s="137"/>
      <c r="D448" s="2"/>
      <c r="E448" s="15"/>
      <c r="F448" s="194"/>
      <c r="G448" s="3"/>
      <c r="H448" s="1"/>
      <c r="I448" s="2"/>
      <c r="J448" s="1"/>
      <c r="K448" s="2"/>
      <c r="L448" s="1"/>
      <c r="M448" s="2"/>
      <c r="N448" s="16"/>
    </row>
    <row r="449" spans="1:14" ht="14.25" customHeight="1" x14ac:dyDescent="0.3">
      <c r="A449" s="1"/>
      <c r="B449" s="137"/>
      <c r="C449" s="137"/>
      <c r="D449" s="2"/>
      <c r="E449" s="15"/>
      <c r="F449" s="194"/>
      <c r="G449" s="3"/>
      <c r="H449" s="1"/>
      <c r="I449" s="2"/>
      <c r="J449" s="1"/>
      <c r="K449" s="2"/>
      <c r="L449" s="1"/>
      <c r="M449" s="2"/>
      <c r="N449" s="16"/>
    </row>
    <row r="450" spans="1:14" ht="14.25" customHeight="1" x14ac:dyDescent="0.3">
      <c r="A450" s="1"/>
      <c r="B450" s="137"/>
      <c r="C450" s="137"/>
      <c r="D450" s="2"/>
      <c r="E450" s="15"/>
      <c r="F450" s="194"/>
      <c r="G450" s="3"/>
      <c r="H450" s="1"/>
      <c r="I450" s="2"/>
      <c r="J450" s="1"/>
      <c r="K450" s="2"/>
      <c r="L450" s="1"/>
      <c r="M450" s="2"/>
      <c r="N450" s="16"/>
    </row>
    <row r="451" spans="1:14" ht="14.25" customHeight="1" x14ac:dyDescent="0.3">
      <c r="A451" s="1"/>
      <c r="B451" s="137"/>
      <c r="C451" s="137"/>
      <c r="D451" s="2"/>
      <c r="E451" s="15"/>
      <c r="F451" s="194"/>
      <c r="G451" s="3"/>
      <c r="H451" s="1"/>
      <c r="I451" s="2"/>
      <c r="J451" s="1"/>
      <c r="K451" s="2"/>
      <c r="L451" s="1"/>
      <c r="M451" s="2"/>
      <c r="N451" s="16"/>
    </row>
    <row r="452" spans="1:14" ht="14.25" customHeight="1" x14ac:dyDescent="0.3">
      <c r="A452" s="1"/>
      <c r="B452" s="137"/>
      <c r="C452" s="137"/>
      <c r="D452" s="2"/>
      <c r="E452" s="15"/>
      <c r="F452" s="194"/>
      <c r="G452" s="3"/>
      <c r="H452" s="1"/>
      <c r="I452" s="2"/>
      <c r="J452" s="1"/>
      <c r="K452" s="2"/>
      <c r="L452" s="1"/>
      <c r="M452" s="2"/>
      <c r="N452" s="16"/>
    </row>
    <row r="453" spans="1:14" ht="14.25" customHeight="1" x14ac:dyDescent="0.3">
      <c r="A453" s="1"/>
      <c r="B453" s="137"/>
      <c r="C453" s="137"/>
      <c r="D453" s="2"/>
      <c r="E453" s="15"/>
      <c r="F453" s="194"/>
      <c r="G453" s="3"/>
      <c r="H453" s="1"/>
      <c r="I453" s="2"/>
      <c r="J453" s="1"/>
      <c r="K453" s="2"/>
      <c r="L453" s="1"/>
      <c r="M453" s="2"/>
      <c r="N453" s="16"/>
    </row>
    <row r="454" spans="1:14" ht="14.25" customHeight="1" x14ac:dyDescent="0.3">
      <c r="A454" s="1"/>
      <c r="B454" s="137"/>
      <c r="C454" s="137"/>
      <c r="D454" s="2"/>
      <c r="E454" s="15"/>
      <c r="F454" s="194"/>
      <c r="G454" s="3"/>
      <c r="H454" s="1"/>
      <c r="I454" s="2"/>
      <c r="J454" s="1"/>
      <c r="K454" s="2"/>
      <c r="L454" s="1"/>
      <c r="M454" s="2"/>
      <c r="N454" s="16"/>
    </row>
    <row r="455" spans="1:14" ht="14.25" customHeight="1" x14ac:dyDescent="0.3">
      <c r="A455" s="1"/>
      <c r="B455" s="137"/>
      <c r="C455" s="137"/>
      <c r="D455" s="2"/>
      <c r="E455" s="15"/>
      <c r="F455" s="194"/>
      <c r="G455" s="3"/>
      <c r="H455" s="1"/>
      <c r="I455" s="2"/>
      <c r="J455" s="1"/>
      <c r="K455" s="2"/>
      <c r="L455" s="1"/>
      <c r="M455" s="2"/>
      <c r="N455" s="16"/>
    </row>
    <row r="456" spans="1:14" ht="14.25" customHeight="1" x14ac:dyDescent="0.3">
      <c r="A456" s="1"/>
      <c r="B456" s="137"/>
      <c r="C456" s="137"/>
      <c r="D456" s="2"/>
      <c r="E456" s="15"/>
      <c r="F456" s="194"/>
      <c r="G456" s="3"/>
      <c r="H456" s="1"/>
      <c r="I456" s="2"/>
      <c r="J456" s="1"/>
      <c r="K456" s="2"/>
      <c r="L456" s="1"/>
      <c r="M456" s="2"/>
      <c r="N456" s="16"/>
    </row>
    <row r="457" spans="1:14" ht="14.25" customHeight="1" x14ac:dyDescent="0.3">
      <c r="A457" s="1"/>
      <c r="B457" s="137"/>
      <c r="C457" s="137"/>
      <c r="D457" s="2"/>
      <c r="E457" s="15"/>
      <c r="F457" s="194"/>
      <c r="G457" s="3"/>
      <c r="H457" s="1"/>
      <c r="I457" s="2"/>
      <c r="J457" s="1"/>
      <c r="K457" s="2"/>
      <c r="L457" s="1"/>
      <c r="M457" s="2"/>
      <c r="N457" s="16"/>
    </row>
    <row r="458" spans="1:14" ht="14.25" customHeight="1" x14ac:dyDescent="0.3">
      <c r="A458" s="1"/>
      <c r="B458" s="137"/>
      <c r="C458" s="137"/>
      <c r="D458" s="2"/>
      <c r="E458" s="15"/>
      <c r="F458" s="194"/>
      <c r="G458" s="3"/>
      <c r="H458" s="1"/>
      <c r="I458" s="2"/>
      <c r="J458" s="1"/>
      <c r="K458" s="2"/>
      <c r="L458" s="1"/>
      <c r="M458" s="2"/>
      <c r="N458" s="16"/>
    </row>
    <row r="459" spans="1:14" ht="14.25" customHeight="1" x14ac:dyDescent="0.3">
      <c r="A459" s="1"/>
      <c r="B459" s="137"/>
      <c r="C459" s="137"/>
      <c r="D459" s="2"/>
      <c r="E459" s="15"/>
      <c r="F459" s="194"/>
      <c r="G459" s="3"/>
      <c r="H459" s="1"/>
      <c r="I459" s="2"/>
      <c r="J459" s="1"/>
      <c r="K459" s="2"/>
      <c r="L459" s="1"/>
      <c r="M459" s="2"/>
      <c r="N459" s="16"/>
    </row>
    <row r="460" spans="1:14" ht="14.25" customHeight="1" x14ac:dyDescent="0.3">
      <c r="A460" s="1"/>
      <c r="B460" s="137"/>
      <c r="C460" s="137"/>
      <c r="D460" s="2"/>
      <c r="E460" s="15"/>
      <c r="F460" s="194"/>
      <c r="G460" s="3"/>
      <c r="H460" s="1"/>
      <c r="I460" s="2"/>
      <c r="J460" s="1"/>
      <c r="K460" s="2"/>
      <c r="L460" s="1"/>
      <c r="M460" s="2"/>
      <c r="N460" s="16"/>
    </row>
    <row r="461" spans="1:14" ht="14.25" customHeight="1" x14ac:dyDescent="0.3">
      <c r="A461" s="1"/>
      <c r="B461" s="137"/>
      <c r="C461" s="137"/>
      <c r="D461" s="2"/>
      <c r="E461" s="15"/>
      <c r="F461" s="194"/>
      <c r="G461" s="3"/>
      <c r="H461" s="1"/>
      <c r="I461" s="2"/>
      <c r="J461" s="1"/>
      <c r="K461" s="2"/>
      <c r="L461" s="1"/>
      <c r="M461" s="2"/>
      <c r="N461" s="16"/>
    </row>
    <row r="462" spans="1:14" ht="14.25" customHeight="1" x14ac:dyDescent="0.3">
      <c r="A462" s="1"/>
      <c r="B462" s="137"/>
      <c r="C462" s="137"/>
      <c r="D462" s="2"/>
      <c r="E462" s="15"/>
      <c r="F462" s="194"/>
      <c r="G462" s="3"/>
      <c r="H462" s="1"/>
      <c r="I462" s="2"/>
      <c r="J462" s="1"/>
      <c r="K462" s="2"/>
      <c r="L462" s="1"/>
      <c r="M462" s="2"/>
      <c r="N462" s="16"/>
    </row>
    <row r="463" spans="1:14" ht="14.25" customHeight="1" x14ac:dyDescent="0.3">
      <c r="A463" s="1"/>
      <c r="B463" s="137"/>
      <c r="C463" s="137"/>
      <c r="D463" s="2"/>
      <c r="E463" s="15"/>
      <c r="F463" s="194"/>
      <c r="G463" s="3"/>
      <c r="H463" s="1"/>
      <c r="I463" s="2"/>
      <c r="J463" s="1"/>
      <c r="K463" s="2"/>
      <c r="L463" s="1"/>
      <c r="M463" s="2"/>
      <c r="N463" s="16"/>
    </row>
    <row r="464" spans="1:14" ht="14.25" customHeight="1" x14ac:dyDescent="0.3">
      <c r="A464" s="1"/>
      <c r="B464" s="137"/>
      <c r="C464" s="137"/>
      <c r="D464" s="2"/>
      <c r="E464" s="15"/>
      <c r="F464" s="194"/>
      <c r="G464" s="3"/>
      <c r="H464" s="1"/>
      <c r="I464" s="2"/>
      <c r="J464" s="1"/>
      <c r="K464" s="2"/>
      <c r="L464" s="1"/>
      <c r="M464" s="2"/>
      <c r="N464" s="16"/>
    </row>
    <row r="465" spans="1:14" ht="14.25" customHeight="1" x14ac:dyDescent="0.3">
      <c r="A465" s="1"/>
      <c r="B465" s="137"/>
      <c r="C465" s="137"/>
      <c r="D465" s="2"/>
      <c r="E465" s="15"/>
      <c r="F465" s="194"/>
      <c r="G465" s="3"/>
      <c r="H465" s="1"/>
      <c r="I465" s="2"/>
      <c r="J465" s="1"/>
      <c r="K465" s="2"/>
      <c r="L465" s="1"/>
      <c r="M465" s="2"/>
      <c r="N465" s="16"/>
    </row>
    <row r="466" spans="1:14" ht="14.25" customHeight="1" x14ac:dyDescent="0.3">
      <c r="A466" s="1"/>
      <c r="B466" s="137"/>
      <c r="C466" s="137"/>
      <c r="D466" s="2"/>
      <c r="E466" s="15"/>
      <c r="F466" s="194"/>
      <c r="G466" s="3"/>
      <c r="H466" s="1"/>
      <c r="I466" s="2"/>
      <c r="J466" s="1"/>
      <c r="K466" s="2"/>
      <c r="L466" s="1"/>
      <c r="M466" s="2"/>
      <c r="N466" s="16"/>
    </row>
    <row r="467" spans="1:14" ht="14.25" customHeight="1" x14ac:dyDescent="0.3">
      <c r="A467" s="1"/>
      <c r="B467" s="137"/>
      <c r="C467" s="137"/>
      <c r="D467" s="2"/>
      <c r="E467" s="15"/>
      <c r="F467" s="194"/>
      <c r="G467" s="3"/>
      <c r="H467" s="1"/>
      <c r="I467" s="2"/>
      <c r="J467" s="1"/>
      <c r="K467" s="2"/>
      <c r="L467" s="1"/>
      <c r="M467" s="2"/>
      <c r="N467" s="16"/>
    </row>
    <row r="468" spans="1:14" ht="14.25" customHeight="1" x14ac:dyDescent="0.3">
      <c r="A468" s="1"/>
      <c r="B468" s="137"/>
      <c r="C468" s="137"/>
      <c r="D468" s="2"/>
      <c r="E468" s="15"/>
      <c r="F468" s="194"/>
      <c r="G468" s="3"/>
      <c r="H468" s="1"/>
      <c r="I468" s="2"/>
      <c r="J468" s="1"/>
      <c r="K468" s="2"/>
      <c r="L468" s="1"/>
      <c r="M468" s="2"/>
      <c r="N468" s="16"/>
    </row>
    <row r="469" spans="1:14" ht="14.25" customHeight="1" x14ac:dyDescent="0.3">
      <c r="A469" s="1"/>
      <c r="B469" s="137"/>
      <c r="C469" s="137"/>
      <c r="D469" s="2"/>
      <c r="E469" s="15"/>
      <c r="F469" s="194"/>
      <c r="G469" s="3"/>
      <c r="H469" s="1"/>
      <c r="I469" s="2"/>
      <c r="J469" s="1"/>
      <c r="K469" s="2"/>
      <c r="L469" s="1"/>
      <c r="M469" s="2"/>
      <c r="N469" s="16"/>
    </row>
    <row r="470" spans="1:14" ht="14.25" customHeight="1" x14ac:dyDescent="0.3">
      <c r="A470" s="1"/>
      <c r="B470" s="137"/>
      <c r="C470" s="137"/>
      <c r="D470" s="2"/>
      <c r="E470" s="15"/>
      <c r="F470" s="194"/>
      <c r="G470" s="3"/>
      <c r="H470" s="1"/>
      <c r="I470" s="2"/>
      <c r="J470" s="1"/>
      <c r="K470" s="2"/>
      <c r="L470" s="1"/>
      <c r="M470" s="2"/>
      <c r="N470" s="16"/>
    </row>
    <row r="471" spans="1:14" ht="14.25" customHeight="1" x14ac:dyDescent="0.3">
      <c r="A471" s="1"/>
      <c r="B471" s="137"/>
      <c r="C471" s="137"/>
      <c r="D471" s="2"/>
      <c r="E471" s="15"/>
      <c r="F471" s="194"/>
      <c r="G471" s="3"/>
      <c r="H471" s="1"/>
      <c r="I471" s="2"/>
      <c r="J471" s="1"/>
      <c r="K471" s="2"/>
      <c r="L471" s="1"/>
      <c r="M471" s="2"/>
      <c r="N471" s="16"/>
    </row>
    <row r="472" spans="1:14" ht="14.25" customHeight="1" x14ac:dyDescent="0.3">
      <c r="A472" s="1"/>
      <c r="B472" s="137"/>
      <c r="C472" s="137"/>
      <c r="D472" s="2"/>
      <c r="E472" s="15"/>
      <c r="F472" s="194"/>
      <c r="G472" s="3"/>
      <c r="H472" s="1"/>
      <c r="I472" s="2"/>
      <c r="J472" s="1"/>
      <c r="K472" s="2"/>
      <c r="L472" s="1"/>
      <c r="M472" s="2"/>
      <c r="N472" s="16"/>
    </row>
    <row r="473" spans="1:14" ht="14.25" customHeight="1" x14ac:dyDescent="0.3">
      <c r="A473" s="1"/>
      <c r="B473" s="137"/>
      <c r="C473" s="137"/>
      <c r="D473" s="2"/>
      <c r="E473" s="15"/>
      <c r="F473" s="194"/>
      <c r="G473" s="3"/>
      <c r="H473" s="1"/>
      <c r="I473" s="2"/>
      <c r="J473" s="1"/>
      <c r="K473" s="2"/>
      <c r="L473" s="1"/>
      <c r="M473" s="2"/>
      <c r="N473" s="16"/>
    </row>
    <row r="474" spans="1:14" ht="14.25" customHeight="1" x14ac:dyDescent="0.3">
      <c r="A474" s="1"/>
      <c r="B474" s="137"/>
      <c r="C474" s="137"/>
      <c r="D474" s="2"/>
      <c r="E474" s="15"/>
      <c r="F474" s="194"/>
      <c r="G474" s="3"/>
      <c r="H474" s="1"/>
      <c r="I474" s="2"/>
      <c r="J474" s="1"/>
      <c r="K474" s="2"/>
      <c r="L474" s="1"/>
      <c r="M474" s="2"/>
      <c r="N474" s="16"/>
    </row>
    <row r="475" spans="1:14" ht="14.25" customHeight="1" x14ac:dyDescent="0.3">
      <c r="A475" s="1"/>
      <c r="B475" s="137"/>
      <c r="C475" s="137"/>
      <c r="D475" s="2"/>
      <c r="E475" s="15"/>
      <c r="F475" s="194"/>
      <c r="G475" s="3"/>
      <c r="H475" s="1"/>
      <c r="I475" s="2"/>
      <c r="J475" s="1"/>
      <c r="K475" s="2"/>
      <c r="L475" s="1"/>
      <c r="M475" s="2"/>
      <c r="N475" s="16"/>
    </row>
    <row r="476" spans="1:14" ht="14.25" customHeight="1" x14ac:dyDescent="0.3">
      <c r="A476" s="1"/>
      <c r="B476" s="137"/>
      <c r="C476" s="137"/>
      <c r="D476" s="2"/>
      <c r="E476" s="15"/>
      <c r="F476" s="194"/>
      <c r="G476" s="3"/>
      <c r="H476" s="1"/>
      <c r="I476" s="2"/>
      <c r="J476" s="1"/>
      <c r="K476" s="2"/>
      <c r="L476" s="1"/>
      <c r="M476" s="2"/>
      <c r="N476" s="16"/>
    </row>
    <row r="477" spans="1:14" ht="14.25" customHeight="1" x14ac:dyDescent="0.3">
      <c r="A477" s="1"/>
      <c r="B477" s="137"/>
      <c r="C477" s="137"/>
      <c r="D477" s="2"/>
      <c r="E477" s="15"/>
      <c r="F477" s="194"/>
      <c r="G477" s="3"/>
      <c r="H477" s="1"/>
      <c r="I477" s="2"/>
      <c r="J477" s="1"/>
      <c r="K477" s="2"/>
      <c r="L477" s="1"/>
      <c r="M477" s="2"/>
      <c r="N477" s="16"/>
    </row>
    <row r="478" spans="1:14" ht="14.25" customHeight="1" x14ac:dyDescent="0.3">
      <c r="A478" s="1"/>
      <c r="B478" s="137"/>
      <c r="C478" s="137"/>
      <c r="D478" s="2"/>
      <c r="E478" s="15"/>
      <c r="F478" s="194"/>
      <c r="G478" s="3"/>
      <c r="H478" s="1"/>
      <c r="I478" s="2"/>
      <c r="J478" s="1"/>
      <c r="K478" s="2"/>
      <c r="L478" s="1"/>
      <c r="M478" s="2"/>
      <c r="N478" s="16"/>
    </row>
    <row r="479" spans="1:14" ht="14.25" customHeight="1" x14ac:dyDescent="0.3">
      <c r="A479" s="1"/>
      <c r="B479" s="137"/>
      <c r="C479" s="137"/>
      <c r="D479" s="2"/>
      <c r="E479" s="15"/>
      <c r="F479" s="194"/>
      <c r="G479" s="3"/>
      <c r="H479" s="1"/>
      <c r="I479" s="2"/>
      <c r="J479" s="1"/>
      <c r="K479" s="2"/>
      <c r="L479" s="1"/>
      <c r="M479" s="2"/>
      <c r="N479" s="16"/>
    </row>
    <row r="480" spans="1:14" ht="14.25" customHeight="1" x14ac:dyDescent="0.3">
      <c r="A480" s="1"/>
      <c r="B480" s="137"/>
      <c r="C480" s="137"/>
      <c r="D480" s="2"/>
      <c r="E480" s="15"/>
      <c r="F480" s="194"/>
      <c r="G480" s="3"/>
      <c r="H480" s="1"/>
      <c r="I480" s="2"/>
      <c r="J480" s="1"/>
      <c r="K480" s="2"/>
      <c r="L480" s="1"/>
      <c r="M480" s="2"/>
      <c r="N480" s="16"/>
    </row>
    <row r="481" spans="1:14" ht="14.25" customHeight="1" x14ac:dyDescent="0.3">
      <c r="A481" s="1"/>
      <c r="B481" s="137"/>
      <c r="C481" s="137"/>
      <c r="D481" s="2"/>
      <c r="E481" s="15"/>
      <c r="F481" s="194"/>
      <c r="G481" s="3"/>
      <c r="H481" s="1"/>
      <c r="I481" s="2"/>
      <c r="J481" s="1"/>
      <c r="K481" s="2"/>
      <c r="L481" s="1"/>
      <c r="M481" s="2"/>
      <c r="N481" s="16"/>
    </row>
    <row r="482" spans="1:14" ht="14.25" customHeight="1" x14ac:dyDescent="0.3">
      <c r="A482" s="1"/>
      <c r="B482" s="137"/>
      <c r="C482" s="137"/>
      <c r="D482" s="2"/>
      <c r="E482" s="15"/>
      <c r="F482" s="194"/>
      <c r="G482" s="3"/>
      <c r="H482" s="1"/>
      <c r="I482" s="2"/>
      <c r="J482" s="1"/>
      <c r="K482" s="2"/>
      <c r="L482" s="1"/>
      <c r="M482" s="2"/>
      <c r="N482" s="16"/>
    </row>
    <row r="483" spans="1:14" ht="14.25" customHeight="1" x14ac:dyDescent="0.3">
      <c r="A483" s="1"/>
      <c r="B483" s="137"/>
      <c r="C483" s="137"/>
      <c r="D483" s="2"/>
      <c r="E483" s="15"/>
      <c r="F483" s="194"/>
      <c r="G483" s="3"/>
      <c r="H483" s="1"/>
      <c r="I483" s="2"/>
      <c r="J483" s="1"/>
      <c r="K483" s="2"/>
      <c r="L483" s="1"/>
      <c r="M483" s="2"/>
      <c r="N483" s="16"/>
    </row>
    <row r="484" spans="1:14" ht="14.25" customHeight="1" x14ac:dyDescent="0.3">
      <c r="A484" s="1"/>
      <c r="B484" s="137"/>
      <c r="C484" s="137"/>
      <c r="D484" s="2"/>
      <c r="E484" s="15"/>
      <c r="F484" s="194"/>
      <c r="G484" s="3"/>
      <c r="H484" s="1"/>
      <c r="I484" s="2"/>
      <c r="J484" s="1"/>
      <c r="K484" s="2"/>
      <c r="L484" s="1"/>
      <c r="M484" s="2"/>
      <c r="N484" s="16"/>
    </row>
    <row r="485" spans="1:14" ht="14.25" customHeight="1" x14ac:dyDescent="0.3">
      <c r="A485" s="1"/>
      <c r="B485" s="137"/>
      <c r="C485" s="137"/>
      <c r="D485" s="2"/>
      <c r="E485" s="15"/>
      <c r="F485" s="194"/>
      <c r="G485" s="3"/>
      <c r="H485" s="1"/>
      <c r="I485" s="2"/>
      <c r="J485" s="1"/>
      <c r="K485" s="2"/>
      <c r="L485" s="1"/>
      <c r="M485" s="2"/>
      <c r="N485" s="16"/>
    </row>
    <row r="486" spans="1:14" ht="14.25" customHeight="1" x14ac:dyDescent="0.3">
      <c r="A486" s="1"/>
      <c r="B486" s="137"/>
      <c r="C486" s="137"/>
      <c r="D486" s="2"/>
      <c r="E486" s="15"/>
      <c r="F486" s="194"/>
      <c r="G486" s="3"/>
      <c r="H486" s="1"/>
      <c r="I486" s="2"/>
      <c r="J486" s="1"/>
      <c r="K486" s="2"/>
      <c r="L486" s="1"/>
      <c r="M486" s="2"/>
      <c r="N486" s="16"/>
    </row>
    <row r="487" spans="1:14" ht="14.25" customHeight="1" x14ac:dyDescent="0.3">
      <c r="A487" s="1"/>
      <c r="B487" s="137"/>
      <c r="C487" s="137"/>
      <c r="D487" s="2"/>
      <c r="E487" s="15"/>
      <c r="F487" s="194"/>
      <c r="G487" s="3"/>
      <c r="H487" s="1"/>
      <c r="I487" s="2"/>
      <c r="J487" s="1"/>
      <c r="K487" s="2"/>
      <c r="L487" s="1"/>
      <c r="M487" s="2"/>
      <c r="N487" s="16"/>
    </row>
    <row r="488" spans="1:14" ht="14.25" customHeight="1" x14ac:dyDescent="0.3">
      <c r="A488" s="1"/>
      <c r="B488" s="137"/>
      <c r="C488" s="137"/>
      <c r="D488" s="2"/>
      <c r="E488" s="15"/>
      <c r="F488" s="194"/>
      <c r="G488" s="3"/>
      <c r="H488" s="1"/>
      <c r="I488" s="2"/>
      <c r="J488" s="1"/>
      <c r="K488" s="2"/>
      <c r="L488" s="1"/>
      <c r="M488" s="2"/>
      <c r="N488" s="16"/>
    </row>
    <row r="489" spans="1:14" ht="14.25" customHeight="1" x14ac:dyDescent="0.3">
      <c r="A489" s="1"/>
      <c r="B489" s="137"/>
      <c r="C489" s="137"/>
      <c r="D489" s="2"/>
      <c r="E489" s="15"/>
      <c r="F489" s="194"/>
      <c r="G489" s="3"/>
      <c r="H489" s="1"/>
      <c r="I489" s="2"/>
      <c r="J489" s="1"/>
      <c r="K489" s="2"/>
      <c r="L489" s="1"/>
      <c r="M489" s="2"/>
      <c r="N489" s="16"/>
    </row>
    <row r="490" spans="1:14" ht="14.25" customHeight="1" x14ac:dyDescent="0.3">
      <c r="A490" s="1"/>
      <c r="B490" s="137"/>
      <c r="C490" s="137"/>
      <c r="D490" s="2"/>
      <c r="E490" s="15"/>
      <c r="F490" s="194"/>
      <c r="G490" s="3"/>
      <c r="H490" s="1"/>
      <c r="I490" s="2"/>
      <c r="J490" s="1"/>
      <c r="K490" s="2"/>
      <c r="L490" s="1"/>
      <c r="M490" s="2"/>
      <c r="N490" s="16"/>
    </row>
    <row r="491" spans="1:14" ht="14.25" customHeight="1" x14ac:dyDescent="0.3">
      <c r="A491" s="1"/>
      <c r="B491" s="137"/>
      <c r="C491" s="137"/>
      <c r="D491" s="2"/>
      <c r="E491" s="15"/>
      <c r="F491" s="194"/>
      <c r="G491" s="3"/>
      <c r="H491" s="1"/>
      <c r="I491" s="2"/>
      <c r="J491" s="1"/>
      <c r="K491" s="2"/>
      <c r="L491" s="1"/>
      <c r="M491" s="2"/>
      <c r="N491" s="16"/>
    </row>
    <row r="492" spans="1:14" ht="14.25" customHeight="1" x14ac:dyDescent="0.3">
      <c r="A492" s="1"/>
      <c r="B492" s="137"/>
      <c r="C492" s="137"/>
      <c r="D492" s="2"/>
      <c r="E492" s="15"/>
      <c r="F492" s="194"/>
      <c r="G492" s="3"/>
      <c r="H492" s="1"/>
      <c r="I492" s="2"/>
      <c r="J492" s="1"/>
      <c r="K492" s="2"/>
      <c r="L492" s="1"/>
      <c r="M492" s="2"/>
      <c r="N492" s="16"/>
    </row>
    <row r="493" spans="1:14" ht="14.25" customHeight="1" x14ac:dyDescent="0.3">
      <c r="A493" s="1"/>
      <c r="B493" s="137"/>
      <c r="C493" s="137"/>
      <c r="D493" s="2"/>
      <c r="E493" s="15"/>
      <c r="F493" s="194"/>
      <c r="G493" s="3"/>
      <c r="H493" s="1"/>
      <c r="I493" s="2"/>
      <c r="J493" s="1"/>
      <c r="K493" s="2"/>
      <c r="L493" s="1"/>
      <c r="M493" s="2"/>
      <c r="N493" s="16"/>
    </row>
    <row r="494" spans="1:14" ht="14.25" customHeight="1" x14ac:dyDescent="0.3">
      <c r="A494" s="1"/>
      <c r="B494" s="137"/>
      <c r="C494" s="137"/>
      <c r="D494" s="2"/>
      <c r="E494" s="15"/>
      <c r="F494" s="194"/>
      <c r="G494" s="3"/>
      <c r="H494" s="1"/>
      <c r="I494" s="2"/>
      <c r="J494" s="1"/>
      <c r="K494" s="2"/>
      <c r="L494" s="1"/>
      <c r="M494" s="2"/>
      <c r="N494" s="16"/>
    </row>
    <row r="495" spans="1:14" ht="14.25" customHeight="1" x14ac:dyDescent="0.3">
      <c r="A495" s="1"/>
      <c r="B495" s="137"/>
      <c r="C495" s="137"/>
      <c r="D495" s="2"/>
      <c r="E495" s="15"/>
      <c r="F495" s="194"/>
      <c r="G495" s="3"/>
      <c r="H495" s="1"/>
      <c r="I495" s="2"/>
      <c r="J495" s="1"/>
      <c r="K495" s="2"/>
      <c r="L495" s="1"/>
      <c r="M495" s="2"/>
      <c r="N495" s="16"/>
    </row>
    <row r="496" spans="1:14" ht="14.25" customHeight="1" x14ac:dyDescent="0.3">
      <c r="A496" s="1"/>
      <c r="B496" s="137"/>
      <c r="C496" s="137"/>
      <c r="D496" s="2"/>
      <c r="E496" s="15"/>
      <c r="F496" s="194"/>
      <c r="G496" s="3"/>
      <c r="H496" s="1"/>
      <c r="I496" s="2"/>
      <c r="J496" s="1"/>
      <c r="K496" s="2"/>
      <c r="L496" s="1"/>
      <c r="M496" s="2"/>
      <c r="N496" s="16"/>
    </row>
    <row r="497" spans="1:14" ht="14.25" customHeight="1" x14ac:dyDescent="0.3">
      <c r="A497" s="1"/>
      <c r="B497" s="137"/>
      <c r="C497" s="137"/>
      <c r="D497" s="2"/>
      <c r="E497" s="15"/>
      <c r="F497" s="194"/>
      <c r="G497" s="3"/>
      <c r="H497" s="1"/>
      <c r="I497" s="2"/>
      <c r="J497" s="1"/>
      <c r="K497" s="2"/>
      <c r="L497" s="1"/>
      <c r="M497" s="2"/>
      <c r="N497" s="16"/>
    </row>
    <row r="498" spans="1:14" ht="14.25" customHeight="1" x14ac:dyDescent="0.3">
      <c r="A498" s="1"/>
      <c r="B498" s="137"/>
      <c r="C498" s="137"/>
      <c r="D498" s="2"/>
      <c r="E498" s="15"/>
      <c r="F498" s="194"/>
      <c r="G498" s="3"/>
      <c r="H498" s="1"/>
      <c r="I498" s="2"/>
      <c r="J498" s="1"/>
      <c r="K498" s="2"/>
      <c r="L498" s="1"/>
      <c r="M498" s="2"/>
      <c r="N498" s="16"/>
    </row>
    <row r="499" spans="1:14" ht="14.25" customHeight="1" x14ac:dyDescent="0.3">
      <c r="A499" s="1"/>
      <c r="B499" s="137"/>
      <c r="C499" s="137"/>
      <c r="D499" s="2"/>
      <c r="E499" s="15"/>
      <c r="F499" s="194"/>
      <c r="G499" s="3"/>
      <c r="H499" s="1"/>
      <c r="I499" s="2"/>
      <c r="J499" s="1"/>
      <c r="K499" s="2"/>
      <c r="L499" s="1"/>
      <c r="M499" s="2"/>
      <c r="N499" s="16"/>
    </row>
    <row r="500" spans="1:14" ht="14.25" customHeight="1" x14ac:dyDescent="0.3">
      <c r="A500" s="1"/>
      <c r="B500" s="137"/>
      <c r="C500" s="137"/>
      <c r="D500" s="2"/>
      <c r="E500" s="15"/>
      <c r="F500" s="194"/>
      <c r="G500" s="3"/>
      <c r="H500" s="1"/>
      <c r="I500" s="2"/>
      <c r="J500" s="1"/>
      <c r="K500" s="2"/>
      <c r="L500" s="1"/>
      <c r="M500" s="2"/>
      <c r="N500" s="16"/>
    </row>
    <row r="501" spans="1:14" ht="14.25" customHeight="1" x14ac:dyDescent="0.3">
      <c r="A501" s="1"/>
      <c r="B501" s="137"/>
      <c r="C501" s="137"/>
      <c r="D501" s="2"/>
      <c r="E501" s="15"/>
      <c r="F501" s="194"/>
      <c r="G501" s="3"/>
      <c r="H501" s="1"/>
      <c r="I501" s="2"/>
      <c r="J501" s="1"/>
      <c r="K501" s="2"/>
      <c r="L501" s="1"/>
      <c r="M501" s="2"/>
      <c r="N501" s="16"/>
    </row>
    <row r="502" spans="1:14" ht="14.25" customHeight="1" x14ac:dyDescent="0.3">
      <c r="A502" s="1"/>
      <c r="B502" s="137"/>
      <c r="C502" s="137"/>
      <c r="D502" s="2"/>
      <c r="E502" s="15"/>
      <c r="F502" s="194"/>
      <c r="G502" s="3"/>
      <c r="H502" s="1"/>
      <c r="I502" s="2"/>
      <c r="J502" s="1"/>
      <c r="K502" s="2"/>
      <c r="L502" s="1"/>
      <c r="M502" s="2"/>
      <c r="N502" s="16"/>
    </row>
    <row r="503" spans="1:14" ht="14.25" customHeight="1" x14ac:dyDescent="0.3">
      <c r="A503" s="1"/>
      <c r="B503" s="137"/>
      <c r="C503" s="137"/>
      <c r="D503" s="2"/>
      <c r="E503" s="15"/>
      <c r="F503" s="194"/>
      <c r="G503" s="3"/>
      <c r="H503" s="1"/>
      <c r="I503" s="2"/>
      <c r="J503" s="1"/>
      <c r="K503" s="2"/>
      <c r="L503" s="1"/>
      <c r="M503" s="2"/>
      <c r="N503" s="16"/>
    </row>
    <row r="504" spans="1:14" ht="14.25" customHeight="1" x14ac:dyDescent="0.3">
      <c r="A504" s="1"/>
      <c r="B504" s="137"/>
      <c r="C504" s="137"/>
      <c r="D504" s="2"/>
      <c r="E504" s="15"/>
      <c r="F504" s="194"/>
      <c r="G504" s="3"/>
      <c r="H504" s="1"/>
      <c r="I504" s="2"/>
      <c r="J504" s="1"/>
      <c r="K504" s="2"/>
      <c r="L504" s="1"/>
      <c r="M504" s="2"/>
      <c r="N504" s="16"/>
    </row>
    <row r="505" spans="1:14" ht="14.25" customHeight="1" x14ac:dyDescent="0.3">
      <c r="A505" s="1"/>
      <c r="B505" s="137"/>
      <c r="C505" s="137"/>
      <c r="D505" s="2"/>
      <c r="E505" s="15"/>
      <c r="F505" s="194"/>
      <c r="G505" s="3"/>
      <c r="H505" s="1"/>
      <c r="I505" s="2"/>
      <c r="J505" s="1"/>
      <c r="K505" s="2"/>
      <c r="L505" s="1"/>
      <c r="M505" s="2"/>
      <c r="N505" s="16"/>
    </row>
    <row r="506" spans="1:14" ht="14.25" customHeight="1" x14ac:dyDescent="0.3">
      <c r="A506" s="1"/>
      <c r="B506" s="137"/>
      <c r="C506" s="137"/>
      <c r="D506" s="2"/>
      <c r="E506" s="15"/>
      <c r="F506" s="194"/>
      <c r="G506" s="3"/>
      <c r="H506" s="1"/>
      <c r="I506" s="2"/>
      <c r="J506" s="1"/>
      <c r="K506" s="2"/>
      <c r="L506" s="1"/>
      <c r="M506" s="2"/>
      <c r="N506" s="16"/>
    </row>
    <row r="507" spans="1:14" ht="14.25" customHeight="1" x14ac:dyDescent="0.3">
      <c r="A507" s="1"/>
      <c r="B507" s="137"/>
      <c r="C507" s="137"/>
      <c r="D507" s="2"/>
      <c r="E507" s="15"/>
      <c r="F507" s="194"/>
      <c r="G507" s="3"/>
      <c r="H507" s="1"/>
      <c r="I507" s="2"/>
      <c r="J507" s="1"/>
      <c r="K507" s="2"/>
      <c r="L507" s="1"/>
      <c r="M507" s="2"/>
      <c r="N507" s="16"/>
    </row>
    <row r="508" spans="1:14" ht="14.25" customHeight="1" x14ac:dyDescent="0.3">
      <c r="A508" s="1"/>
      <c r="B508" s="137"/>
      <c r="C508" s="137"/>
      <c r="D508" s="2"/>
      <c r="E508" s="15"/>
      <c r="F508" s="194"/>
      <c r="G508" s="3"/>
      <c r="H508" s="1"/>
      <c r="I508" s="2"/>
      <c r="J508" s="1"/>
      <c r="K508" s="2"/>
      <c r="L508" s="1"/>
      <c r="M508" s="2"/>
      <c r="N508" s="16"/>
    </row>
    <row r="509" spans="1:14" ht="14.25" customHeight="1" x14ac:dyDescent="0.3">
      <c r="A509" s="1"/>
      <c r="B509" s="137"/>
      <c r="C509" s="137"/>
      <c r="D509" s="2"/>
      <c r="E509" s="15"/>
      <c r="F509" s="194"/>
      <c r="G509" s="3"/>
      <c r="H509" s="1"/>
      <c r="I509" s="2"/>
      <c r="J509" s="1"/>
      <c r="K509" s="2"/>
      <c r="L509" s="1"/>
      <c r="M509" s="2"/>
      <c r="N509" s="16"/>
    </row>
    <row r="510" spans="1:14" ht="14.25" customHeight="1" x14ac:dyDescent="0.3">
      <c r="A510" s="1"/>
      <c r="B510" s="137"/>
      <c r="C510" s="137"/>
      <c r="D510" s="2"/>
      <c r="E510" s="15"/>
      <c r="F510" s="194"/>
      <c r="G510" s="3"/>
      <c r="H510" s="1"/>
      <c r="I510" s="2"/>
      <c r="J510" s="1"/>
      <c r="K510" s="2"/>
      <c r="L510" s="1"/>
      <c r="M510" s="2"/>
      <c r="N510" s="16"/>
    </row>
    <row r="511" spans="1:14" ht="14.25" customHeight="1" x14ac:dyDescent="0.3">
      <c r="A511" s="1"/>
      <c r="B511" s="137"/>
      <c r="C511" s="137"/>
      <c r="D511" s="2"/>
      <c r="E511" s="15"/>
      <c r="F511" s="194"/>
      <c r="G511" s="3"/>
      <c r="H511" s="1"/>
      <c r="I511" s="2"/>
      <c r="J511" s="1"/>
      <c r="K511" s="2"/>
      <c r="L511" s="1"/>
      <c r="M511" s="2"/>
      <c r="N511" s="16"/>
    </row>
    <row r="512" spans="1:14" ht="14.25" customHeight="1" x14ac:dyDescent="0.3">
      <c r="A512" s="1"/>
      <c r="B512" s="137"/>
      <c r="C512" s="137"/>
      <c r="D512" s="2"/>
      <c r="E512" s="15"/>
      <c r="F512" s="194"/>
      <c r="G512" s="3"/>
      <c r="H512" s="1"/>
      <c r="I512" s="2"/>
      <c r="J512" s="1"/>
      <c r="K512" s="2"/>
      <c r="L512" s="1"/>
      <c r="M512" s="2"/>
      <c r="N512" s="16"/>
    </row>
    <row r="513" spans="1:14" ht="14.25" customHeight="1" x14ac:dyDescent="0.3">
      <c r="A513" s="1"/>
      <c r="B513" s="137"/>
      <c r="C513" s="137"/>
      <c r="D513" s="2"/>
      <c r="E513" s="15"/>
      <c r="F513" s="194"/>
      <c r="G513" s="3"/>
      <c r="H513" s="1"/>
      <c r="I513" s="2"/>
      <c r="J513" s="1"/>
      <c r="K513" s="2"/>
      <c r="L513" s="1"/>
      <c r="M513" s="2"/>
      <c r="N513" s="16"/>
    </row>
    <row r="514" spans="1:14" ht="14.25" customHeight="1" x14ac:dyDescent="0.3">
      <c r="A514" s="1"/>
      <c r="B514" s="137"/>
      <c r="C514" s="137"/>
      <c r="D514" s="2"/>
      <c r="E514" s="15"/>
      <c r="F514" s="194"/>
      <c r="G514" s="3"/>
      <c r="H514" s="1"/>
      <c r="I514" s="2"/>
      <c r="J514" s="1"/>
      <c r="K514" s="2"/>
      <c r="L514" s="1"/>
      <c r="M514" s="2"/>
      <c r="N514" s="16"/>
    </row>
    <row r="515" spans="1:14" ht="14.25" customHeight="1" x14ac:dyDescent="0.3">
      <c r="A515" s="1"/>
      <c r="B515" s="137"/>
      <c r="C515" s="137"/>
      <c r="D515" s="2"/>
      <c r="E515" s="15"/>
      <c r="F515" s="194"/>
      <c r="G515" s="3"/>
      <c r="H515" s="1"/>
      <c r="I515" s="2"/>
      <c r="J515" s="1"/>
      <c r="K515" s="2"/>
      <c r="L515" s="1"/>
      <c r="M515" s="2"/>
      <c r="N515" s="16"/>
    </row>
    <row r="516" spans="1:14" ht="14.25" customHeight="1" x14ac:dyDescent="0.3">
      <c r="A516" s="1"/>
      <c r="B516" s="137"/>
      <c r="C516" s="137"/>
      <c r="D516" s="2"/>
      <c r="E516" s="15"/>
      <c r="F516" s="194"/>
      <c r="G516" s="3"/>
      <c r="H516" s="1"/>
      <c r="I516" s="2"/>
      <c r="J516" s="1"/>
      <c r="K516" s="2"/>
      <c r="L516" s="1"/>
      <c r="M516" s="2"/>
      <c r="N516" s="16"/>
    </row>
    <row r="517" spans="1:14" ht="14.25" customHeight="1" x14ac:dyDescent="0.3">
      <c r="A517" s="1"/>
      <c r="B517" s="137"/>
      <c r="C517" s="137"/>
      <c r="D517" s="2"/>
      <c r="E517" s="15"/>
      <c r="F517" s="194"/>
      <c r="G517" s="3"/>
      <c r="H517" s="1"/>
      <c r="I517" s="2"/>
      <c r="J517" s="1"/>
      <c r="K517" s="2"/>
      <c r="L517" s="1"/>
      <c r="M517" s="2"/>
      <c r="N517" s="16"/>
    </row>
    <row r="518" spans="1:14" ht="14.25" customHeight="1" x14ac:dyDescent="0.3">
      <c r="A518" s="1"/>
      <c r="B518" s="137"/>
      <c r="C518" s="137"/>
      <c r="D518" s="2"/>
      <c r="E518" s="15"/>
      <c r="F518" s="194"/>
      <c r="G518" s="3"/>
      <c r="H518" s="1"/>
      <c r="I518" s="2"/>
      <c r="J518" s="1"/>
      <c r="K518" s="2"/>
      <c r="L518" s="1"/>
      <c r="M518" s="2"/>
      <c r="N518" s="16"/>
    </row>
    <row r="519" spans="1:14" ht="14.25" customHeight="1" x14ac:dyDescent="0.3">
      <c r="A519" s="1"/>
      <c r="B519" s="137"/>
      <c r="C519" s="137"/>
      <c r="D519" s="2"/>
      <c r="E519" s="15"/>
      <c r="F519" s="194"/>
      <c r="G519" s="3"/>
      <c r="H519" s="1"/>
      <c r="I519" s="2"/>
      <c r="J519" s="1"/>
      <c r="K519" s="2"/>
      <c r="L519" s="1"/>
      <c r="M519" s="2"/>
      <c r="N519" s="16"/>
    </row>
    <row r="520" spans="1:14" ht="14.25" customHeight="1" x14ac:dyDescent="0.3">
      <c r="A520" s="1"/>
      <c r="B520" s="137"/>
      <c r="C520" s="137"/>
      <c r="D520" s="2"/>
      <c r="E520" s="15"/>
      <c r="F520" s="194"/>
      <c r="G520" s="3"/>
      <c r="H520" s="1"/>
      <c r="I520" s="2"/>
      <c r="J520" s="1"/>
      <c r="K520" s="2"/>
      <c r="L520" s="1"/>
      <c r="M520" s="2"/>
      <c r="N520" s="16"/>
    </row>
    <row r="521" spans="1:14" ht="14.25" customHeight="1" x14ac:dyDescent="0.3">
      <c r="A521" s="1"/>
      <c r="B521" s="137"/>
      <c r="C521" s="137"/>
      <c r="D521" s="2"/>
      <c r="E521" s="15"/>
      <c r="F521" s="194"/>
      <c r="G521" s="3"/>
      <c r="H521" s="1"/>
      <c r="I521" s="2"/>
      <c r="J521" s="1"/>
      <c r="K521" s="2"/>
      <c r="L521" s="1"/>
      <c r="M521" s="2"/>
      <c r="N521" s="16"/>
    </row>
    <row r="522" spans="1:14" ht="14.25" customHeight="1" x14ac:dyDescent="0.3">
      <c r="A522" s="1"/>
      <c r="B522" s="137"/>
      <c r="C522" s="137"/>
      <c r="D522" s="2"/>
      <c r="E522" s="15"/>
      <c r="F522" s="194"/>
      <c r="G522" s="3"/>
      <c r="H522" s="1"/>
      <c r="I522" s="2"/>
      <c r="J522" s="1"/>
      <c r="K522" s="2"/>
      <c r="L522" s="1"/>
      <c r="M522" s="2"/>
      <c r="N522" s="16"/>
    </row>
    <row r="523" spans="1:14" ht="14.25" customHeight="1" x14ac:dyDescent="0.3">
      <c r="A523" s="1"/>
      <c r="B523" s="137"/>
      <c r="C523" s="137"/>
      <c r="D523" s="2"/>
      <c r="E523" s="15"/>
      <c r="F523" s="194"/>
      <c r="G523" s="3"/>
      <c r="H523" s="1"/>
      <c r="I523" s="2"/>
      <c r="J523" s="1"/>
      <c r="K523" s="2"/>
      <c r="L523" s="1"/>
      <c r="M523" s="2"/>
      <c r="N523" s="16"/>
    </row>
    <row r="524" spans="1:14" ht="14.25" customHeight="1" x14ac:dyDescent="0.3">
      <c r="A524" s="1"/>
      <c r="B524" s="137"/>
      <c r="C524" s="137"/>
      <c r="D524" s="2"/>
      <c r="E524" s="15"/>
      <c r="F524" s="194"/>
      <c r="G524" s="3"/>
      <c r="H524" s="1"/>
      <c r="I524" s="2"/>
      <c r="J524" s="1"/>
      <c r="K524" s="2"/>
      <c r="L524" s="1"/>
      <c r="M524" s="2"/>
      <c r="N524" s="16"/>
    </row>
    <row r="525" spans="1:14" ht="14.25" customHeight="1" x14ac:dyDescent="0.3">
      <c r="A525" s="1"/>
      <c r="B525" s="137"/>
      <c r="C525" s="137"/>
      <c r="D525" s="2"/>
      <c r="E525" s="15"/>
      <c r="F525" s="194"/>
      <c r="G525" s="3"/>
      <c r="H525" s="1"/>
      <c r="I525" s="2"/>
      <c r="J525" s="1"/>
      <c r="K525" s="2"/>
      <c r="L525" s="1"/>
      <c r="M525" s="2"/>
      <c r="N525" s="16"/>
    </row>
    <row r="526" spans="1:14" ht="14.25" customHeight="1" x14ac:dyDescent="0.3">
      <c r="A526" s="1"/>
      <c r="B526" s="137"/>
      <c r="C526" s="137"/>
      <c r="D526" s="2"/>
      <c r="E526" s="15"/>
      <c r="F526" s="194"/>
      <c r="G526" s="3"/>
      <c r="H526" s="1"/>
      <c r="I526" s="2"/>
      <c r="J526" s="1"/>
      <c r="K526" s="2"/>
      <c r="L526" s="1"/>
      <c r="M526" s="2"/>
      <c r="N526" s="16"/>
    </row>
    <row r="527" spans="1:14" ht="14.25" customHeight="1" x14ac:dyDescent="0.3">
      <c r="A527" s="1"/>
      <c r="B527" s="137"/>
      <c r="C527" s="137"/>
      <c r="D527" s="2"/>
      <c r="E527" s="15"/>
      <c r="F527" s="194"/>
      <c r="G527" s="3"/>
      <c r="H527" s="1"/>
      <c r="I527" s="2"/>
      <c r="J527" s="1"/>
      <c r="K527" s="2"/>
      <c r="L527" s="1"/>
      <c r="M527" s="2"/>
      <c r="N527" s="16"/>
    </row>
    <row r="528" spans="1:14" ht="14.25" customHeight="1" x14ac:dyDescent="0.3">
      <c r="A528" s="1"/>
      <c r="B528" s="137"/>
      <c r="C528" s="137"/>
      <c r="D528" s="2"/>
      <c r="E528" s="15"/>
      <c r="F528" s="194"/>
      <c r="G528" s="3"/>
      <c r="H528" s="1"/>
      <c r="I528" s="2"/>
      <c r="J528" s="1"/>
      <c r="K528" s="2"/>
      <c r="L528" s="1"/>
      <c r="M528" s="2"/>
      <c r="N528" s="16"/>
    </row>
    <row r="529" spans="1:14" ht="14.25" customHeight="1" x14ac:dyDescent="0.3">
      <c r="A529" s="1"/>
      <c r="B529" s="137"/>
      <c r="C529" s="137"/>
      <c r="D529" s="2"/>
      <c r="E529" s="15"/>
      <c r="F529" s="194"/>
      <c r="G529" s="3"/>
      <c r="H529" s="1"/>
      <c r="I529" s="2"/>
      <c r="J529" s="1"/>
      <c r="K529" s="2"/>
      <c r="L529" s="1"/>
      <c r="M529" s="2"/>
      <c r="N529" s="16"/>
    </row>
    <row r="530" spans="1:14" ht="14.25" customHeight="1" x14ac:dyDescent="0.3">
      <c r="A530" s="1"/>
      <c r="B530" s="137"/>
      <c r="C530" s="137"/>
      <c r="D530" s="2"/>
      <c r="E530" s="15"/>
      <c r="F530" s="194"/>
      <c r="G530" s="3"/>
      <c r="H530" s="1"/>
      <c r="I530" s="2"/>
      <c r="J530" s="1"/>
      <c r="K530" s="2"/>
      <c r="L530" s="1"/>
      <c r="M530" s="2"/>
      <c r="N530" s="16"/>
    </row>
    <row r="531" spans="1:14" ht="14.25" customHeight="1" x14ac:dyDescent="0.3">
      <c r="A531" s="1"/>
      <c r="B531" s="137"/>
      <c r="C531" s="137"/>
      <c r="D531" s="2"/>
      <c r="E531" s="15"/>
      <c r="F531" s="194"/>
      <c r="G531" s="3"/>
      <c r="H531" s="1"/>
      <c r="I531" s="2"/>
      <c r="J531" s="1"/>
      <c r="K531" s="2"/>
      <c r="L531" s="1"/>
      <c r="M531" s="2"/>
      <c r="N531" s="16"/>
    </row>
    <row r="532" spans="1:14" ht="14.25" customHeight="1" x14ac:dyDescent="0.3">
      <c r="A532" s="1"/>
      <c r="B532" s="137"/>
      <c r="C532" s="137"/>
      <c r="D532" s="2"/>
      <c r="E532" s="15"/>
      <c r="F532" s="194"/>
      <c r="G532" s="3"/>
      <c r="H532" s="1"/>
      <c r="I532" s="2"/>
      <c r="J532" s="1"/>
      <c r="K532" s="2"/>
      <c r="L532" s="1"/>
      <c r="M532" s="2"/>
      <c r="N532" s="16"/>
    </row>
    <row r="533" spans="1:14" ht="14.25" customHeight="1" x14ac:dyDescent="0.3">
      <c r="A533" s="1"/>
      <c r="B533" s="137"/>
      <c r="C533" s="137"/>
      <c r="D533" s="2"/>
      <c r="E533" s="15"/>
      <c r="F533" s="194"/>
      <c r="G533" s="3"/>
      <c r="H533" s="1"/>
      <c r="I533" s="2"/>
      <c r="J533" s="1"/>
      <c r="K533" s="2"/>
      <c r="L533" s="1"/>
      <c r="M533" s="2"/>
      <c r="N533" s="16"/>
    </row>
    <row r="534" spans="1:14" ht="14.25" customHeight="1" x14ac:dyDescent="0.3">
      <c r="A534" s="1"/>
      <c r="B534" s="137"/>
      <c r="C534" s="137"/>
      <c r="D534" s="2"/>
      <c r="E534" s="15"/>
      <c r="F534" s="194"/>
      <c r="G534" s="3"/>
      <c r="H534" s="1"/>
      <c r="I534" s="2"/>
      <c r="J534" s="1"/>
      <c r="K534" s="2"/>
      <c r="L534" s="1"/>
      <c r="M534" s="2"/>
      <c r="N534" s="16"/>
    </row>
    <row r="535" spans="1:14" ht="14.25" customHeight="1" x14ac:dyDescent="0.3">
      <c r="A535" s="1"/>
      <c r="B535" s="137"/>
      <c r="C535" s="137"/>
      <c r="D535" s="2"/>
      <c r="E535" s="15"/>
      <c r="F535" s="194"/>
      <c r="G535" s="3"/>
      <c r="H535" s="1"/>
      <c r="I535" s="2"/>
      <c r="J535" s="1"/>
      <c r="K535" s="2"/>
      <c r="L535" s="1"/>
      <c r="M535" s="2"/>
      <c r="N535" s="16"/>
    </row>
    <row r="536" spans="1:14" ht="14.25" customHeight="1" x14ac:dyDescent="0.3">
      <c r="A536" s="1"/>
      <c r="B536" s="137"/>
      <c r="C536" s="137"/>
      <c r="D536" s="2"/>
      <c r="E536" s="15"/>
      <c r="F536" s="194"/>
      <c r="G536" s="3"/>
      <c r="H536" s="1"/>
      <c r="I536" s="2"/>
      <c r="J536" s="1"/>
      <c r="K536" s="2"/>
      <c r="L536" s="1"/>
      <c r="M536" s="2"/>
      <c r="N536" s="16"/>
    </row>
    <row r="537" spans="1:14" ht="14.25" customHeight="1" x14ac:dyDescent="0.3">
      <c r="A537" s="1"/>
      <c r="B537" s="137"/>
      <c r="C537" s="137"/>
      <c r="D537" s="2"/>
      <c r="E537" s="15"/>
      <c r="F537" s="194"/>
      <c r="G537" s="3"/>
      <c r="H537" s="1"/>
      <c r="I537" s="2"/>
      <c r="J537" s="1"/>
      <c r="K537" s="2"/>
      <c r="L537" s="1"/>
      <c r="M537" s="2"/>
      <c r="N537" s="16"/>
    </row>
    <row r="538" spans="1:14" ht="14.25" customHeight="1" x14ac:dyDescent="0.3">
      <c r="A538" s="1"/>
      <c r="B538" s="137"/>
      <c r="C538" s="137"/>
      <c r="D538" s="2"/>
      <c r="E538" s="15"/>
      <c r="F538" s="194"/>
      <c r="G538" s="3"/>
      <c r="H538" s="1"/>
      <c r="I538" s="2"/>
      <c r="J538" s="1"/>
      <c r="K538" s="2"/>
      <c r="L538" s="1"/>
      <c r="M538" s="2"/>
      <c r="N538" s="16"/>
    </row>
    <row r="539" spans="1:14" ht="14.25" customHeight="1" x14ac:dyDescent="0.3">
      <c r="A539" s="1"/>
      <c r="B539" s="137"/>
      <c r="C539" s="137"/>
      <c r="D539" s="2"/>
      <c r="E539" s="15"/>
      <c r="F539" s="194"/>
      <c r="G539" s="3"/>
      <c r="H539" s="1"/>
      <c r="I539" s="2"/>
      <c r="J539" s="1"/>
      <c r="K539" s="2"/>
      <c r="L539" s="1"/>
      <c r="M539" s="2"/>
      <c r="N539" s="16"/>
    </row>
    <row r="540" spans="1:14" ht="14.25" customHeight="1" x14ac:dyDescent="0.3">
      <c r="A540" s="1"/>
      <c r="B540" s="137"/>
      <c r="C540" s="137"/>
      <c r="D540" s="2"/>
      <c r="E540" s="15"/>
      <c r="F540" s="194"/>
      <c r="G540" s="3"/>
      <c r="H540" s="1"/>
      <c r="I540" s="2"/>
      <c r="J540" s="1"/>
      <c r="K540" s="2"/>
      <c r="L540" s="1"/>
      <c r="M540" s="2"/>
      <c r="N540" s="16"/>
    </row>
    <row r="541" spans="1:14" ht="14.25" customHeight="1" x14ac:dyDescent="0.3">
      <c r="A541" s="1"/>
      <c r="B541" s="137"/>
      <c r="C541" s="137"/>
      <c r="D541" s="2"/>
      <c r="E541" s="15"/>
      <c r="F541" s="194"/>
      <c r="G541" s="3"/>
      <c r="H541" s="1"/>
      <c r="I541" s="2"/>
      <c r="J541" s="1"/>
      <c r="K541" s="2"/>
      <c r="L541" s="1"/>
      <c r="M541" s="2"/>
      <c r="N541" s="16"/>
    </row>
    <row r="542" spans="1:14" ht="14.25" customHeight="1" x14ac:dyDescent="0.3">
      <c r="A542" s="1"/>
      <c r="B542" s="137"/>
      <c r="C542" s="137"/>
      <c r="D542" s="2"/>
      <c r="E542" s="15"/>
      <c r="F542" s="194"/>
      <c r="G542" s="3"/>
      <c r="H542" s="1"/>
      <c r="I542" s="2"/>
      <c r="J542" s="1"/>
      <c r="K542" s="2"/>
      <c r="L542" s="1"/>
      <c r="M542" s="2"/>
      <c r="N542" s="16"/>
    </row>
    <row r="543" spans="1:14" ht="14.25" customHeight="1" x14ac:dyDescent="0.3">
      <c r="A543" s="1"/>
      <c r="B543" s="137"/>
      <c r="C543" s="137"/>
      <c r="D543" s="2"/>
      <c r="E543" s="15"/>
      <c r="F543" s="194"/>
      <c r="G543" s="3"/>
      <c r="H543" s="1"/>
      <c r="I543" s="2"/>
      <c r="J543" s="1"/>
      <c r="K543" s="2"/>
      <c r="L543" s="1"/>
      <c r="M543" s="2"/>
      <c r="N543" s="16"/>
    </row>
    <row r="544" spans="1:14" ht="14.25" customHeight="1" x14ac:dyDescent="0.3">
      <c r="A544" s="1"/>
      <c r="B544" s="137"/>
      <c r="C544" s="137"/>
      <c r="D544" s="2"/>
      <c r="E544" s="15"/>
      <c r="F544" s="194"/>
      <c r="G544" s="3"/>
      <c r="H544" s="1"/>
      <c r="I544" s="2"/>
      <c r="J544" s="1"/>
      <c r="K544" s="2"/>
      <c r="L544" s="1"/>
      <c r="M544" s="2"/>
      <c r="N544" s="16"/>
    </row>
    <row r="545" spans="1:14" ht="14.25" customHeight="1" x14ac:dyDescent="0.3">
      <c r="A545" s="1"/>
      <c r="B545" s="137"/>
      <c r="C545" s="137"/>
      <c r="D545" s="2"/>
      <c r="E545" s="15"/>
      <c r="F545" s="194"/>
      <c r="G545" s="3"/>
      <c r="H545" s="1"/>
      <c r="I545" s="2"/>
      <c r="J545" s="1"/>
      <c r="K545" s="2"/>
      <c r="L545" s="1"/>
      <c r="M545" s="2"/>
      <c r="N545" s="16"/>
    </row>
    <row r="546" spans="1:14" ht="14.25" customHeight="1" x14ac:dyDescent="0.3">
      <c r="A546" s="1"/>
      <c r="B546" s="137"/>
      <c r="C546" s="137"/>
      <c r="D546" s="2"/>
      <c r="E546" s="15"/>
      <c r="F546" s="194"/>
      <c r="G546" s="3"/>
      <c r="H546" s="1"/>
      <c r="I546" s="2"/>
      <c r="J546" s="1"/>
      <c r="K546" s="2"/>
      <c r="L546" s="1"/>
      <c r="M546" s="2"/>
      <c r="N546" s="16"/>
    </row>
    <row r="547" spans="1:14" ht="14.25" customHeight="1" x14ac:dyDescent="0.3">
      <c r="A547" s="1"/>
      <c r="B547" s="137"/>
      <c r="C547" s="137"/>
      <c r="D547" s="2"/>
      <c r="E547" s="15"/>
      <c r="F547" s="194"/>
      <c r="G547" s="3"/>
      <c r="H547" s="1"/>
      <c r="I547" s="2"/>
      <c r="J547" s="1"/>
      <c r="K547" s="2"/>
      <c r="L547" s="1"/>
      <c r="M547" s="2"/>
      <c r="N547" s="16"/>
    </row>
    <row r="548" spans="1:14" ht="14.25" customHeight="1" x14ac:dyDescent="0.3">
      <c r="A548" s="1"/>
      <c r="B548" s="137"/>
      <c r="C548" s="137"/>
      <c r="D548" s="2"/>
      <c r="E548" s="15"/>
      <c r="F548" s="194"/>
      <c r="G548" s="3"/>
      <c r="H548" s="1"/>
      <c r="I548" s="2"/>
      <c r="J548" s="1"/>
      <c r="K548" s="2"/>
      <c r="L548" s="1"/>
      <c r="M548" s="2"/>
      <c r="N548" s="16"/>
    </row>
  </sheetData>
  <mergeCells count="2">
    <mergeCell ref="A1:R1"/>
    <mergeCell ref="E2:F2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2"/>
  <sheetViews>
    <sheetView zoomScaleNormal="100" workbookViewId="0">
      <pane xSplit="5" ySplit="2" topLeftCell="J3" activePane="bottomRight" state="frozen"/>
      <selection pane="topRight" activeCell="F1" sqref="F1"/>
      <selection pane="bottomLeft" activeCell="A3" sqref="A3"/>
      <selection pane="bottomRight" activeCell="V4" sqref="V4:V5"/>
    </sheetView>
  </sheetViews>
  <sheetFormatPr defaultColWidth="14.44140625" defaultRowHeight="15" customHeight="1" x14ac:dyDescent="0.25"/>
  <cols>
    <col min="1" max="1" width="18.21875" style="456" customWidth="1"/>
    <col min="2" max="2" width="11.33203125" style="456" bestFit="1" customWidth="1"/>
    <col min="3" max="3" width="35.6640625" style="456" customWidth="1"/>
    <col min="4" max="4" width="14.88671875" style="456" bestFit="1" customWidth="1"/>
    <col min="5" max="5" width="10.109375" style="456" customWidth="1"/>
    <col min="6" max="6" width="7.44140625" style="456" customWidth="1"/>
    <col min="7" max="7" width="7.21875" style="456" customWidth="1"/>
    <col min="8" max="8" width="9.33203125" style="456" customWidth="1"/>
    <col min="9" max="9" width="8.33203125" style="492" bestFit="1" customWidth="1"/>
    <col min="10" max="10" width="6.33203125" style="456" bestFit="1" customWidth="1"/>
    <col min="11" max="11" width="8.33203125" style="456" bestFit="1" customWidth="1"/>
    <col min="12" max="12" width="6.33203125" style="456" bestFit="1" customWidth="1"/>
    <col min="13" max="13" width="8.33203125" style="492" bestFit="1" customWidth="1"/>
    <col min="14" max="14" width="6.33203125" style="456" bestFit="1" customWidth="1"/>
    <col min="15" max="15" width="8.33203125" style="492" bestFit="1" customWidth="1"/>
    <col min="16" max="16" width="6.33203125" style="456" bestFit="1" customWidth="1"/>
    <col min="17" max="17" width="7.21875" style="492" bestFit="1" customWidth="1"/>
    <col min="18" max="18" width="6.33203125" style="456" bestFit="1" customWidth="1"/>
    <col min="19" max="19" width="7.88671875" style="456" bestFit="1" customWidth="1"/>
    <col min="20" max="20" width="10.6640625" style="456" bestFit="1" customWidth="1"/>
    <col min="21" max="21" width="8.6640625" style="456" bestFit="1" customWidth="1"/>
    <col min="22" max="22" width="10.88671875" style="456" bestFit="1" customWidth="1"/>
    <col min="23" max="23" width="7.88671875" style="456" bestFit="1" customWidth="1"/>
    <col min="24" max="16384" width="14.44140625" style="456"/>
  </cols>
  <sheetData>
    <row r="1" spans="1:23" ht="45.75" customHeight="1" thickBot="1" x14ac:dyDescent="0.3">
      <c r="A1" s="582" t="s">
        <v>98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  <c r="R1" s="583"/>
      <c r="S1" s="583"/>
      <c r="T1" s="583"/>
      <c r="U1" s="583"/>
      <c r="V1" s="583"/>
      <c r="W1" s="584"/>
    </row>
    <row r="2" spans="1:23" ht="27" customHeight="1" thickBot="1" x14ac:dyDescent="0.3">
      <c r="A2" s="457" t="s">
        <v>0</v>
      </c>
      <c r="B2" s="458" t="s">
        <v>29</v>
      </c>
      <c r="C2" s="459" t="s">
        <v>28</v>
      </c>
      <c r="D2" s="459" t="s">
        <v>30</v>
      </c>
      <c r="E2" s="460" t="s">
        <v>2</v>
      </c>
      <c r="F2" s="585" t="s">
        <v>8</v>
      </c>
      <c r="G2" s="586"/>
      <c r="H2" s="460" t="s">
        <v>109</v>
      </c>
      <c r="I2" s="461" t="s">
        <v>3</v>
      </c>
      <c r="J2" s="462" t="s">
        <v>4</v>
      </c>
      <c r="K2" s="460" t="s">
        <v>3</v>
      </c>
      <c r="L2" s="462" t="s">
        <v>4</v>
      </c>
      <c r="M2" s="461" t="s">
        <v>5</v>
      </c>
      <c r="N2" s="462" t="s">
        <v>4</v>
      </c>
      <c r="O2" s="461" t="s">
        <v>5</v>
      </c>
      <c r="P2" s="462" t="s">
        <v>4</v>
      </c>
      <c r="Q2" s="461" t="s">
        <v>5</v>
      </c>
      <c r="R2" s="462" t="s">
        <v>4</v>
      </c>
      <c r="S2" s="510" t="s">
        <v>95</v>
      </c>
      <c r="T2" s="463" t="s">
        <v>6</v>
      </c>
      <c r="U2" s="464" t="s">
        <v>25</v>
      </c>
      <c r="V2" s="465" t="s">
        <v>85</v>
      </c>
      <c r="W2" s="466" t="s">
        <v>7</v>
      </c>
    </row>
    <row r="3" spans="1:23" ht="14.25" customHeight="1" x14ac:dyDescent="0.25">
      <c r="A3" s="587" t="s">
        <v>93</v>
      </c>
      <c r="B3" s="467" t="s">
        <v>107</v>
      </c>
      <c r="C3" s="468" t="s">
        <v>99</v>
      </c>
      <c r="D3" s="468" t="s">
        <v>92</v>
      </c>
      <c r="E3" s="469">
        <v>108</v>
      </c>
      <c r="F3" s="470">
        <v>0.86665999999999999</v>
      </c>
      <c r="G3" s="470">
        <v>2.8</v>
      </c>
      <c r="H3" s="471">
        <f>SUM(F3*G3*E3)</f>
        <v>262.07798399999996</v>
      </c>
      <c r="I3" s="472">
        <v>46037</v>
      </c>
      <c r="J3" s="473">
        <v>21</v>
      </c>
      <c r="K3" s="472">
        <v>46043</v>
      </c>
      <c r="L3" s="473">
        <v>14</v>
      </c>
      <c r="M3" s="472">
        <v>46049</v>
      </c>
      <c r="N3" s="473">
        <v>19</v>
      </c>
      <c r="O3" s="472">
        <v>46056</v>
      </c>
      <c r="P3" s="473">
        <v>7</v>
      </c>
      <c r="Q3" s="472"/>
      <c r="R3" s="473"/>
      <c r="S3" s="320">
        <f>SUM(J3+L3+N3+P3+R3)</f>
        <v>61</v>
      </c>
      <c r="T3" s="670">
        <f>E3-J3-L3-N3-P3-R3</f>
        <v>47</v>
      </c>
      <c r="U3" s="323">
        <v>47</v>
      </c>
      <c r="V3" s="321">
        <f t="shared" ref="V3:V10" si="0">SUM(F3*G3*(U3))</f>
        <v>114.05245599999999</v>
      </c>
      <c r="W3" s="666">
        <f>SUM(J3+L3+N3+P3+R3-U3)</f>
        <v>14</v>
      </c>
    </row>
    <row r="4" spans="1:23" ht="14.25" customHeight="1" x14ac:dyDescent="0.25">
      <c r="A4" s="588"/>
      <c r="B4" s="513" t="s">
        <v>88</v>
      </c>
      <c r="C4" s="468" t="s">
        <v>91</v>
      </c>
      <c r="D4" s="468" t="s">
        <v>92</v>
      </c>
      <c r="E4" s="475">
        <v>108</v>
      </c>
      <c r="F4" s="470">
        <v>0.86667000000000005</v>
      </c>
      <c r="G4" s="470">
        <v>2.8</v>
      </c>
      <c r="H4" s="476">
        <f t="shared" ref="H4:H11" si="1">SUM(F4*G4*E4)</f>
        <v>262.081008</v>
      </c>
      <c r="I4" s="472">
        <v>46037</v>
      </c>
      <c r="J4" s="331">
        <v>25</v>
      </c>
      <c r="K4" s="330">
        <v>46043</v>
      </c>
      <c r="L4" s="331">
        <v>17</v>
      </c>
      <c r="M4" s="330">
        <v>46049</v>
      </c>
      <c r="N4" s="331">
        <v>18</v>
      </c>
      <c r="O4" s="330">
        <v>46056</v>
      </c>
      <c r="P4" s="331">
        <v>13</v>
      </c>
      <c r="Q4" s="330"/>
      <c r="R4" s="331"/>
      <c r="S4" s="331">
        <f>SUM(J4+L4+N4+P4+R4)</f>
        <v>73</v>
      </c>
      <c r="T4" s="671">
        <f>E4-J4-L4-N4-P4-R4</f>
        <v>35</v>
      </c>
      <c r="U4" s="334">
        <v>47</v>
      </c>
      <c r="V4" s="332">
        <f t="shared" si="0"/>
        <v>114.05377200000001</v>
      </c>
      <c r="W4" s="667">
        <f>J4+L4+N4+P4+R4-U4</f>
        <v>26</v>
      </c>
    </row>
    <row r="5" spans="1:23" ht="14.25" customHeight="1" x14ac:dyDescent="0.25">
      <c r="A5" s="588"/>
      <c r="B5" s="515" t="s">
        <v>89</v>
      </c>
      <c r="C5" s="468" t="s">
        <v>90</v>
      </c>
      <c r="D5" s="468" t="s">
        <v>92</v>
      </c>
      <c r="E5" s="475">
        <v>108</v>
      </c>
      <c r="F5" s="470">
        <v>0.86667000000000005</v>
      </c>
      <c r="G5" s="470">
        <v>2.8</v>
      </c>
      <c r="H5" s="476">
        <f t="shared" si="1"/>
        <v>262.081008</v>
      </c>
      <c r="I5" s="472">
        <v>46037</v>
      </c>
      <c r="J5" s="331">
        <v>16</v>
      </c>
      <c r="K5" s="330">
        <v>46043</v>
      </c>
      <c r="L5" s="331">
        <v>10</v>
      </c>
      <c r="M5" s="330">
        <v>46049</v>
      </c>
      <c r="N5" s="331">
        <v>28</v>
      </c>
      <c r="O5" s="330">
        <v>46056</v>
      </c>
      <c r="P5" s="331">
        <v>6</v>
      </c>
      <c r="Q5" s="330"/>
      <c r="R5" s="331"/>
      <c r="S5" s="331">
        <f>SUM(J5+L5+P5+N5+R5)</f>
        <v>60</v>
      </c>
      <c r="T5" s="671">
        <f>E5-J5-L5-N5-P5-R5</f>
        <v>48</v>
      </c>
      <c r="U5" s="334">
        <v>47</v>
      </c>
      <c r="V5" s="332">
        <f t="shared" si="0"/>
        <v>114.05377200000001</v>
      </c>
      <c r="W5" s="667">
        <f>J5+L5+N5+P5+R5-U5</f>
        <v>13</v>
      </c>
    </row>
    <row r="6" spans="1:23" ht="14.25" customHeight="1" x14ac:dyDescent="0.25">
      <c r="A6" s="589" t="s">
        <v>105</v>
      </c>
      <c r="B6" s="514" t="s">
        <v>108</v>
      </c>
      <c r="C6" s="468" t="s">
        <v>90</v>
      </c>
      <c r="D6" s="468" t="s">
        <v>92</v>
      </c>
      <c r="E6" s="469">
        <v>108</v>
      </c>
      <c r="F6" s="470">
        <v>0.86665999999999999</v>
      </c>
      <c r="G6" s="470">
        <v>2.8</v>
      </c>
      <c r="H6" s="471">
        <f>SUM(F6*G6*E6)</f>
        <v>262.07798399999996</v>
      </c>
      <c r="I6" s="472"/>
      <c r="J6" s="331"/>
      <c r="K6" s="330"/>
      <c r="L6" s="331"/>
      <c r="M6" s="330"/>
      <c r="N6" s="331"/>
      <c r="O6" s="330"/>
      <c r="P6" s="331"/>
      <c r="Q6" s="330"/>
      <c r="R6" s="331"/>
      <c r="S6" s="331"/>
      <c r="T6" s="671">
        <f t="shared" ref="T6:T10" si="2">E6-J6-L6-N6</f>
        <v>108</v>
      </c>
      <c r="U6" s="334"/>
      <c r="V6" s="332">
        <f t="shared" si="0"/>
        <v>0</v>
      </c>
      <c r="W6" s="667">
        <f>J6+L6+N6-U6</f>
        <v>0</v>
      </c>
    </row>
    <row r="7" spans="1:23" ht="14.55" customHeight="1" x14ac:dyDescent="0.25">
      <c r="A7" s="589"/>
      <c r="B7" s="474" t="s">
        <v>88</v>
      </c>
      <c r="C7" s="468" t="s">
        <v>91</v>
      </c>
      <c r="D7" s="468" t="s">
        <v>92</v>
      </c>
      <c r="E7" s="475">
        <v>108</v>
      </c>
      <c r="F7" s="470">
        <v>0.86667000000000005</v>
      </c>
      <c r="G7" s="470">
        <v>2.8</v>
      </c>
      <c r="H7" s="476">
        <f t="shared" ref="H7:H8" si="3">SUM(F7*G7*E7)</f>
        <v>262.081008</v>
      </c>
      <c r="I7" s="472"/>
      <c r="J7" s="331"/>
      <c r="K7" s="330"/>
      <c r="L7" s="331"/>
      <c r="M7" s="330"/>
      <c r="N7" s="331"/>
      <c r="O7" s="330"/>
      <c r="P7" s="331"/>
      <c r="Q7" s="330"/>
      <c r="R7" s="331"/>
      <c r="S7" s="331"/>
      <c r="T7" s="671">
        <f t="shared" si="2"/>
        <v>108</v>
      </c>
      <c r="U7" s="334"/>
      <c r="V7" s="332">
        <f t="shared" si="0"/>
        <v>0</v>
      </c>
      <c r="W7" s="667">
        <f>J7+L7+N7-U7</f>
        <v>0</v>
      </c>
    </row>
    <row r="8" spans="1:23" ht="14.25" customHeight="1" x14ac:dyDescent="0.25">
      <c r="A8" s="589"/>
      <c r="B8" s="474" t="s">
        <v>89</v>
      </c>
      <c r="C8" s="468" t="s">
        <v>90</v>
      </c>
      <c r="D8" s="468" t="s">
        <v>92</v>
      </c>
      <c r="E8" s="475">
        <v>108</v>
      </c>
      <c r="F8" s="470">
        <v>0.86667000000000005</v>
      </c>
      <c r="G8" s="470">
        <v>2.8</v>
      </c>
      <c r="H8" s="476">
        <f t="shared" si="3"/>
        <v>262.081008</v>
      </c>
      <c r="I8" s="330"/>
      <c r="J8" s="331"/>
      <c r="K8" s="330"/>
      <c r="L8" s="331"/>
      <c r="M8" s="330"/>
      <c r="N8" s="331"/>
      <c r="O8" s="330"/>
      <c r="P8" s="331"/>
      <c r="Q8" s="330"/>
      <c r="R8" s="331"/>
      <c r="S8" s="331"/>
      <c r="T8" s="671">
        <f t="shared" si="2"/>
        <v>108</v>
      </c>
      <c r="U8" s="334"/>
      <c r="V8" s="332">
        <f t="shared" si="0"/>
        <v>0</v>
      </c>
      <c r="W8" s="667">
        <f>J8+L8+N8-U8</f>
        <v>0</v>
      </c>
    </row>
    <row r="9" spans="1:23" ht="14.25" customHeight="1" x14ac:dyDescent="0.25">
      <c r="A9" s="477"/>
      <c r="B9" s="474"/>
      <c r="C9" s="468"/>
      <c r="D9" s="478"/>
      <c r="E9" s="475"/>
      <c r="F9" s="470"/>
      <c r="G9" s="470"/>
      <c r="H9" s="476">
        <f>SUM(F9*G9*E9)</f>
        <v>0</v>
      </c>
      <c r="I9" s="330"/>
      <c r="J9" s="331"/>
      <c r="K9" s="330"/>
      <c r="L9" s="331"/>
      <c r="M9" s="330"/>
      <c r="N9" s="331"/>
      <c r="O9" s="330"/>
      <c r="P9" s="331"/>
      <c r="Q9" s="330"/>
      <c r="R9" s="331"/>
      <c r="S9" s="331"/>
      <c r="T9" s="671">
        <f t="shared" si="2"/>
        <v>0</v>
      </c>
      <c r="U9" s="334"/>
      <c r="V9" s="332">
        <f t="shared" si="0"/>
        <v>0</v>
      </c>
      <c r="W9" s="667">
        <f>J9+L9+N9-U9</f>
        <v>0</v>
      </c>
    </row>
    <row r="10" spans="1:23" ht="14.25" customHeight="1" x14ac:dyDescent="0.25">
      <c r="A10" s="477"/>
      <c r="B10" s="474"/>
      <c r="C10" s="468"/>
      <c r="D10" s="478"/>
      <c r="E10" s="475"/>
      <c r="F10" s="479"/>
      <c r="G10" s="479"/>
      <c r="H10" s="476">
        <f t="shared" si="1"/>
        <v>0</v>
      </c>
      <c r="I10" s="330"/>
      <c r="J10" s="331"/>
      <c r="K10" s="330"/>
      <c r="L10" s="331"/>
      <c r="M10" s="330"/>
      <c r="N10" s="331"/>
      <c r="O10" s="330"/>
      <c r="P10" s="331"/>
      <c r="Q10" s="330"/>
      <c r="R10" s="331"/>
      <c r="S10" s="331"/>
      <c r="T10" s="671">
        <f t="shared" si="2"/>
        <v>0</v>
      </c>
      <c r="U10" s="334"/>
      <c r="V10" s="332">
        <f t="shared" si="0"/>
        <v>0</v>
      </c>
      <c r="W10" s="667">
        <f>J10+L10+N10-U10</f>
        <v>0</v>
      </c>
    </row>
    <row r="11" spans="1:23" ht="14.25" customHeight="1" thickBot="1" x14ac:dyDescent="0.3">
      <c r="A11" s="480"/>
      <c r="B11" s="481"/>
      <c r="C11" s="482"/>
      <c r="D11" s="483"/>
      <c r="E11" s="484"/>
      <c r="F11" s="485"/>
      <c r="G11" s="485"/>
      <c r="H11" s="486">
        <f t="shared" si="1"/>
        <v>0</v>
      </c>
      <c r="I11" s="487"/>
      <c r="J11" s="488"/>
      <c r="K11" s="487"/>
      <c r="L11" s="488"/>
      <c r="M11" s="487"/>
      <c r="N11" s="488"/>
      <c r="O11" s="487"/>
      <c r="P11" s="488"/>
      <c r="Q11" s="487"/>
      <c r="R11" s="511" t="s">
        <v>94</v>
      </c>
      <c r="S11" s="488"/>
      <c r="T11" s="672"/>
      <c r="U11" s="673">
        <f>SUM(U3:U5)/3</f>
        <v>47</v>
      </c>
      <c r="V11" s="668">
        <f>SUM(V3:V5)/3</f>
        <v>114.05333333333333</v>
      </c>
      <c r="W11" s="669"/>
    </row>
    <row r="12" spans="1:23" ht="14.25" customHeight="1" x14ac:dyDescent="0.25">
      <c r="F12" s="489"/>
      <c r="G12" s="489"/>
      <c r="H12" s="489"/>
      <c r="I12" s="490"/>
      <c r="J12" s="491"/>
      <c r="K12" s="490"/>
      <c r="L12" s="491"/>
      <c r="M12" s="490"/>
      <c r="N12" s="491"/>
      <c r="O12" s="490"/>
      <c r="P12" s="491"/>
      <c r="Q12" s="490"/>
      <c r="R12" s="491"/>
      <c r="S12" s="491"/>
    </row>
    <row r="13" spans="1:23" ht="14.25" customHeight="1" x14ac:dyDescent="0.25">
      <c r="F13" s="489"/>
      <c r="G13" s="489"/>
      <c r="H13" s="489"/>
      <c r="I13" s="490"/>
      <c r="J13" s="491"/>
      <c r="K13" s="490"/>
      <c r="L13" s="491"/>
      <c r="M13" s="490"/>
      <c r="N13" s="491"/>
      <c r="O13" s="490"/>
      <c r="P13" s="491"/>
      <c r="Q13" s="490"/>
      <c r="R13" s="491"/>
      <c r="S13" s="491"/>
    </row>
    <row r="14" spans="1:23" ht="14.25" customHeight="1" x14ac:dyDescent="0.25">
      <c r="F14" s="489"/>
      <c r="G14" s="489"/>
      <c r="H14" s="489"/>
      <c r="I14" s="490"/>
      <c r="J14" s="491"/>
      <c r="K14" s="490"/>
      <c r="L14" s="491"/>
      <c r="M14" s="490"/>
      <c r="N14" s="491"/>
      <c r="O14" s="490"/>
      <c r="P14" s="491"/>
      <c r="Q14" s="490"/>
      <c r="R14" s="491"/>
      <c r="S14" s="491"/>
    </row>
    <row r="15" spans="1:23" ht="14.25" customHeight="1" x14ac:dyDescent="0.25">
      <c r="F15" s="489"/>
      <c r="G15" s="489"/>
      <c r="H15" s="489"/>
      <c r="I15" s="490"/>
      <c r="J15" s="491"/>
      <c r="K15" s="490"/>
      <c r="L15" s="491"/>
      <c r="M15" s="490"/>
      <c r="N15" s="491"/>
      <c r="O15" s="490"/>
      <c r="P15" s="491"/>
      <c r="Q15" s="490"/>
      <c r="R15" s="491"/>
      <c r="S15" s="491"/>
    </row>
    <row r="16" spans="1:23" ht="14.25" customHeight="1" x14ac:dyDescent="0.25">
      <c r="F16" s="489"/>
      <c r="G16" s="489"/>
      <c r="H16" s="489"/>
      <c r="I16" s="490"/>
      <c r="J16" s="491"/>
      <c r="K16" s="490"/>
      <c r="L16" s="491"/>
      <c r="M16" s="490"/>
      <c r="N16" s="491"/>
      <c r="O16" s="490"/>
      <c r="P16" s="491"/>
      <c r="Q16" s="490"/>
      <c r="R16" s="491"/>
      <c r="S16" s="491"/>
    </row>
    <row r="17" spans="6:19" ht="14.25" customHeight="1" x14ac:dyDescent="0.25">
      <c r="F17" s="489"/>
      <c r="G17" s="489"/>
      <c r="H17" s="489"/>
      <c r="I17" s="490"/>
      <c r="J17" s="491"/>
      <c r="K17" s="490"/>
      <c r="L17" s="491"/>
      <c r="M17" s="490"/>
      <c r="N17" s="491"/>
      <c r="O17" s="490"/>
      <c r="P17" s="491"/>
      <c r="Q17" s="490"/>
      <c r="R17" s="491"/>
      <c r="S17" s="491"/>
    </row>
    <row r="18" spans="6:19" ht="14.25" customHeight="1" x14ac:dyDescent="0.25">
      <c r="F18" s="489"/>
      <c r="G18" s="489"/>
      <c r="H18" s="489"/>
      <c r="I18" s="490"/>
      <c r="J18" s="491"/>
      <c r="K18" s="490"/>
      <c r="L18" s="491"/>
      <c r="M18" s="490"/>
      <c r="N18" s="491"/>
      <c r="O18" s="490"/>
      <c r="P18" s="491"/>
      <c r="Q18" s="490"/>
      <c r="R18" s="491"/>
      <c r="S18" s="491"/>
    </row>
    <row r="19" spans="6:19" ht="14.25" customHeight="1" x14ac:dyDescent="0.25">
      <c r="F19" s="489"/>
      <c r="G19" s="489"/>
      <c r="H19" s="489"/>
      <c r="I19" s="490"/>
      <c r="J19" s="491"/>
      <c r="K19" s="490"/>
      <c r="L19" s="491"/>
      <c r="M19" s="490"/>
      <c r="N19" s="491"/>
      <c r="O19" s="490"/>
      <c r="P19" s="491"/>
      <c r="Q19" s="490"/>
      <c r="R19" s="491"/>
      <c r="S19" s="491"/>
    </row>
    <row r="20" spans="6:19" ht="14.25" customHeight="1" x14ac:dyDescent="0.25">
      <c r="F20" s="489"/>
      <c r="G20" s="489"/>
      <c r="H20" s="489"/>
      <c r="I20" s="490"/>
      <c r="J20" s="491"/>
      <c r="K20" s="490"/>
      <c r="L20" s="491"/>
      <c r="M20" s="490"/>
      <c r="N20" s="491"/>
      <c r="O20" s="490"/>
      <c r="P20" s="491"/>
      <c r="Q20" s="490"/>
      <c r="R20" s="491"/>
      <c r="S20" s="491"/>
    </row>
    <row r="21" spans="6:19" ht="14.25" customHeight="1" x14ac:dyDescent="0.25">
      <c r="F21" s="489"/>
      <c r="G21" s="489"/>
      <c r="H21" s="489"/>
      <c r="I21" s="490"/>
      <c r="J21" s="491"/>
      <c r="K21" s="490"/>
      <c r="L21" s="491"/>
      <c r="M21" s="490"/>
      <c r="N21" s="491"/>
      <c r="O21" s="490"/>
      <c r="P21" s="491"/>
      <c r="Q21" s="490"/>
      <c r="R21" s="491"/>
      <c r="S21" s="491"/>
    </row>
    <row r="22" spans="6:19" ht="14.25" customHeight="1" x14ac:dyDescent="0.25">
      <c r="F22" s="489"/>
      <c r="G22" s="489"/>
      <c r="H22" s="489"/>
      <c r="I22" s="490"/>
      <c r="J22" s="491"/>
      <c r="K22" s="490"/>
      <c r="L22" s="491"/>
      <c r="M22" s="490"/>
      <c r="N22" s="491"/>
      <c r="O22" s="490"/>
      <c r="P22" s="491"/>
      <c r="Q22" s="490"/>
      <c r="R22" s="491"/>
      <c r="S22" s="491"/>
    </row>
    <row r="23" spans="6:19" ht="14.25" customHeight="1" x14ac:dyDescent="0.25">
      <c r="F23" s="489"/>
      <c r="G23" s="489"/>
      <c r="H23" s="489"/>
      <c r="I23" s="490"/>
      <c r="J23" s="491"/>
      <c r="K23" s="490"/>
      <c r="L23" s="491"/>
      <c r="M23" s="490"/>
      <c r="N23" s="491"/>
      <c r="O23" s="490"/>
      <c r="P23" s="491"/>
      <c r="Q23" s="490"/>
      <c r="R23" s="491"/>
      <c r="S23" s="491"/>
    </row>
    <row r="24" spans="6:19" ht="14.25" customHeight="1" x14ac:dyDescent="0.25">
      <c r="F24" s="489"/>
      <c r="G24" s="489"/>
      <c r="H24" s="489"/>
      <c r="I24" s="490"/>
      <c r="J24" s="491"/>
      <c r="K24" s="490"/>
      <c r="L24" s="491"/>
      <c r="M24" s="490"/>
      <c r="N24" s="491"/>
      <c r="O24" s="490"/>
      <c r="P24" s="491"/>
      <c r="Q24" s="490"/>
      <c r="R24" s="491"/>
      <c r="S24" s="491"/>
    </row>
    <row r="25" spans="6:19" ht="14.25" customHeight="1" x14ac:dyDescent="0.25">
      <c r="F25" s="489"/>
      <c r="G25" s="489"/>
      <c r="H25" s="489"/>
      <c r="I25" s="490"/>
      <c r="J25" s="491"/>
      <c r="K25" s="490"/>
      <c r="L25" s="491"/>
      <c r="M25" s="490"/>
      <c r="N25" s="491"/>
      <c r="O25" s="490"/>
      <c r="P25" s="491"/>
      <c r="Q25" s="490"/>
      <c r="R25" s="491"/>
      <c r="S25" s="491"/>
    </row>
    <row r="26" spans="6:19" ht="14.25" customHeight="1" x14ac:dyDescent="0.25">
      <c r="F26" s="489"/>
      <c r="G26" s="489"/>
      <c r="H26" s="489"/>
      <c r="I26" s="490"/>
      <c r="J26" s="491"/>
      <c r="K26" s="490"/>
      <c r="L26" s="491"/>
      <c r="M26" s="490"/>
      <c r="N26" s="491"/>
      <c r="O26" s="490"/>
      <c r="P26" s="491"/>
      <c r="Q26" s="490"/>
      <c r="R26" s="491"/>
      <c r="S26" s="491"/>
    </row>
    <row r="27" spans="6:19" ht="14.25" customHeight="1" x14ac:dyDescent="0.25">
      <c r="F27" s="489"/>
      <c r="G27" s="489"/>
      <c r="H27" s="489"/>
      <c r="I27" s="490"/>
      <c r="J27" s="491"/>
      <c r="K27" s="490"/>
      <c r="L27" s="491"/>
      <c r="M27" s="490"/>
      <c r="N27" s="491"/>
      <c r="O27" s="490"/>
      <c r="P27" s="491"/>
      <c r="Q27" s="490"/>
      <c r="R27" s="491"/>
      <c r="S27" s="491"/>
    </row>
    <row r="28" spans="6:19" ht="14.25" customHeight="1" x14ac:dyDescent="0.25">
      <c r="F28" s="489"/>
      <c r="G28" s="489"/>
      <c r="H28" s="489"/>
      <c r="I28" s="490"/>
      <c r="J28" s="491"/>
      <c r="K28" s="490"/>
      <c r="L28" s="491"/>
      <c r="M28" s="490"/>
      <c r="N28" s="491"/>
      <c r="O28" s="490"/>
      <c r="P28" s="491"/>
      <c r="Q28" s="490"/>
      <c r="R28" s="491"/>
      <c r="S28" s="491"/>
    </row>
    <row r="29" spans="6:19" ht="14.25" customHeight="1" x14ac:dyDescent="0.25">
      <c r="F29" s="489"/>
      <c r="G29" s="489"/>
      <c r="H29" s="489"/>
      <c r="I29" s="490"/>
      <c r="J29" s="491"/>
      <c r="K29" s="490"/>
      <c r="L29" s="491"/>
      <c r="M29" s="490"/>
      <c r="N29" s="491"/>
      <c r="O29" s="490"/>
      <c r="P29" s="491"/>
      <c r="Q29" s="490"/>
      <c r="R29" s="491"/>
      <c r="S29" s="491"/>
    </row>
    <row r="30" spans="6:19" ht="14.25" customHeight="1" x14ac:dyDescent="0.25">
      <c r="F30" s="489"/>
      <c r="G30" s="489"/>
      <c r="H30" s="489"/>
      <c r="I30" s="490"/>
      <c r="J30" s="491"/>
      <c r="K30" s="490"/>
      <c r="L30" s="491"/>
      <c r="M30" s="490"/>
      <c r="N30" s="491"/>
      <c r="O30" s="490"/>
      <c r="P30" s="491"/>
      <c r="Q30" s="490"/>
      <c r="R30" s="491"/>
      <c r="S30" s="491"/>
    </row>
    <row r="31" spans="6:19" ht="14.25" customHeight="1" x14ac:dyDescent="0.25">
      <c r="F31" s="489"/>
      <c r="G31" s="489"/>
      <c r="H31" s="489"/>
      <c r="I31" s="490"/>
      <c r="J31" s="491"/>
      <c r="K31" s="490"/>
      <c r="L31" s="491"/>
      <c r="M31" s="490"/>
      <c r="N31" s="491"/>
      <c r="O31" s="490"/>
      <c r="P31" s="491"/>
      <c r="Q31" s="490"/>
      <c r="R31" s="491"/>
      <c r="S31" s="491"/>
    </row>
    <row r="32" spans="6:19" ht="14.25" customHeight="1" x14ac:dyDescent="0.25">
      <c r="F32" s="489"/>
      <c r="G32" s="489"/>
      <c r="H32" s="489"/>
      <c r="I32" s="490"/>
      <c r="J32" s="491"/>
      <c r="K32" s="490"/>
      <c r="L32" s="491"/>
      <c r="M32" s="490"/>
      <c r="N32" s="491"/>
      <c r="O32" s="490"/>
      <c r="P32" s="491"/>
      <c r="Q32" s="490"/>
      <c r="R32" s="491"/>
      <c r="S32" s="491"/>
    </row>
    <row r="33" spans="6:19" ht="14.25" customHeight="1" x14ac:dyDescent="0.25">
      <c r="F33" s="489"/>
      <c r="G33" s="489"/>
      <c r="H33" s="489"/>
      <c r="I33" s="490"/>
      <c r="J33" s="491"/>
      <c r="K33" s="490"/>
      <c r="L33" s="491"/>
      <c r="M33" s="490"/>
      <c r="N33" s="491"/>
      <c r="O33" s="490"/>
      <c r="P33" s="491"/>
      <c r="Q33" s="490"/>
      <c r="R33" s="491"/>
      <c r="S33" s="491"/>
    </row>
    <row r="34" spans="6:19" ht="14.25" customHeight="1" x14ac:dyDescent="0.25">
      <c r="F34" s="489"/>
      <c r="G34" s="489"/>
      <c r="H34" s="489"/>
      <c r="I34" s="490"/>
      <c r="J34" s="491"/>
      <c r="K34" s="490"/>
      <c r="L34" s="491"/>
      <c r="M34" s="490"/>
      <c r="N34" s="491"/>
      <c r="O34" s="490"/>
      <c r="P34" s="491"/>
      <c r="Q34" s="490"/>
      <c r="R34" s="491"/>
      <c r="S34" s="491"/>
    </row>
    <row r="35" spans="6:19" ht="14.25" customHeight="1" x14ac:dyDescent="0.25">
      <c r="F35" s="489"/>
      <c r="G35" s="489"/>
      <c r="H35" s="489"/>
      <c r="I35" s="490"/>
      <c r="J35" s="491"/>
      <c r="K35" s="490"/>
      <c r="L35" s="491"/>
      <c r="M35" s="490"/>
      <c r="N35" s="491"/>
      <c r="O35" s="490"/>
      <c r="P35" s="491"/>
      <c r="Q35" s="490"/>
      <c r="R35" s="491"/>
      <c r="S35" s="491"/>
    </row>
    <row r="36" spans="6:19" ht="14.25" customHeight="1" x14ac:dyDescent="0.25">
      <c r="F36" s="489"/>
      <c r="G36" s="489"/>
      <c r="H36" s="489"/>
      <c r="I36" s="490"/>
      <c r="J36" s="491"/>
      <c r="K36" s="490"/>
      <c r="L36" s="491"/>
      <c r="M36" s="490"/>
      <c r="N36" s="491"/>
      <c r="O36" s="490"/>
      <c r="P36" s="491"/>
      <c r="Q36" s="490"/>
      <c r="R36" s="491"/>
      <c r="S36" s="491"/>
    </row>
    <row r="37" spans="6:19" ht="14.25" customHeight="1" x14ac:dyDescent="0.25">
      <c r="F37" s="489"/>
      <c r="G37" s="489"/>
      <c r="H37" s="489"/>
      <c r="I37" s="490"/>
      <c r="J37" s="491"/>
      <c r="K37" s="490"/>
      <c r="L37" s="491"/>
      <c r="M37" s="490"/>
      <c r="N37" s="491"/>
      <c r="O37" s="490"/>
      <c r="P37" s="491"/>
      <c r="Q37" s="490"/>
      <c r="R37" s="491"/>
      <c r="S37" s="491"/>
    </row>
    <row r="38" spans="6:19" ht="14.25" customHeight="1" x14ac:dyDescent="0.25">
      <c r="F38" s="489"/>
      <c r="G38" s="489"/>
      <c r="H38" s="489"/>
      <c r="I38" s="490"/>
      <c r="J38" s="491"/>
      <c r="K38" s="490"/>
      <c r="L38" s="491"/>
      <c r="M38" s="490"/>
      <c r="N38" s="491"/>
      <c r="O38" s="490"/>
      <c r="P38" s="491"/>
      <c r="Q38" s="490"/>
      <c r="R38" s="491"/>
      <c r="S38" s="491"/>
    </row>
    <row r="39" spans="6:19" ht="14.25" customHeight="1" x14ac:dyDescent="0.25">
      <c r="F39" s="489"/>
      <c r="G39" s="489"/>
      <c r="H39" s="489"/>
      <c r="I39" s="490"/>
      <c r="J39" s="491"/>
      <c r="K39" s="490"/>
      <c r="L39" s="491"/>
      <c r="M39" s="490"/>
      <c r="N39" s="491"/>
      <c r="O39" s="490"/>
      <c r="P39" s="491"/>
      <c r="Q39" s="490"/>
      <c r="R39" s="491"/>
      <c r="S39" s="491"/>
    </row>
    <row r="40" spans="6:19" ht="14.25" customHeight="1" x14ac:dyDescent="0.25">
      <c r="F40" s="489"/>
      <c r="G40" s="489"/>
      <c r="H40" s="489"/>
      <c r="I40" s="490"/>
      <c r="J40" s="491"/>
      <c r="K40" s="490"/>
      <c r="L40" s="491"/>
      <c r="M40" s="490"/>
      <c r="N40" s="491"/>
      <c r="O40" s="490"/>
      <c r="P40" s="491"/>
      <c r="Q40" s="490"/>
      <c r="R40" s="491"/>
      <c r="S40" s="491"/>
    </row>
    <row r="41" spans="6:19" ht="14.25" customHeight="1" x14ac:dyDescent="0.25">
      <c r="F41" s="489"/>
      <c r="G41" s="489"/>
      <c r="H41" s="489"/>
      <c r="I41" s="490"/>
      <c r="J41" s="491"/>
      <c r="K41" s="490"/>
      <c r="L41" s="491"/>
      <c r="M41" s="490"/>
      <c r="N41" s="491"/>
      <c r="O41" s="490"/>
      <c r="P41" s="491"/>
      <c r="Q41" s="490"/>
      <c r="R41" s="491"/>
      <c r="S41" s="491"/>
    </row>
    <row r="42" spans="6:19" ht="14.25" customHeight="1" x14ac:dyDescent="0.25">
      <c r="F42" s="489"/>
      <c r="G42" s="489"/>
      <c r="H42" s="489"/>
      <c r="I42" s="490"/>
      <c r="J42" s="491"/>
      <c r="K42" s="490"/>
      <c r="L42" s="491"/>
      <c r="M42" s="490"/>
      <c r="N42" s="491"/>
      <c r="O42" s="490"/>
      <c r="P42" s="491"/>
      <c r="Q42" s="490"/>
      <c r="R42" s="491"/>
      <c r="S42" s="491"/>
    </row>
    <row r="43" spans="6:19" ht="14.25" customHeight="1" x14ac:dyDescent="0.25">
      <c r="F43" s="489"/>
      <c r="G43" s="489"/>
      <c r="H43" s="489"/>
      <c r="I43" s="490"/>
      <c r="J43" s="491"/>
      <c r="K43" s="490"/>
      <c r="L43" s="491"/>
      <c r="M43" s="490"/>
      <c r="N43" s="491"/>
      <c r="O43" s="490"/>
      <c r="P43" s="491"/>
      <c r="Q43" s="490"/>
      <c r="R43" s="491"/>
      <c r="S43" s="491"/>
    </row>
    <row r="44" spans="6:19" ht="14.25" customHeight="1" x14ac:dyDescent="0.25">
      <c r="F44" s="489"/>
      <c r="G44" s="489"/>
      <c r="H44" s="489"/>
      <c r="I44" s="490"/>
      <c r="J44" s="491"/>
      <c r="K44" s="490"/>
      <c r="L44" s="491"/>
      <c r="M44" s="490"/>
      <c r="N44" s="491"/>
      <c r="O44" s="490"/>
      <c r="P44" s="491"/>
      <c r="Q44" s="490"/>
      <c r="R44" s="491"/>
      <c r="S44" s="491"/>
    </row>
    <row r="45" spans="6:19" ht="14.25" customHeight="1" x14ac:dyDescent="0.25">
      <c r="F45" s="489"/>
      <c r="G45" s="489"/>
      <c r="H45" s="489"/>
      <c r="I45" s="490"/>
      <c r="J45" s="491"/>
      <c r="K45" s="490"/>
      <c r="L45" s="491"/>
      <c r="M45" s="490"/>
      <c r="N45" s="491"/>
      <c r="O45" s="490"/>
      <c r="P45" s="491"/>
      <c r="Q45" s="490"/>
      <c r="R45" s="491"/>
      <c r="S45" s="491"/>
    </row>
    <row r="46" spans="6:19" ht="14.25" customHeight="1" x14ac:dyDescent="0.25">
      <c r="F46" s="489"/>
      <c r="G46" s="489"/>
      <c r="H46" s="489"/>
      <c r="I46" s="490"/>
      <c r="J46" s="491"/>
      <c r="K46" s="490"/>
      <c r="L46" s="491"/>
      <c r="M46" s="490"/>
      <c r="N46" s="491"/>
      <c r="O46" s="490"/>
      <c r="P46" s="491"/>
      <c r="Q46" s="490"/>
      <c r="R46" s="491"/>
      <c r="S46" s="491"/>
    </row>
    <row r="47" spans="6:19" ht="14.25" customHeight="1" x14ac:dyDescent="0.25">
      <c r="F47" s="489"/>
      <c r="G47" s="489"/>
      <c r="H47" s="489"/>
      <c r="I47" s="490"/>
      <c r="J47" s="491"/>
      <c r="K47" s="490"/>
      <c r="L47" s="491"/>
      <c r="M47" s="490"/>
      <c r="N47" s="491"/>
      <c r="O47" s="490"/>
      <c r="P47" s="491"/>
      <c r="Q47" s="490"/>
      <c r="R47" s="491"/>
      <c r="S47" s="491"/>
    </row>
    <row r="48" spans="6:19" ht="14.25" customHeight="1" x14ac:dyDescent="0.25">
      <c r="F48" s="489"/>
      <c r="G48" s="489"/>
      <c r="H48" s="489"/>
      <c r="I48" s="490"/>
      <c r="J48" s="491"/>
      <c r="K48" s="490"/>
      <c r="L48" s="491"/>
      <c r="M48" s="490"/>
      <c r="N48" s="491"/>
      <c r="O48" s="490"/>
      <c r="P48" s="491"/>
      <c r="Q48" s="490"/>
      <c r="R48" s="491"/>
      <c r="S48" s="491"/>
    </row>
    <row r="49" spans="6:19" ht="14.25" customHeight="1" x14ac:dyDescent="0.25">
      <c r="F49" s="489"/>
      <c r="G49" s="489"/>
      <c r="H49" s="489"/>
      <c r="I49" s="490"/>
      <c r="J49" s="491"/>
      <c r="K49" s="490"/>
      <c r="L49" s="491"/>
      <c r="M49" s="490"/>
      <c r="N49" s="491"/>
      <c r="O49" s="490"/>
      <c r="P49" s="491"/>
      <c r="Q49" s="490"/>
      <c r="R49" s="491"/>
      <c r="S49" s="491"/>
    </row>
    <row r="50" spans="6:19" ht="14.25" customHeight="1" x14ac:dyDescent="0.25">
      <c r="F50" s="489"/>
      <c r="G50" s="489"/>
      <c r="H50" s="489"/>
      <c r="I50" s="490"/>
      <c r="J50" s="491"/>
      <c r="K50" s="490"/>
      <c r="L50" s="491"/>
      <c r="M50" s="490"/>
      <c r="N50" s="491"/>
      <c r="O50" s="490"/>
      <c r="P50" s="491"/>
      <c r="Q50" s="490"/>
      <c r="R50" s="491"/>
      <c r="S50" s="491"/>
    </row>
    <row r="51" spans="6:19" ht="14.25" customHeight="1" x14ac:dyDescent="0.25">
      <c r="F51" s="489"/>
      <c r="G51" s="489"/>
      <c r="H51" s="489"/>
      <c r="I51" s="490"/>
      <c r="J51" s="491"/>
      <c r="K51" s="490"/>
      <c r="L51" s="491"/>
      <c r="M51" s="490"/>
      <c r="N51" s="491"/>
      <c r="O51" s="490"/>
      <c r="P51" s="491"/>
      <c r="Q51" s="490"/>
      <c r="R51" s="491"/>
      <c r="S51" s="491"/>
    </row>
    <row r="52" spans="6:19" ht="14.25" customHeight="1" x14ac:dyDescent="0.25">
      <c r="F52" s="489"/>
      <c r="G52" s="489"/>
      <c r="H52" s="489"/>
      <c r="I52" s="490"/>
      <c r="J52" s="491"/>
      <c r="K52" s="490"/>
      <c r="L52" s="491"/>
      <c r="M52" s="490"/>
      <c r="N52" s="491"/>
      <c r="O52" s="490"/>
      <c r="P52" s="491"/>
      <c r="Q52" s="490"/>
      <c r="R52" s="491"/>
      <c r="S52" s="491"/>
    </row>
    <row r="53" spans="6:19" ht="14.25" customHeight="1" x14ac:dyDescent="0.25">
      <c r="F53" s="489"/>
      <c r="G53" s="489"/>
      <c r="H53" s="489"/>
      <c r="I53" s="490"/>
      <c r="J53" s="491"/>
      <c r="K53" s="490"/>
      <c r="L53" s="491"/>
      <c r="M53" s="490"/>
      <c r="N53" s="491"/>
      <c r="O53" s="490"/>
      <c r="P53" s="491"/>
      <c r="Q53" s="490"/>
      <c r="R53" s="491"/>
      <c r="S53" s="491"/>
    </row>
    <row r="54" spans="6:19" ht="14.25" customHeight="1" x14ac:dyDescent="0.25">
      <c r="F54" s="489"/>
      <c r="G54" s="489"/>
      <c r="H54" s="489"/>
      <c r="I54" s="490"/>
      <c r="J54" s="491"/>
      <c r="K54" s="490"/>
      <c r="L54" s="491"/>
      <c r="M54" s="490"/>
      <c r="N54" s="491"/>
      <c r="O54" s="490"/>
      <c r="P54" s="491"/>
      <c r="Q54" s="490"/>
      <c r="R54" s="491"/>
      <c r="S54" s="491"/>
    </row>
    <row r="55" spans="6:19" ht="14.25" customHeight="1" x14ac:dyDescent="0.25">
      <c r="F55" s="489"/>
      <c r="G55" s="489"/>
      <c r="H55" s="489"/>
      <c r="I55" s="490"/>
      <c r="J55" s="491"/>
      <c r="K55" s="490"/>
      <c r="L55" s="491"/>
      <c r="M55" s="490"/>
      <c r="N55" s="491"/>
      <c r="O55" s="490"/>
      <c r="P55" s="491"/>
      <c r="Q55" s="490"/>
      <c r="R55" s="491"/>
      <c r="S55" s="491"/>
    </row>
    <row r="56" spans="6:19" ht="14.25" customHeight="1" x14ac:dyDescent="0.25">
      <c r="F56" s="489"/>
      <c r="G56" s="489"/>
      <c r="H56" s="489"/>
      <c r="I56" s="490"/>
      <c r="J56" s="491"/>
      <c r="K56" s="490"/>
      <c r="L56" s="491"/>
      <c r="M56" s="490"/>
      <c r="N56" s="491"/>
      <c r="O56" s="490"/>
      <c r="P56" s="491"/>
      <c r="Q56" s="490"/>
      <c r="R56" s="491"/>
      <c r="S56" s="491"/>
    </row>
    <row r="57" spans="6:19" ht="14.25" customHeight="1" x14ac:dyDescent="0.25">
      <c r="F57" s="489"/>
      <c r="G57" s="489"/>
      <c r="H57" s="489"/>
      <c r="I57" s="490"/>
      <c r="J57" s="491"/>
      <c r="K57" s="490"/>
      <c r="L57" s="491"/>
      <c r="M57" s="490"/>
      <c r="N57" s="491"/>
      <c r="O57" s="490"/>
      <c r="P57" s="491"/>
      <c r="Q57" s="490"/>
      <c r="R57" s="491"/>
      <c r="S57" s="491"/>
    </row>
    <row r="58" spans="6:19" ht="14.25" customHeight="1" x14ac:dyDescent="0.25">
      <c r="F58" s="489"/>
      <c r="G58" s="489"/>
      <c r="H58" s="489"/>
      <c r="I58" s="490"/>
      <c r="J58" s="491"/>
      <c r="K58" s="490"/>
      <c r="L58" s="491"/>
      <c r="M58" s="490"/>
      <c r="N58" s="491"/>
      <c r="O58" s="490"/>
      <c r="P58" s="491"/>
      <c r="Q58" s="490"/>
      <c r="R58" s="491"/>
      <c r="S58" s="491"/>
    </row>
    <row r="59" spans="6:19" ht="14.25" customHeight="1" x14ac:dyDescent="0.25">
      <c r="F59" s="489"/>
      <c r="G59" s="489"/>
      <c r="H59" s="489"/>
      <c r="I59" s="490"/>
      <c r="J59" s="491"/>
      <c r="K59" s="490"/>
      <c r="L59" s="491"/>
      <c r="M59" s="490"/>
      <c r="N59" s="491"/>
      <c r="O59" s="490"/>
      <c r="P59" s="491"/>
      <c r="Q59" s="490"/>
      <c r="R59" s="491"/>
      <c r="S59" s="491"/>
    </row>
    <row r="60" spans="6:19" ht="14.25" customHeight="1" x14ac:dyDescent="0.25">
      <c r="F60" s="489"/>
      <c r="G60" s="489"/>
      <c r="H60" s="489"/>
      <c r="I60" s="490"/>
      <c r="J60" s="491"/>
      <c r="K60" s="490"/>
      <c r="L60" s="491"/>
      <c r="M60" s="490"/>
      <c r="N60" s="491"/>
      <c r="O60" s="490"/>
      <c r="P60" s="491"/>
      <c r="Q60" s="490"/>
      <c r="R60" s="491"/>
      <c r="S60" s="491"/>
    </row>
    <row r="61" spans="6:19" ht="14.25" customHeight="1" x14ac:dyDescent="0.25">
      <c r="F61" s="489"/>
      <c r="G61" s="489"/>
      <c r="H61" s="489"/>
      <c r="I61" s="490"/>
      <c r="J61" s="491"/>
      <c r="K61" s="490"/>
      <c r="L61" s="491"/>
      <c r="M61" s="490"/>
      <c r="N61" s="491"/>
      <c r="O61" s="490"/>
      <c r="P61" s="491"/>
      <c r="Q61" s="490"/>
      <c r="R61" s="491"/>
      <c r="S61" s="491"/>
    </row>
    <row r="62" spans="6:19" ht="14.25" customHeight="1" x14ac:dyDescent="0.25">
      <c r="F62" s="489"/>
      <c r="G62" s="489"/>
      <c r="H62" s="489"/>
      <c r="I62" s="490"/>
      <c r="J62" s="491"/>
      <c r="K62" s="490"/>
      <c r="L62" s="491"/>
      <c r="M62" s="490"/>
      <c r="N62" s="491"/>
      <c r="O62" s="490"/>
      <c r="P62" s="491"/>
      <c r="Q62" s="490"/>
      <c r="R62" s="491"/>
      <c r="S62" s="491"/>
    </row>
    <row r="63" spans="6:19" ht="14.25" customHeight="1" x14ac:dyDescent="0.25">
      <c r="F63" s="489"/>
      <c r="G63" s="489"/>
      <c r="H63" s="489"/>
      <c r="I63" s="490"/>
      <c r="J63" s="491"/>
      <c r="K63" s="490"/>
      <c r="L63" s="491"/>
      <c r="M63" s="490"/>
      <c r="N63" s="491"/>
      <c r="O63" s="490"/>
      <c r="P63" s="491"/>
      <c r="Q63" s="490"/>
      <c r="R63" s="491"/>
      <c r="S63" s="491"/>
    </row>
    <row r="64" spans="6:19" ht="14.25" customHeight="1" x14ac:dyDescent="0.25">
      <c r="F64" s="489"/>
      <c r="G64" s="489"/>
      <c r="H64" s="489"/>
      <c r="I64" s="490"/>
      <c r="J64" s="491"/>
      <c r="K64" s="490"/>
      <c r="L64" s="491"/>
      <c r="M64" s="490"/>
      <c r="N64" s="491"/>
      <c r="O64" s="490"/>
      <c r="P64" s="491"/>
      <c r="Q64" s="490"/>
      <c r="R64" s="491"/>
      <c r="S64" s="491"/>
    </row>
    <row r="65" spans="6:19" ht="14.25" customHeight="1" x14ac:dyDescent="0.25">
      <c r="F65" s="489"/>
      <c r="G65" s="489"/>
      <c r="H65" s="489"/>
      <c r="I65" s="490"/>
      <c r="J65" s="491"/>
      <c r="K65" s="490"/>
      <c r="L65" s="491"/>
      <c r="M65" s="490"/>
      <c r="N65" s="491"/>
      <c r="O65" s="490"/>
      <c r="P65" s="491"/>
      <c r="Q65" s="490"/>
      <c r="R65" s="491"/>
      <c r="S65" s="491"/>
    </row>
    <row r="66" spans="6:19" ht="14.25" customHeight="1" x14ac:dyDescent="0.25">
      <c r="F66" s="489"/>
      <c r="G66" s="489"/>
      <c r="H66" s="489"/>
      <c r="I66" s="490"/>
      <c r="J66" s="491"/>
      <c r="K66" s="490"/>
      <c r="L66" s="491"/>
      <c r="M66" s="490"/>
      <c r="N66" s="491"/>
      <c r="O66" s="490"/>
      <c r="P66" s="491"/>
      <c r="Q66" s="490"/>
      <c r="R66" s="491"/>
      <c r="S66" s="491"/>
    </row>
    <row r="67" spans="6:19" ht="14.25" customHeight="1" x14ac:dyDescent="0.25">
      <c r="F67" s="489"/>
      <c r="G67" s="489"/>
      <c r="H67" s="489"/>
      <c r="I67" s="490"/>
      <c r="J67" s="491"/>
      <c r="K67" s="490"/>
      <c r="L67" s="491"/>
      <c r="M67" s="490"/>
      <c r="N67" s="491"/>
      <c r="O67" s="490"/>
      <c r="P67" s="491"/>
      <c r="Q67" s="490"/>
      <c r="R67" s="491"/>
      <c r="S67" s="491"/>
    </row>
    <row r="68" spans="6:19" ht="14.25" customHeight="1" x14ac:dyDescent="0.25">
      <c r="F68" s="489"/>
      <c r="G68" s="489"/>
      <c r="H68" s="489"/>
      <c r="I68" s="490"/>
      <c r="J68" s="491"/>
      <c r="K68" s="490"/>
      <c r="L68" s="491"/>
      <c r="M68" s="490"/>
      <c r="N68" s="491"/>
      <c r="O68" s="490"/>
      <c r="P68" s="491"/>
      <c r="Q68" s="490"/>
      <c r="R68" s="491"/>
      <c r="S68" s="491"/>
    </row>
    <row r="69" spans="6:19" ht="14.25" customHeight="1" x14ac:dyDescent="0.25">
      <c r="F69" s="489"/>
      <c r="G69" s="489"/>
      <c r="H69" s="489"/>
      <c r="I69" s="490"/>
      <c r="J69" s="491"/>
      <c r="K69" s="490"/>
      <c r="L69" s="491"/>
      <c r="M69" s="490"/>
      <c r="N69" s="491"/>
      <c r="O69" s="490"/>
      <c r="P69" s="491"/>
      <c r="Q69" s="490"/>
      <c r="R69" s="491"/>
      <c r="S69" s="491"/>
    </row>
    <row r="70" spans="6:19" ht="14.25" customHeight="1" x14ac:dyDescent="0.25">
      <c r="F70" s="489"/>
      <c r="G70" s="489"/>
      <c r="H70" s="489"/>
      <c r="I70" s="490"/>
      <c r="J70" s="491"/>
      <c r="K70" s="490"/>
      <c r="L70" s="491"/>
      <c r="M70" s="490"/>
      <c r="N70" s="491"/>
      <c r="O70" s="490"/>
      <c r="P70" s="491"/>
      <c r="Q70" s="490"/>
      <c r="R70" s="491"/>
      <c r="S70" s="491"/>
    </row>
    <row r="71" spans="6:19" ht="14.25" customHeight="1" x14ac:dyDescent="0.25">
      <c r="F71" s="489"/>
      <c r="G71" s="489"/>
      <c r="H71" s="489"/>
      <c r="I71" s="490"/>
      <c r="J71" s="491"/>
      <c r="K71" s="490"/>
      <c r="L71" s="491"/>
      <c r="M71" s="490"/>
      <c r="N71" s="491"/>
      <c r="O71" s="490"/>
      <c r="P71" s="491"/>
      <c r="Q71" s="490"/>
      <c r="R71" s="491"/>
      <c r="S71" s="491"/>
    </row>
    <row r="72" spans="6:19" ht="14.25" customHeight="1" x14ac:dyDescent="0.25">
      <c r="F72" s="489"/>
      <c r="G72" s="489"/>
      <c r="H72" s="489"/>
      <c r="I72" s="490"/>
      <c r="J72" s="491"/>
      <c r="K72" s="490"/>
      <c r="L72" s="491"/>
      <c r="M72" s="490"/>
      <c r="N72" s="491"/>
      <c r="O72" s="490"/>
      <c r="P72" s="491"/>
      <c r="Q72" s="490"/>
      <c r="R72" s="491"/>
      <c r="S72" s="491"/>
    </row>
    <row r="73" spans="6:19" ht="14.25" customHeight="1" x14ac:dyDescent="0.25">
      <c r="F73" s="489"/>
      <c r="G73" s="489"/>
      <c r="H73" s="489"/>
      <c r="I73" s="490"/>
      <c r="J73" s="491"/>
      <c r="K73" s="490"/>
      <c r="L73" s="491"/>
      <c r="M73" s="490"/>
      <c r="N73" s="491"/>
      <c r="O73" s="490"/>
      <c r="P73" s="491"/>
      <c r="Q73" s="490"/>
      <c r="R73" s="491"/>
      <c r="S73" s="491"/>
    </row>
    <row r="74" spans="6:19" ht="14.25" customHeight="1" x14ac:dyDescent="0.25">
      <c r="F74" s="489"/>
      <c r="G74" s="489"/>
      <c r="H74" s="489"/>
      <c r="I74" s="490"/>
      <c r="J74" s="491"/>
      <c r="K74" s="490"/>
      <c r="L74" s="491"/>
      <c r="M74" s="490"/>
      <c r="N74" s="491"/>
      <c r="O74" s="490"/>
      <c r="P74" s="491"/>
      <c r="Q74" s="490"/>
      <c r="R74" s="491"/>
      <c r="S74" s="491"/>
    </row>
    <row r="75" spans="6:19" ht="14.25" customHeight="1" x14ac:dyDescent="0.25">
      <c r="F75" s="489"/>
      <c r="G75" s="489"/>
      <c r="H75" s="489"/>
      <c r="I75" s="490"/>
      <c r="J75" s="491"/>
      <c r="K75" s="490"/>
      <c r="L75" s="491"/>
      <c r="M75" s="490"/>
      <c r="N75" s="491"/>
      <c r="O75" s="490"/>
      <c r="P75" s="491"/>
      <c r="Q75" s="490"/>
      <c r="R75" s="491"/>
      <c r="S75" s="491"/>
    </row>
    <row r="76" spans="6:19" ht="14.25" customHeight="1" x14ac:dyDescent="0.25">
      <c r="F76" s="489"/>
      <c r="G76" s="489"/>
      <c r="H76" s="489"/>
      <c r="I76" s="490"/>
      <c r="J76" s="491"/>
      <c r="K76" s="490"/>
      <c r="L76" s="491"/>
      <c r="M76" s="490"/>
      <c r="N76" s="491"/>
      <c r="O76" s="490"/>
      <c r="P76" s="491"/>
      <c r="Q76" s="490"/>
      <c r="R76" s="491"/>
      <c r="S76" s="491"/>
    </row>
    <row r="77" spans="6:19" ht="14.25" customHeight="1" x14ac:dyDescent="0.25">
      <c r="F77" s="489"/>
      <c r="G77" s="489"/>
      <c r="H77" s="489"/>
      <c r="I77" s="490"/>
      <c r="J77" s="491"/>
      <c r="K77" s="490"/>
      <c r="L77" s="491"/>
      <c r="M77" s="490"/>
      <c r="N77" s="491"/>
      <c r="O77" s="490"/>
      <c r="P77" s="491"/>
      <c r="Q77" s="490"/>
      <c r="R77" s="491"/>
      <c r="S77" s="491"/>
    </row>
    <row r="78" spans="6:19" ht="14.25" customHeight="1" x14ac:dyDescent="0.25">
      <c r="F78" s="489"/>
      <c r="G78" s="489"/>
      <c r="H78" s="489"/>
      <c r="I78" s="490"/>
      <c r="J78" s="491"/>
      <c r="K78" s="490"/>
      <c r="L78" s="491"/>
      <c r="M78" s="490"/>
      <c r="N78" s="491"/>
      <c r="O78" s="490"/>
      <c r="P78" s="491"/>
      <c r="Q78" s="490"/>
      <c r="R78" s="491"/>
      <c r="S78" s="491"/>
    </row>
    <row r="79" spans="6:19" ht="14.25" customHeight="1" x14ac:dyDescent="0.25">
      <c r="F79" s="489"/>
      <c r="G79" s="489"/>
      <c r="H79" s="489"/>
      <c r="I79" s="490"/>
      <c r="J79" s="491"/>
      <c r="K79" s="490"/>
      <c r="L79" s="491"/>
      <c r="M79" s="490"/>
      <c r="N79" s="491"/>
      <c r="O79" s="490"/>
      <c r="P79" s="491"/>
      <c r="Q79" s="490"/>
      <c r="R79" s="491"/>
      <c r="S79" s="491"/>
    </row>
    <row r="80" spans="6:19" ht="14.25" customHeight="1" x14ac:dyDescent="0.25">
      <c r="F80" s="489"/>
      <c r="G80" s="489"/>
      <c r="H80" s="489"/>
      <c r="I80" s="490"/>
      <c r="J80" s="491"/>
      <c r="K80" s="490"/>
      <c r="L80" s="491"/>
      <c r="M80" s="490"/>
      <c r="N80" s="491"/>
      <c r="O80" s="490"/>
      <c r="P80" s="491"/>
      <c r="Q80" s="490"/>
      <c r="R80" s="491"/>
      <c r="S80" s="491"/>
    </row>
    <row r="81" spans="6:19" ht="14.25" customHeight="1" x14ac:dyDescent="0.25">
      <c r="F81" s="489"/>
      <c r="G81" s="489"/>
      <c r="H81" s="489"/>
      <c r="I81" s="490"/>
      <c r="J81" s="491"/>
      <c r="K81" s="490"/>
      <c r="L81" s="491"/>
      <c r="M81" s="490"/>
      <c r="N81" s="491"/>
      <c r="O81" s="490"/>
      <c r="P81" s="491"/>
      <c r="Q81" s="490"/>
      <c r="R81" s="491"/>
      <c r="S81" s="491"/>
    </row>
    <row r="82" spans="6:19" ht="14.25" customHeight="1" x14ac:dyDescent="0.25">
      <c r="F82" s="489"/>
      <c r="G82" s="489"/>
      <c r="H82" s="489"/>
      <c r="I82" s="490"/>
      <c r="J82" s="491"/>
      <c r="K82" s="490"/>
      <c r="L82" s="491"/>
      <c r="M82" s="490"/>
      <c r="N82" s="491"/>
      <c r="O82" s="490"/>
      <c r="P82" s="491"/>
      <c r="Q82" s="490"/>
      <c r="R82" s="491"/>
      <c r="S82" s="491"/>
    </row>
    <row r="83" spans="6:19" ht="14.25" customHeight="1" x14ac:dyDescent="0.25">
      <c r="F83" s="489"/>
      <c r="G83" s="489"/>
      <c r="H83" s="489"/>
      <c r="I83" s="490"/>
      <c r="J83" s="491"/>
      <c r="K83" s="490"/>
      <c r="L83" s="491"/>
      <c r="M83" s="490"/>
      <c r="N83" s="491"/>
      <c r="O83" s="490"/>
      <c r="P83" s="491"/>
      <c r="Q83" s="490"/>
      <c r="R83" s="491"/>
      <c r="S83" s="491"/>
    </row>
    <row r="84" spans="6:19" ht="14.25" customHeight="1" x14ac:dyDescent="0.25">
      <c r="F84" s="489"/>
      <c r="G84" s="489"/>
      <c r="H84" s="489"/>
      <c r="I84" s="490"/>
      <c r="J84" s="491"/>
      <c r="K84" s="490"/>
      <c r="L84" s="491"/>
      <c r="M84" s="490"/>
      <c r="N84" s="491"/>
      <c r="O84" s="490"/>
      <c r="P84" s="491"/>
      <c r="Q84" s="490"/>
      <c r="R84" s="491"/>
      <c r="S84" s="491"/>
    </row>
    <row r="85" spans="6:19" ht="14.25" customHeight="1" x14ac:dyDescent="0.25">
      <c r="F85" s="489"/>
      <c r="G85" s="489"/>
      <c r="H85" s="489"/>
      <c r="I85" s="490"/>
      <c r="J85" s="491"/>
      <c r="K85" s="490"/>
      <c r="L85" s="491"/>
      <c r="M85" s="490"/>
      <c r="N85" s="491"/>
      <c r="O85" s="490"/>
      <c r="P85" s="491"/>
      <c r="Q85" s="490"/>
      <c r="R85" s="491"/>
      <c r="S85" s="491"/>
    </row>
    <row r="86" spans="6:19" ht="14.25" customHeight="1" x14ac:dyDescent="0.25">
      <c r="F86" s="489"/>
      <c r="G86" s="489"/>
      <c r="H86" s="489"/>
      <c r="I86" s="490"/>
      <c r="J86" s="491"/>
      <c r="K86" s="490"/>
      <c r="L86" s="491"/>
      <c r="M86" s="490"/>
      <c r="N86" s="491"/>
      <c r="O86" s="490"/>
      <c r="P86" s="491"/>
      <c r="Q86" s="490"/>
      <c r="R86" s="491"/>
      <c r="S86" s="491"/>
    </row>
    <row r="87" spans="6:19" ht="14.25" customHeight="1" x14ac:dyDescent="0.25">
      <c r="F87" s="489"/>
      <c r="G87" s="489"/>
      <c r="H87" s="489"/>
      <c r="I87" s="490"/>
      <c r="J87" s="491"/>
      <c r="K87" s="490"/>
      <c r="L87" s="491"/>
      <c r="M87" s="490"/>
      <c r="N87" s="491"/>
      <c r="O87" s="490"/>
      <c r="P87" s="491"/>
      <c r="Q87" s="490"/>
      <c r="R87" s="491"/>
      <c r="S87" s="491"/>
    </row>
    <row r="88" spans="6:19" ht="14.25" customHeight="1" x14ac:dyDescent="0.25">
      <c r="F88" s="489"/>
      <c r="G88" s="489"/>
      <c r="H88" s="489"/>
      <c r="I88" s="490"/>
      <c r="J88" s="491"/>
      <c r="K88" s="490"/>
      <c r="L88" s="491"/>
      <c r="M88" s="490"/>
      <c r="N88" s="491"/>
      <c r="O88" s="490"/>
      <c r="P88" s="491"/>
      <c r="Q88" s="490"/>
      <c r="R88" s="491"/>
      <c r="S88" s="491"/>
    </row>
    <row r="89" spans="6:19" ht="14.25" customHeight="1" x14ac:dyDescent="0.25">
      <c r="F89" s="489"/>
      <c r="G89" s="489"/>
      <c r="H89" s="489"/>
      <c r="I89" s="490"/>
      <c r="J89" s="491"/>
      <c r="K89" s="490"/>
      <c r="L89" s="491"/>
      <c r="M89" s="490"/>
      <c r="N89" s="491"/>
      <c r="O89" s="490"/>
      <c r="P89" s="491"/>
      <c r="Q89" s="490"/>
      <c r="R89" s="491"/>
      <c r="S89" s="491"/>
    </row>
    <row r="90" spans="6:19" ht="14.25" customHeight="1" x14ac:dyDescent="0.25">
      <c r="F90" s="489"/>
      <c r="G90" s="489"/>
      <c r="H90" s="489"/>
      <c r="I90" s="490"/>
      <c r="J90" s="491"/>
      <c r="K90" s="490"/>
      <c r="L90" s="491"/>
      <c r="M90" s="490"/>
      <c r="N90" s="491"/>
      <c r="O90" s="490"/>
      <c r="P90" s="491"/>
      <c r="Q90" s="490"/>
      <c r="R90" s="491"/>
      <c r="S90" s="491"/>
    </row>
    <row r="91" spans="6:19" ht="14.25" customHeight="1" x14ac:dyDescent="0.25">
      <c r="F91" s="489"/>
      <c r="G91" s="489"/>
      <c r="H91" s="489"/>
      <c r="I91" s="490"/>
      <c r="J91" s="491"/>
      <c r="K91" s="490"/>
      <c r="L91" s="491"/>
      <c r="M91" s="490"/>
      <c r="N91" s="491"/>
      <c r="O91" s="490"/>
      <c r="P91" s="491"/>
      <c r="Q91" s="490"/>
      <c r="R91" s="491"/>
      <c r="S91" s="491"/>
    </row>
    <row r="92" spans="6:19" ht="14.25" customHeight="1" x14ac:dyDescent="0.25">
      <c r="F92" s="489"/>
      <c r="G92" s="489"/>
      <c r="H92" s="489"/>
      <c r="I92" s="490"/>
      <c r="J92" s="491"/>
      <c r="K92" s="490"/>
      <c r="L92" s="491"/>
      <c r="M92" s="490"/>
      <c r="N92" s="491"/>
      <c r="O92" s="490"/>
      <c r="P92" s="491"/>
      <c r="Q92" s="490"/>
      <c r="R92" s="491"/>
      <c r="S92" s="491"/>
    </row>
    <row r="93" spans="6:19" ht="14.25" customHeight="1" x14ac:dyDescent="0.25">
      <c r="F93" s="489"/>
      <c r="G93" s="489"/>
      <c r="H93" s="489"/>
      <c r="I93" s="490"/>
      <c r="J93" s="491"/>
      <c r="K93" s="490"/>
      <c r="L93" s="491"/>
      <c r="M93" s="490"/>
      <c r="N93" s="491"/>
      <c r="O93" s="490"/>
      <c r="P93" s="491"/>
      <c r="Q93" s="490"/>
      <c r="R93" s="491"/>
      <c r="S93" s="491"/>
    </row>
    <row r="94" spans="6:19" ht="14.25" customHeight="1" x14ac:dyDescent="0.25">
      <c r="F94" s="489"/>
      <c r="G94" s="489"/>
      <c r="H94" s="489"/>
      <c r="I94" s="490"/>
      <c r="J94" s="491"/>
      <c r="K94" s="490"/>
      <c r="L94" s="491"/>
      <c r="M94" s="490"/>
      <c r="N94" s="491"/>
      <c r="O94" s="490"/>
      <c r="P94" s="491"/>
      <c r="Q94" s="490"/>
      <c r="R94" s="491"/>
      <c r="S94" s="491"/>
    </row>
    <row r="95" spans="6:19" ht="14.25" customHeight="1" x14ac:dyDescent="0.25">
      <c r="F95" s="489"/>
      <c r="G95" s="489"/>
      <c r="H95" s="489"/>
      <c r="I95" s="490"/>
      <c r="J95" s="491"/>
      <c r="K95" s="490"/>
      <c r="L95" s="491"/>
      <c r="M95" s="490"/>
      <c r="N95" s="491"/>
      <c r="O95" s="490"/>
      <c r="P95" s="491"/>
      <c r="Q95" s="490"/>
      <c r="R95" s="491"/>
      <c r="S95" s="491"/>
    </row>
    <row r="96" spans="6:19" ht="14.25" customHeight="1" x14ac:dyDescent="0.25">
      <c r="F96" s="489"/>
      <c r="G96" s="489"/>
      <c r="H96" s="489"/>
      <c r="I96" s="490"/>
      <c r="J96" s="491"/>
      <c r="K96" s="490"/>
      <c r="L96" s="491"/>
      <c r="M96" s="490"/>
      <c r="N96" s="491"/>
      <c r="O96" s="490"/>
      <c r="P96" s="491"/>
      <c r="Q96" s="490"/>
      <c r="R96" s="491"/>
      <c r="S96" s="491"/>
    </row>
    <row r="97" spans="6:19" ht="14.25" customHeight="1" x14ac:dyDescent="0.25">
      <c r="F97" s="489"/>
      <c r="G97" s="489"/>
      <c r="H97" s="489"/>
      <c r="I97" s="490"/>
      <c r="J97" s="491"/>
      <c r="K97" s="490"/>
      <c r="L97" s="491"/>
      <c r="M97" s="490"/>
      <c r="N97" s="491"/>
      <c r="O97" s="490"/>
      <c r="P97" s="491"/>
      <c r="Q97" s="490"/>
      <c r="R97" s="491"/>
      <c r="S97" s="491"/>
    </row>
    <row r="98" spans="6:19" ht="14.25" customHeight="1" x14ac:dyDescent="0.25">
      <c r="F98" s="489"/>
      <c r="G98" s="489"/>
      <c r="H98" s="489"/>
      <c r="I98" s="490"/>
      <c r="J98" s="491"/>
      <c r="K98" s="490"/>
      <c r="L98" s="491"/>
      <c r="M98" s="490"/>
      <c r="N98" s="491"/>
      <c r="O98" s="490"/>
      <c r="P98" s="491"/>
      <c r="Q98" s="490"/>
      <c r="R98" s="491"/>
      <c r="S98" s="491"/>
    </row>
    <row r="99" spans="6:19" ht="14.25" customHeight="1" x14ac:dyDescent="0.25">
      <c r="F99" s="489"/>
      <c r="G99" s="489"/>
      <c r="H99" s="489"/>
      <c r="I99" s="490"/>
      <c r="J99" s="491"/>
      <c r="K99" s="490"/>
      <c r="L99" s="491"/>
      <c r="M99" s="490"/>
      <c r="N99" s="491"/>
      <c r="O99" s="490"/>
      <c r="P99" s="491"/>
      <c r="Q99" s="490"/>
      <c r="R99" s="491"/>
      <c r="S99" s="491"/>
    </row>
    <row r="100" spans="6:19" ht="14.25" customHeight="1" x14ac:dyDescent="0.25">
      <c r="F100" s="489"/>
      <c r="G100" s="489"/>
      <c r="H100" s="489"/>
      <c r="I100" s="490"/>
      <c r="J100" s="491"/>
      <c r="K100" s="490"/>
      <c r="L100" s="491"/>
      <c r="M100" s="490"/>
      <c r="N100" s="491"/>
      <c r="O100" s="490"/>
      <c r="P100" s="491"/>
      <c r="Q100" s="490"/>
      <c r="R100" s="491"/>
      <c r="S100" s="491"/>
    </row>
    <row r="101" spans="6:19" ht="14.25" customHeight="1" x14ac:dyDescent="0.25">
      <c r="F101" s="489"/>
      <c r="G101" s="489"/>
      <c r="H101" s="489"/>
      <c r="I101" s="490"/>
      <c r="J101" s="491"/>
      <c r="K101" s="490"/>
      <c r="L101" s="491"/>
      <c r="M101" s="490"/>
      <c r="N101" s="491"/>
      <c r="O101" s="490"/>
      <c r="P101" s="491"/>
      <c r="Q101" s="490"/>
      <c r="R101" s="491"/>
      <c r="S101" s="491"/>
    </row>
    <row r="102" spans="6:19" ht="14.25" customHeight="1" x14ac:dyDescent="0.25">
      <c r="F102" s="489"/>
      <c r="G102" s="489"/>
      <c r="H102" s="489"/>
      <c r="I102" s="490"/>
      <c r="J102" s="491"/>
      <c r="K102" s="490"/>
      <c r="L102" s="491"/>
      <c r="M102" s="490"/>
      <c r="N102" s="491"/>
      <c r="O102" s="490"/>
      <c r="P102" s="491"/>
      <c r="Q102" s="490"/>
      <c r="R102" s="491"/>
      <c r="S102" s="491"/>
    </row>
    <row r="103" spans="6:19" ht="14.25" customHeight="1" x14ac:dyDescent="0.25">
      <c r="F103" s="489"/>
      <c r="G103" s="489"/>
      <c r="H103" s="489"/>
      <c r="I103" s="490"/>
      <c r="J103" s="491"/>
      <c r="K103" s="490"/>
      <c r="L103" s="491"/>
      <c r="M103" s="490"/>
      <c r="N103" s="491"/>
      <c r="O103" s="490"/>
      <c r="P103" s="491"/>
      <c r="Q103" s="490"/>
      <c r="R103" s="491"/>
      <c r="S103" s="491"/>
    </row>
    <row r="104" spans="6:19" ht="14.25" customHeight="1" x14ac:dyDescent="0.25">
      <c r="F104" s="489"/>
      <c r="G104" s="489"/>
      <c r="H104" s="489"/>
      <c r="I104" s="490"/>
      <c r="J104" s="491"/>
      <c r="K104" s="490"/>
      <c r="L104" s="491"/>
      <c r="M104" s="490"/>
      <c r="N104" s="491"/>
      <c r="O104" s="490"/>
      <c r="P104" s="491"/>
      <c r="Q104" s="490"/>
      <c r="R104" s="491"/>
      <c r="S104" s="491"/>
    </row>
    <row r="105" spans="6:19" ht="14.25" customHeight="1" x14ac:dyDescent="0.25">
      <c r="F105" s="489"/>
      <c r="G105" s="489"/>
      <c r="H105" s="489"/>
      <c r="I105" s="490"/>
      <c r="J105" s="491"/>
      <c r="K105" s="490"/>
      <c r="L105" s="491"/>
      <c r="M105" s="490"/>
      <c r="N105" s="491"/>
      <c r="O105" s="490"/>
      <c r="P105" s="491"/>
      <c r="Q105" s="490"/>
      <c r="R105" s="491"/>
      <c r="S105" s="491"/>
    </row>
    <row r="106" spans="6:19" ht="14.25" customHeight="1" x14ac:dyDescent="0.25">
      <c r="F106" s="489"/>
      <c r="G106" s="489"/>
      <c r="H106" s="489"/>
      <c r="I106" s="490"/>
      <c r="J106" s="491"/>
      <c r="K106" s="490"/>
      <c r="L106" s="491"/>
      <c r="M106" s="490"/>
      <c r="N106" s="491"/>
      <c r="O106" s="490"/>
      <c r="P106" s="491"/>
      <c r="Q106" s="490"/>
      <c r="R106" s="491"/>
      <c r="S106" s="491"/>
    </row>
    <row r="107" spans="6:19" ht="14.25" customHeight="1" x14ac:dyDescent="0.25">
      <c r="F107" s="489"/>
      <c r="G107" s="489"/>
      <c r="H107" s="489"/>
      <c r="I107" s="490"/>
      <c r="J107" s="491"/>
      <c r="K107" s="490"/>
      <c r="L107" s="491"/>
      <c r="M107" s="490"/>
      <c r="N107" s="491"/>
      <c r="O107" s="490"/>
      <c r="P107" s="491"/>
      <c r="Q107" s="490"/>
      <c r="R107" s="491"/>
      <c r="S107" s="491"/>
    </row>
    <row r="108" spans="6:19" ht="14.25" customHeight="1" x14ac:dyDescent="0.25">
      <c r="F108" s="489"/>
      <c r="G108" s="489"/>
      <c r="H108" s="489"/>
      <c r="I108" s="490"/>
      <c r="J108" s="491"/>
      <c r="K108" s="490"/>
      <c r="L108" s="491"/>
      <c r="M108" s="490"/>
      <c r="N108" s="491"/>
      <c r="O108" s="490"/>
      <c r="P108" s="491"/>
      <c r="Q108" s="490"/>
      <c r="R108" s="491"/>
      <c r="S108" s="491"/>
    </row>
    <row r="109" spans="6:19" ht="14.25" customHeight="1" x14ac:dyDescent="0.25">
      <c r="F109" s="489"/>
      <c r="G109" s="489"/>
      <c r="H109" s="489"/>
      <c r="I109" s="490"/>
      <c r="J109" s="491"/>
      <c r="K109" s="490"/>
      <c r="L109" s="491"/>
      <c r="M109" s="490"/>
      <c r="N109" s="491"/>
      <c r="O109" s="490"/>
      <c r="P109" s="491"/>
      <c r="Q109" s="490"/>
      <c r="R109" s="491"/>
      <c r="S109" s="491"/>
    </row>
    <row r="110" spans="6:19" ht="14.25" customHeight="1" x14ac:dyDescent="0.25">
      <c r="F110" s="489"/>
      <c r="G110" s="489"/>
      <c r="H110" s="489"/>
      <c r="I110" s="490"/>
      <c r="J110" s="491"/>
      <c r="K110" s="490"/>
      <c r="L110" s="491"/>
      <c r="M110" s="490"/>
      <c r="N110" s="491"/>
      <c r="O110" s="490"/>
      <c r="P110" s="491"/>
      <c r="Q110" s="490"/>
      <c r="R110" s="491"/>
      <c r="S110" s="491"/>
    </row>
    <row r="111" spans="6:19" ht="14.25" customHeight="1" x14ac:dyDescent="0.25">
      <c r="F111" s="489"/>
      <c r="G111" s="489"/>
      <c r="H111" s="489"/>
      <c r="I111" s="490"/>
      <c r="J111" s="491"/>
      <c r="K111" s="490"/>
      <c r="L111" s="491"/>
      <c r="M111" s="490"/>
      <c r="N111" s="491"/>
      <c r="O111" s="490"/>
      <c r="P111" s="491"/>
      <c r="Q111" s="490"/>
      <c r="R111" s="491"/>
      <c r="S111" s="491"/>
    </row>
    <row r="112" spans="6:19" ht="14.25" customHeight="1" x14ac:dyDescent="0.25">
      <c r="F112" s="489"/>
      <c r="G112" s="489"/>
      <c r="H112" s="489"/>
      <c r="I112" s="490"/>
      <c r="J112" s="491"/>
      <c r="K112" s="490"/>
      <c r="L112" s="491"/>
      <c r="M112" s="490"/>
      <c r="N112" s="491"/>
      <c r="O112" s="490"/>
      <c r="P112" s="491"/>
      <c r="Q112" s="490"/>
      <c r="R112" s="491"/>
      <c r="S112" s="491"/>
    </row>
    <row r="113" spans="6:19" ht="14.25" customHeight="1" x14ac:dyDescent="0.25">
      <c r="F113" s="489"/>
      <c r="G113" s="489"/>
      <c r="H113" s="489"/>
      <c r="I113" s="490"/>
      <c r="J113" s="491"/>
      <c r="K113" s="490"/>
      <c r="L113" s="491"/>
      <c r="M113" s="490"/>
      <c r="N113" s="491"/>
      <c r="O113" s="490"/>
      <c r="P113" s="491"/>
      <c r="Q113" s="490"/>
      <c r="R113" s="491"/>
      <c r="S113" s="491"/>
    </row>
    <row r="114" spans="6:19" ht="14.25" customHeight="1" x14ac:dyDescent="0.25">
      <c r="F114" s="489"/>
      <c r="G114" s="489"/>
      <c r="H114" s="489"/>
      <c r="I114" s="490"/>
      <c r="J114" s="491"/>
      <c r="K114" s="490"/>
      <c r="L114" s="491"/>
      <c r="M114" s="490"/>
      <c r="N114" s="491"/>
      <c r="O114" s="490"/>
      <c r="P114" s="491"/>
      <c r="Q114" s="490"/>
      <c r="R114" s="491"/>
      <c r="S114" s="491"/>
    </row>
    <row r="115" spans="6:19" ht="14.25" customHeight="1" x14ac:dyDescent="0.25">
      <c r="F115" s="489"/>
      <c r="G115" s="489"/>
      <c r="H115" s="489"/>
      <c r="I115" s="490"/>
      <c r="J115" s="491"/>
      <c r="K115" s="490"/>
      <c r="L115" s="491"/>
      <c r="M115" s="490"/>
      <c r="N115" s="491"/>
      <c r="O115" s="490"/>
      <c r="P115" s="491"/>
      <c r="Q115" s="490"/>
      <c r="R115" s="491"/>
      <c r="S115" s="491"/>
    </row>
    <row r="116" spans="6:19" ht="14.25" customHeight="1" x14ac:dyDescent="0.25">
      <c r="F116" s="489"/>
      <c r="G116" s="489"/>
      <c r="H116" s="489"/>
      <c r="I116" s="490"/>
      <c r="J116" s="491"/>
      <c r="K116" s="490"/>
      <c r="L116" s="491"/>
      <c r="M116" s="490"/>
      <c r="N116" s="491"/>
      <c r="O116" s="490"/>
      <c r="P116" s="491"/>
      <c r="Q116" s="490"/>
      <c r="R116" s="491"/>
      <c r="S116" s="491"/>
    </row>
    <row r="117" spans="6:19" ht="14.25" customHeight="1" x14ac:dyDescent="0.25">
      <c r="F117" s="489"/>
      <c r="G117" s="489"/>
      <c r="H117" s="489"/>
      <c r="I117" s="490"/>
      <c r="J117" s="491"/>
      <c r="K117" s="490"/>
      <c r="L117" s="491"/>
      <c r="M117" s="490"/>
      <c r="N117" s="491"/>
      <c r="O117" s="490"/>
      <c r="P117" s="491"/>
      <c r="Q117" s="490"/>
      <c r="R117" s="491"/>
      <c r="S117" s="491"/>
    </row>
    <row r="118" spans="6:19" ht="14.25" customHeight="1" x14ac:dyDescent="0.25">
      <c r="F118" s="489"/>
      <c r="G118" s="489"/>
      <c r="H118" s="489"/>
      <c r="I118" s="490"/>
      <c r="J118" s="491"/>
      <c r="K118" s="490"/>
      <c r="L118" s="491"/>
      <c r="M118" s="490"/>
      <c r="N118" s="491"/>
      <c r="O118" s="490"/>
      <c r="P118" s="491"/>
      <c r="Q118" s="490"/>
      <c r="R118" s="491"/>
      <c r="S118" s="491"/>
    </row>
    <row r="119" spans="6:19" ht="14.25" customHeight="1" x14ac:dyDescent="0.25">
      <c r="F119" s="489"/>
      <c r="G119" s="489"/>
      <c r="H119" s="489"/>
      <c r="I119" s="490"/>
      <c r="J119" s="491"/>
      <c r="K119" s="490"/>
      <c r="L119" s="491"/>
      <c r="M119" s="490"/>
      <c r="N119" s="491"/>
      <c r="O119" s="490"/>
      <c r="P119" s="491"/>
      <c r="Q119" s="490"/>
      <c r="R119" s="491"/>
      <c r="S119" s="491"/>
    </row>
    <row r="120" spans="6:19" ht="14.25" customHeight="1" x14ac:dyDescent="0.25">
      <c r="F120" s="489"/>
      <c r="G120" s="489"/>
      <c r="H120" s="489"/>
      <c r="I120" s="490"/>
      <c r="J120" s="491"/>
      <c r="K120" s="490"/>
      <c r="L120" s="491"/>
      <c r="M120" s="490"/>
      <c r="N120" s="491"/>
      <c r="O120" s="490"/>
      <c r="P120" s="491"/>
      <c r="Q120" s="490"/>
      <c r="R120" s="491"/>
      <c r="S120" s="491"/>
    </row>
    <row r="121" spans="6:19" ht="14.25" customHeight="1" x14ac:dyDescent="0.25">
      <c r="F121" s="489"/>
      <c r="G121" s="489"/>
      <c r="H121" s="489"/>
      <c r="I121" s="490"/>
      <c r="J121" s="491"/>
      <c r="K121" s="490"/>
      <c r="L121" s="491"/>
      <c r="M121" s="490"/>
      <c r="N121" s="491"/>
      <c r="O121" s="490"/>
      <c r="P121" s="491"/>
      <c r="Q121" s="490"/>
      <c r="R121" s="491"/>
      <c r="S121" s="491"/>
    </row>
    <row r="122" spans="6:19" ht="14.25" customHeight="1" x14ac:dyDescent="0.25">
      <c r="F122" s="489"/>
      <c r="G122" s="489"/>
      <c r="H122" s="489"/>
      <c r="I122" s="490"/>
      <c r="J122" s="491"/>
      <c r="K122" s="490"/>
      <c r="L122" s="491"/>
      <c r="M122" s="490"/>
      <c r="N122" s="491"/>
      <c r="O122" s="490"/>
      <c r="P122" s="491"/>
      <c r="Q122" s="490"/>
      <c r="R122" s="491"/>
      <c r="S122" s="491"/>
    </row>
    <row r="123" spans="6:19" ht="14.25" customHeight="1" x14ac:dyDescent="0.25">
      <c r="F123" s="489"/>
      <c r="G123" s="489"/>
      <c r="H123" s="489"/>
      <c r="I123" s="490"/>
      <c r="J123" s="491"/>
      <c r="K123" s="490"/>
      <c r="L123" s="491"/>
      <c r="M123" s="490"/>
      <c r="N123" s="491"/>
      <c r="O123" s="490"/>
      <c r="P123" s="491"/>
      <c r="Q123" s="490"/>
      <c r="R123" s="491"/>
      <c r="S123" s="491"/>
    </row>
    <row r="124" spans="6:19" ht="14.25" customHeight="1" x14ac:dyDescent="0.25">
      <c r="F124" s="489"/>
      <c r="G124" s="489"/>
      <c r="H124" s="489"/>
      <c r="I124" s="490"/>
      <c r="J124" s="491"/>
      <c r="K124" s="490"/>
      <c r="L124" s="491"/>
      <c r="M124" s="490"/>
      <c r="N124" s="491"/>
      <c r="O124" s="490"/>
      <c r="P124" s="491"/>
      <c r="Q124" s="490"/>
      <c r="R124" s="491"/>
      <c r="S124" s="491"/>
    </row>
    <row r="125" spans="6:19" ht="14.25" customHeight="1" x14ac:dyDescent="0.25">
      <c r="F125" s="489"/>
      <c r="G125" s="489"/>
      <c r="H125" s="489"/>
      <c r="I125" s="490"/>
      <c r="J125" s="491"/>
      <c r="K125" s="490"/>
      <c r="L125" s="491"/>
      <c r="M125" s="490"/>
      <c r="N125" s="491"/>
      <c r="O125" s="490"/>
      <c r="P125" s="491"/>
      <c r="Q125" s="490"/>
      <c r="R125" s="491"/>
      <c r="S125" s="491"/>
    </row>
    <row r="126" spans="6:19" ht="14.25" customHeight="1" x14ac:dyDescent="0.25">
      <c r="F126" s="489"/>
      <c r="G126" s="489"/>
      <c r="H126" s="489"/>
      <c r="I126" s="490"/>
      <c r="J126" s="491"/>
      <c r="K126" s="490"/>
      <c r="L126" s="491"/>
      <c r="M126" s="490"/>
      <c r="N126" s="491"/>
      <c r="O126" s="490"/>
      <c r="P126" s="491"/>
      <c r="Q126" s="490"/>
      <c r="R126" s="491"/>
      <c r="S126" s="491"/>
    </row>
    <row r="127" spans="6:19" ht="14.25" customHeight="1" x14ac:dyDescent="0.25">
      <c r="F127" s="489"/>
      <c r="G127" s="489"/>
      <c r="H127" s="489"/>
      <c r="I127" s="490"/>
      <c r="J127" s="491"/>
      <c r="K127" s="490"/>
      <c r="L127" s="491"/>
      <c r="M127" s="490"/>
      <c r="N127" s="491"/>
      <c r="O127" s="490"/>
      <c r="P127" s="491"/>
      <c r="Q127" s="490"/>
      <c r="R127" s="491"/>
      <c r="S127" s="491"/>
    </row>
    <row r="128" spans="6:19" ht="14.25" customHeight="1" x14ac:dyDescent="0.25">
      <c r="F128" s="489"/>
      <c r="G128" s="489"/>
      <c r="H128" s="489"/>
      <c r="I128" s="490"/>
      <c r="J128" s="491"/>
      <c r="K128" s="490"/>
      <c r="L128" s="491"/>
      <c r="M128" s="490"/>
      <c r="N128" s="491"/>
      <c r="O128" s="490"/>
      <c r="P128" s="491"/>
      <c r="Q128" s="490"/>
      <c r="R128" s="491"/>
      <c r="S128" s="491"/>
    </row>
    <row r="129" spans="6:19" ht="14.25" customHeight="1" x14ac:dyDescent="0.25">
      <c r="F129" s="489"/>
      <c r="G129" s="489"/>
      <c r="H129" s="489"/>
      <c r="I129" s="490"/>
      <c r="J129" s="491"/>
      <c r="K129" s="490"/>
      <c r="L129" s="491"/>
      <c r="M129" s="490"/>
      <c r="N129" s="491"/>
      <c r="O129" s="490"/>
      <c r="P129" s="491"/>
      <c r="Q129" s="490"/>
      <c r="R129" s="491"/>
      <c r="S129" s="491"/>
    </row>
    <row r="130" spans="6:19" ht="14.25" customHeight="1" x14ac:dyDescent="0.25">
      <c r="F130" s="489"/>
      <c r="G130" s="489"/>
      <c r="H130" s="489"/>
      <c r="I130" s="490"/>
      <c r="J130" s="491"/>
      <c r="K130" s="490"/>
      <c r="L130" s="491"/>
      <c r="M130" s="490"/>
      <c r="N130" s="491"/>
      <c r="O130" s="490"/>
      <c r="P130" s="491"/>
      <c r="Q130" s="490"/>
      <c r="R130" s="491"/>
      <c r="S130" s="491"/>
    </row>
    <row r="131" spans="6:19" ht="14.25" customHeight="1" x14ac:dyDescent="0.25">
      <c r="F131" s="489"/>
      <c r="G131" s="489"/>
      <c r="H131" s="489"/>
      <c r="I131" s="490"/>
      <c r="J131" s="491"/>
      <c r="K131" s="490"/>
      <c r="L131" s="491"/>
      <c r="M131" s="490"/>
      <c r="N131" s="491"/>
      <c r="O131" s="490"/>
      <c r="P131" s="491"/>
      <c r="Q131" s="490"/>
      <c r="R131" s="491"/>
      <c r="S131" s="491"/>
    </row>
    <row r="132" spans="6:19" ht="14.25" customHeight="1" x14ac:dyDescent="0.25">
      <c r="F132" s="489"/>
      <c r="G132" s="489"/>
      <c r="H132" s="489"/>
      <c r="I132" s="490"/>
      <c r="J132" s="491"/>
      <c r="K132" s="490"/>
      <c r="L132" s="491"/>
      <c r="M132" s="490"/>
      <c r="N132" s="491"/>
      <c r="O132" s="490"/>
      <c r="P132" s="491"/>
      <c r="Q132" s="490"/>
      <c r="R132" s="491"/>
      <c r="S132" s="491"/>
    </row>
    <row r="133" spans="6:19" ht="14.25" customHeight="1" x14ac:dyDescent="0.25">
      <c r="F133" s="489"/>
      <c r="G133" s="489"/>
      <c r="H133" s="489"/>
      <c r="I133" s="490"/>
      <c r="J133" s="491"/>
      <c r="K133" s="490"/>
      <c r="L133" s="491"/>
      <c r="M133" s="490"/>
      <c r="N133" s="491"/>
      <c r="O133" s="490"/>
      <c r="P133" s="491"/>
      <c r="Q133" s="490"/>
      <c r="R133" s="491"/>
      <c r="S133" s="491"/>
    </row>
    <row r="134" spans="6:19" ht="14.25" customHeight="1" x14ac:dyDescent="0.25">
      <c r="F134" s="489"/>
      <c r="G134" s="489"/>
      <c r="H134" s="489"/>
      <c r="I134" s="490"/>
      <c r="J134" s="491"/>
      <c r="K134" s="490"/>
      <c r="L134" s="491"/>
      <c r="M134" s="490"/>
      <c r="N134" s="491"/>
      <c r="O134" s="490"/>
      <c r="P134" s="491"/>
      <c r="Q134" s="490"/>
      <c r="R134" s="491"/>
      <c r="S134" s="491"/>
    </row>
    <row r="135" spans="6:19" ht="14.25" customHeight="1" x14ac:dyDescent="0.25">
      <c r="F135" s="489"/>
      <c r="G135" s="489"/>
      <c r="H135" s="489"/>
      <c r="I135" s="490"/>
      <c r="J135" s="491"/>
      <c r="K135" s="490"/>
      <c r="L135" s="491"/>
      <c r="M135" s="490"/>
      <c r="N135" s="491"/>
      <c r="O135" s="490"/>
      <c r="P135" s="491"/>
      <c r="Q135" s="490"/>
      <c r="R135" s="491"/>
      <c r="S135" s="491"/>
    </row>
    <row r="136" spans="6:19" ht="14.25" customHeight="1" x14ac:dyDescent="0.25">
      <c r="F136" s="489"/>
      <c r="G136" s="489"/>
      <c r="H136" s="489"/>
      <c r="I136" s="490"/>
      <c r="J136" s="491"/>
      <c r="K136" s="490"/>
      <c r="L136" s="491"/>
      <c r="M136" s="490"/>
      <c r="N136" s="491"/>
      <c r="O136" s="490"/>
      <c r="P136" s="491"/>
      <c r="Q136" s="490"/>
      <c r="R136" s="491"/>
      <c r="S136" s="491"/>
    </row>
    <row r="137" spans="6:19" ht="14.25" customHeight="1" x14ac:dyDescent="0.25">
      <c r="F137" s="489"/>
      <c r="G137" s="489"/>
      <c r="H137" s="489"/>
      <c r="I137" s="490"/>
      <c r="J137" s="491"/>
      <c r="K137" s="490"/>
      <c r="L137" s="491"/>
      <c r="M137" s="490"/>
      <c r="N137" s="491"/>
      <c r="O137" s="490"/>
      <c r="P137" s="491"/>
      <c r="Q137" s="490"/>
      <c r="R137" s="491"/>
      <c r="S137" s="491"/>
    </row>
    <row r="138" spans="6:19" ht="14.25" customHeight="1" x14ac:dyDescent="0.25">
      <c r="F138" s="489"/>
      <c r="G138" s="489"/>
      <c r="H138" s="489"/>
      <c r="I138" s="490"/>
      <c r="J138" s="491"/>
      <c r="K138" s="490"/>
      <c r="L138" s="491"/>
      <c r="M138" s="490"/>
      <c r="N138" s="491"/>
      <c r="O138" s="490"/>
      <c r="P138" s="491"/>
      <c r="Q138" s="490"/>
      <c r="R138" s="491"/>
      <c r="S138" s="491"/>
    </row>
    <row r="139" spans="6:19" ht="14.25" customHeight="1" x14ac:dyDescent="0.25">
      <c r="F139" s="489"/>
      <c r="G139" s="489"/>
      <c r="H139" s="489"/>
      <c r="I139" s="490"/>
      <c r="J139" s="491"/>
      <c r="K139" s="490"/>
      <c r="L139" s="491"/>
      <c r="M139" s="490"/>
      <c r="N139" s="491"/>
      <c r="O139" s="490"/>
      <c r="P139" s="491"/>
      <c r="Q139" s="490"/>
      <c r="R139" s="491"/>
      <c r="S139" s="491"/>
    </row>
    <row r="140" spans="6:19" ht="14.25" customHeight="1" x14ac:dyDescent="0.25">
      <c r="F140" s="489"/>
      <c r="G140" s="489"/>
      <c r="H140" s="489"/>
      <c r="I140" s="490"/>
      <c r="J140" s="491"/>
      <c r="K140" s="490"/>
      <c r="L140" s="491"/>
      <c r="M140" s="490"/>
      <c r="N140" s="491"/>
      <c r="O140" s="490"/>
      <c r="P140" s="491"/>
      <c r="Q140" s="490"/>
      <c r="R140" s="491"/>
      <c r="S140" s="491"/>
    </row>
    <row r="141" spans="6:19" ht="14.25" customHeight="1" x14ac:dyDescent="0.25">
      <c r="F141" s="489"/>
      <c r="G141" s="489"/>
      <c r="H141" s="489"/>
      <c r="I141" s="490"/>
      <c r="J141" s="491"/>
      <c r="K141" s="490"/>
      <c r="L141" s="491"/>
      <c r="M141" s="490"/>
      <c r="N141" s="491"/>
      <c r="O141" s="490"/>
      <c r="P141" s="491"/>
      <c r="Q141" s="490"/>
      <c r="R141" s="491"/>
      <c r="S141" s="491"/>
    </row>
    <row r="142" spans="6:19" ht="14.25" customHeight="1" x14ac:dyDescent="0.25">
      <c r="F142" s="489"/>
      <c r="G142" s="489"/>
      <c r="H142" s="489"/>
      <c r="I142" s="490"/>
      <c r="J142" s="491"/>
      <c r="K142" s="490"/>
      <c r="L142" s="491"/>
      <c r="M142" s="490"/>
      <c r="N142" s="491"/>
      <c r="O142" s="490"/>
      <c r="P142" s="491"/>
      <c r="Q142" s="490"/>
      <c r="R142" s="491"/>
      <c r="S142" s="491"/>
    </row>
    <row r="143" spans="6:19" ht="14.25" customHeight="1" x14ac:dyDescent="0.25">
      <c r="F143" s="489"/>
      <c r="G143" s="489"/>
      <c r="H143" s="489"/>
      <c r="I143" s="490"/>
      <c r="J143" s="491"/>
      <c r="K143" s="490"/>
      <c r="L143" s="491"/>
      <c r="M143" s="490"/>
      <c r="N143" s="491"/>
      <c r="O143" s="490"/>
      <c r="P143" s="491"/>
      <c r="Q143" s="490"/>
      <c r="R143" s="491"/>
      <c r="S143" s="491"/>
    </row>
    <row r="144" spans="6:19" ht="14.25" customHeight="1" x14ac:dyDescent="0.25">
      <c r="F144" s="489"/>
      <c r="G144" s="489"/>
      <c r="H144" s="489"/>
      <c r="I144" s="490"/>
      <c r="J144" s="491"/>
      <c r="K144" s="490"/>
      <c r="L144" s="491"/>
      <c r="M144" s="490"/>
      <c r="N144" s="491"/>
      <c r="O144" s="490"/>
      <c r="P144" s="491"/>
      <c r="Q144" s="490"/>
      <c r="R144" s="491"/>
      <c r="S144" s="491"/>
    </row>
    <row r="145" spans="6:19" ht="14.25" customHeight="1" x14ac:dyDescent="0.25">
      <c r="F145" s="489"/>
      <c r="G145" s="489"/>
      <c r="H145" s="489"/>
      <c r="I145" s="490"/>
      <c r="J145" s="491"/>
      <c r="K145" s="490"/>
      <c r="L145" s="491"/>
      <c r="M145" s="490"/>
      <c r="N145" s="491"/>
      <c r="O145" s="490"/>
      <c r="P145" s="491"/>
      <c r="Q145" s="490"/>
      <c r="R145" s="491"/>
      <c r="S145" s="491"/>
    </row>
    <row r="146" spans="6:19" ht="14.25" customHeight="1" x14ac:dyDescent="0.25">
      <c r="F146" s="489"/>
      <c r="G146" s="489"/>
      <c r="H146" s="489"/>
      <c r="I146" s="490"/>
      <c r="J146" s="491"/>
      <c r="K146" s="490"/>
      <c r="L146" s="491"/>
      <c r="M146" s="490"/>
      <c r="N146" s="491"/>
      <c r="O146" s="490"/>
      <c r="P146" s="491"/>
      <c r="Q146" s="490"/>
      <c r="R146" s="491"/>
      <c r="S146" s="491"/>
    </row>
    <row r="147" spans="6:19" ht="14.25" customHeight="1" x14ac:dyDescent="0.25">
      <c r="F147" s="489"/>
      <c r="G147" s="489"/>
      <c r="H147" s="489"/>
      <c r="I147" s="490"/>
      <c r="J147" s="491"/>
      <c r="K147" s="490"/>
      <c r="L147" s="491"/>
      <c r="M147" s="490"/>
      <c r="N147" s="491"/>
      <c r="O147" s="490"/>
      <c r="P147" s="491"/>
      <c r="Q147" s="490"/>
      <c r="R147" s="491"/>
      <c r="S147" s="491"/>
    </row>
    <row r="148" spans="6:19" ht="14.25" customHeight="1" x14ac:dyDescent="0.25">
      <c r="F148" s="489"/>
      <c r="G148" s="489"/>
      <c r="H148" s="489"/>
      <c r="I148" s="490"/>
      <c r="J148" s="491"/>
      <c r="K148" s="490"/>
      <c r="L148" s="491"/>
      <c r="M148" s="490"/>
      <c r="N148" s="491"/>
      <c r="O148" s="490"/>
      <c r="P148" s="491"/>
      <c r="Q148" s="490"/>
      <c r="R148" s="491"/>
      <c r="S148" s="491"/>
    </row>
    <row r="149" spans="6:19" ht="14.25" customHeight="1" x14ac:dyDescent="0.25">
      <c r="F149" s="489"/>
      <c r="G149" s="489"/>
      <c r="H149" s="489"/>
      <c r="I149" s="490"/>
      <c r="J149" s="491"/>
      <c r="K149" s="490"/>
      <c r="L149" s="491"/>
      <c r="M149" s="490"/>
      <c r="N149" s="491"/>
      <c r="O149" s="490"/>
      <c r="P149" s="491"/>
      <c r="Q149" s="490"/>
      <c r="R149" s="491"/>
      <c r="S149" s="491"/>
    </row>
    <row r="150" spans="6:19" ht="14.25" customHeight="1" x14ac:dyDescent="0.25">
      <c r="F150" s="489"/>
      <c r="G150" s="489"/>
      <c r="H150" s="489"/>
      <c r="I150" s="490"/>
      <c r="J150" s="491"/>
      <c r="K150" s="490"/>
      <c r="L150" s="491"/>
      <c r="M150" s="490"/>
      <c r="N150" s="491"/>
      <c r="O150" s="490"/>
      <c r="P150" s="491"/>
      <c r="Q150" s="490"/>
      <c r="R150" s="491"/>
      <c r="S150" s="491"/>
    </row>
    <row r="151" spans="6:19" ht="14.25" customHeight="1" x14ac:dyDescent="0.25">
      <c r="F151" s="489"/>
      <c r="G151" s="489"/>
      <c r="H151" s="489"/>
      <c r="I151" s="490"/>
      <c r="J151" s="491"/>
      <c r="K151" s="490"/>
      <c r="L151" s="491"/>
      <c r="M151" s="490"/>
      <c r="N151" s="491"/>
      <c r="O151" s="490"/>
      <c r="P151" s="491"/>
      <c r="Q151" s="490"/>
      <c r="R151" s="491"/>
      <c r="S151" s="491"/>
    </row>
    <row r="152" spans="6:19" ht="14.25" customHeight="1" x14ac:dyDescent="0.25">
      <c r="F152" s="489"/>
      <c r="G152" s="489"/>
      <c r="H152" s="489"/>
      <c r="I152" s="490"/>
      <c r="J152" s="491"/>
      <c r="K152" s="490"/>
      <c r="L152" s="491"/>
      <c r="M152" s="490"/>
      <c r="N152" s="491"/>
      <c r="O152" s="490"/>
      <c r="P152" s="491"/>
      <c r="Q152" s="490"/>
      <c r="R152" s="491"/>
      <c r="S152" s="491"/>
    </row>
    <row r="153" spans="6:19" ht="14.25" customHeight="1" x14ac:dyDescent="0.25">
      <c r="F153" s="489"/>
      <c r="G153" s="489"/>
      <c r="H153" s="489"/>
      <c r="I153" s="490"/>
      <c r="J153" s="491"/>
      <c r="K153" s="490"/>
      <c r="L153" s="491"/>
      <c r="M153" s="490"/>
      <c r="N153" s="491"/>
      <c r="O153" s="490"/>
      <c r="P153" s="491"/>
      <c r="Q153" s="490"/>
      <c r="R153" s="491"/>
      <c r="S153" s="491"/>
    </row>
    <row r="154" spans="6:19" ht="14.25" customHeight="1" x14ac:dyDescent="0.25">
      <c r="F154" s="489"/>
      <c r="G154" s="489"/>
      <c r="H154" s="489"/>
      <c r="I154" s="490"/>
      <c r="J154" s="491"/>
      <c r="K154" s="490"/>
      <c r="L154" s="491"/>
      <c r="M154" s="490"/>
      <c r="N154" s="491"/>
      <c r="O154" s="490"/>
      <c r="P154" s="491"/>
      <c r="Q154" s="490"/>
      <c r="R154" s="491"/>
      <c r="S154" s="491"/>
    </row>
    <row r="155" spans="6:19" ht="14.25" customHeight="1" x14ac:dyDescent="0.25">
      <c r="F155" s="489"/>
      <c r="G155" s="489"/>
      <c r="H155" s="489"/>
      <c r="I155" s="490"/>
      <c r="J155" s="491"/>
      <c r="K155" s="490"/>
      <c r="L155" s="491"/>
      <c r="M155" s="490"/>
      <c r="N155" s="491"/>
      <c r="O155" s="490"/>
      <c r="P155" s="491"/>
      <c r="Q155" s="490"/>
      <c r="R155" s="491"/>
      <c r="S155" s="491"/>
    </row>
    <row r="156" spans="6:19" ht="14.25" customHeight="1" x14ac:dyDescent="0.25">
      <c r="F156" s="489"/>
      <c r="G156" s="489"/>
      <c r="H156" s="489"/>
      <c r="I156" s="490"/>
      <c r="J156" s="491"/>
      <c r="K156" s="490"/>
      <c r="L156" s="491"/>
      <c r="M156" s="490"/>
      <c r="N156" s="491"/>
      <c r="O156" s="490"/>
      <c r="P156" s="491"/>
      <c r="Q156" s="490"/>
      <c r="R156" s="491"/>
      <c r="S156" s="491"/>
    </row>
    <row r="157" spans="6:19" ht="14.25" customHeight="1" x14ac:dyDescent="0.25">
      <c r="F157" s="489"/>
      <c r="G157" s="489"/>
      <c r="H157" s="489"/>
      <c r="I157" s="490"/>
      <c r="J157" s="491"/>
      <c r="K157" s="490"/>
      <c r="L157" s="491"/>
      <c r="M157" s="490"/>
      <c r="N157" s="491"/>
      <c r="O157" s="490"/>
      <c r="P157" s="491"/>
      <c r="Q157" s="490"/>
      <c r="R157" s="491"/>
      <c r="S157" s="491"/>
    </row>
    <row r="158" spans="6:19" ht="14.25" customHeight="1" x14ac:dyDescent="0.25">
      <c r="F158" s="489"/>
      <c r="G158" s="489"/>
      <c r="H158" s="489"/>
      <c r="I158" s="490"/>
      <c r="J158" s="491"/>
      <c r="K158" s="490"/>
      <c r="L158" s="491"/>
      <c r="M158" s="490"/>
      <c r="N158" s="491"/>
      <c r="O158" s="490"/>
      <c r="P158" s="491"/>
      <c r="Q158" s="490"/>
      <c r="R158" s="491"/>
      <c r="S158" s="491"/>
    </row>
    <row r="159" spans="6:19" ht="14.25" customHeight="1" x14ac:dyDescent="0.25">
      <c r="F159" s="489"/>
      <c r="G159" s="489"/>
      <c r="H159" s="489"/>
      <c r="I159" s="490"/>
      <c r="J159" s="491"/>
      <c r="K159" s="490"/>
      <c r="L159" s="491"/>
      <c r="M159" s="490"/>
      <c r="N159" s="491"/>
      <c r="O159" s="490"/>
      <c r="P159" s="491"/>
      <c r="Q159" s="490"/>
      <c r="R159" s="491"/>
      <c r="S159" s="491"/>
    </row>
    <row r="160" spans="6:19" ht="14.25" customHeight="1" x14ac:dyDescent="0.25">
      <c r="F160" s="489"/>
      <c r="G160" s="489"/>
      <c r="H160" s="489"/>
      <c r="I160" s="490"/>
      <c r="J160" s="491"/>
      <c r="K160" s="490"/>
      <c r="L160" s="491"/>
      <c r="M160" s="490"/>
      <c r="N160" s="491"/>
      <c r="O160" s="490"/>
      <c r="P160" s="491"/>
      <c r="Q160" s="490"/>
      <c r="R160" s="491"/>
      <c r="S160" s="491"/>
    </row>
    <row r="161" spans="6:19" ht="14.25" customHeight="1" x14ac:dyDescent="0.25">
      <c r="F161" s="489"/>
      <c r="G161" s="489"/>
      <c r="H161" s="489"/>
      <c r="I161" s="490"/>
      <c r="J161" s="491"/>
      <c r="K161" s="490"/>
      <c r="L161" s="491"/>
      <c r="M161" s="490"/>
      <c r="N161" s="491"/>
      <c r="O161" s="490"/>
      <c r="P161" s="491"/>
      <c r="Q161" s="490"/>
      <c r="R161" s="491"/>
      <c r="S161" s="491"/>
    </row>
    <row r="162" spans="6:19" ht="14.25" customHeight="1" x14ac:dyDescent="0.25">
      <c r="F162" s="489"/>
      <c r="G162" s="489"/>
      <c r="H162" s="489"/>
      <c r="I162" s="490"/>
      <c r="J162" s="491"/>
      <c r="K162" s="490"/>
      <c r="L162" s="491"/>
      <c r="M162" s="490"/>
      <c r="N162" s="491"/>
      <c r="O162" s="490"/>
      <c r="P162" s="491"/>
      <c r="Q162" s="490"/>
      <c r="R162" s="491"/>
      <c r="S162" s="491"/>
    </row>
    <row r="163" spans="6:19" ht="14.25" customHeight="1" x14ac:dyDescent="0.25">
      <c r="F163" s="489"/>
      <c r="G163" s="489"/>
      <c r="H163" s="489"/>
      <c r="I163" s="490"/>
      <c r="J163" s="491"/>
      <c r="K163" s="490"/>
      <c r="L163" s="491"/>
      <c r="M163" s="490"/>
      <c r="N163" s="491"/>
      <c r="O163" s="490"/>
      <c r="P163" s="491"/>
      <c r="Q163" s="490"/>
      <c r="R163" s="491"/>
      <c r="S163" s="491"/>
    </row>
    <row r="164" spans="6:19" ht="14.25" customHeight="1" x14ac:dyDescent="0.25">
      <c r="F164" s="489"/>
      <c r="G164" s="489"/>
      <c r="H164" s="489"/>
      <c r="I164" s="490"/>
      <c r="J164" s="491"/>
      <c r="K164" s="490"/>
      <c r="L164" s="491"/>
      <c r="M164" s="490"/>
      <c r="N164" s="491"/>
      <c r="O164" s="490"/>
      <c r="P164" s="491"/>
      <c r="Q164" s="490"/>
      <c r="R164" s="491"/>
      <c r="S164" s="491"/>
    </row>
    <row r="165" spans="6:19" ht="14.25" customHeight="1" x14ac:dyDescent="0.25">
      <c r="F165" s="489"/>
      <c r="G165" s="489"/>
      <c r="H165" s="489"/>
      <c r="I165" s="490"/>
      <c r="J165" s="491"/>
      <c r="K165" s="490"/>
      <c r="L165" s="491"/>
      <c r="M165" s="490"/>
      <c r="N165" s="491"/>
      <c r="O165" s="490"/>
      <c r="P165" s="491"/>
      <c r="Q165" s="490"/>
      <c r="R165" s="491"/>
      <c r="S165" s="491"/>
    </row>
    <row r="166" spans="6:19" ht="14.25" customHeight="1" x14ac:dyDescent="0.25">
      <c r="F166" s="489"/>
      <c r="G166" s="489"/>
      <c r="H166" s="489"/>
      <c r="I166" s="490"/>
      <c r="J166" s="491"/>
      <c r="K166" s="490"/>
      <c r="L166" s="491"/>
      <c r="M166" s="490"/>
      <c r="N166" s="491"/>
      <c r="O166" s="490"/>
      <c r="P166" s="491"/>
      <c r="Q166" s="490"/>
      <c r="R166" s="491"/>
      <c r="S166" s="491"/>
    </row>
    <row r="167" spans="6:19" ht="14.25" customHeight="1" x14ac:dyDescent="0.25">
      <c r="F167" s="489"/>
      <c r="G167" s="489"/>
      <c r="H167" s="489"/>
      <c r="I167" s="490"/>
      <c r="J167" s="491"/>
      <c r="K167" s="490"/>
      <c r="L167" s="491"/>
      <c r="M167" s="490"/>
      <c r="N167" s="491"/>
      <c r="O167" s="490"/>
      <c r="P167" s="491"/>
      <c r="Q167" s="490"/>
      <c r="R167" s="491"/>
      <c r="S167" s="491"/>
    </row>
    <row r="168" spans="6:19" ht="14.25" customHeight="1" x14ac:dyDescent="0.25">
      <c r="F168" s="489"/>
      <c r="G168" s="489"/>
      <c r="H168" s="489"/>
      <c r="I168" s="490"/>
      <c r="J168" s="491"/>
      <c r="K168" s="490"/>
      <c r="L168" s="491"/>
      <c r="M168" s="490"/>
      <c r="N168" s="491"/>
      <c r="O168" s="490"/>
      <c r="P168" s="491"/>
      <c r="Q168" s="490"/>
      <c r="R168" s="491"/>
      <c r="S168" s="491"/>
    </row>
    <row r="169" spans="6:19" ht="14.25" customHeight="1" x14ac:dyDescent="0.25">
      <c r="F169" s="489"/>
      <c r="G169" s="489"/>
      <c r="H169" s="489"/>
      <c r="I169" s="490"/>
      <c r="J169" s="491"/>
      <c r="K169" s="490"/>
      <c r="L169" s="491"/>
      <c r="M169" s="490"/>
      <c r="N169" s="491"/>
      <c r="O169" s="490"/>
      <c r="P169" s="491"/>
      <c r="Q169" s="490"/>
      <c r="R169" s="491"/>
      <c r="S169" s="491"/>
    </row>
    <row r="170" spans="6:19" ht="14.25" customHeight="1" x14ac:dyDescent="0.25">
      <c r="F170" s="489"/>
      <c r="G170" s="489"/>
      <c r="H170" s="489"/>
      <c r="I170" s="490"/>
      <c r="J170" s="491"/>
      <c r="K170" s="490"/>
      <c r="L170" s="491"/>
      <c r="M170" s="490"/>
      <c r="N170" s="491"/>
      <c r="O170" s="490"/>
      <c r="P170" s="491"/>
      <c r="Q170" s="490"/>
      <c r="R170" s="491"/>
      <c r="S170" s="491"/>
    </row>
    <row r="171" spans="6:19" ht="14.25" customHeight="1" x14ac:dyDescent="0.25">
      <c r="F171" s="489"/>
      <c r="G171" s="489"/>
      <c r="H171" s="489"/>
      <c r="I171" s="490"/>
      <c r="J171" s="491"/>
      <c r="K171" s="490"/>
      <c r="L171" s="491"/>
      <c r="M171" s="490"/>
      <c r="N171" s="491"/>
      <c r="O171" s="490"/>
      <c r="P171" s="491"/>
      <c r="Q171" s="490"/>
      <c r="R171" s="491"/>
      <c r="S171" s="491"/>
    </row>
    <row r="172" spans="6:19" ht="14.25" customHeight="1" x14ac:dyDescent="0.25">
      <c r="F172" s="489"/>
      <c r="G172" s="489"/>
      <c r="H172" s="489"/>
      <c r="I172" s="490"/>
      <c r="J172" s="491"/>
      <c r="K172" s="490"/>
      <c r="L172" s="491"/>
      <c r="M172" s="490"/>
      <c r="N172" s="491"/>
      <c r="O172" s="490"/>
      <c r="P172" s="491"/>
      <c r="Q172" s="490"/>
      <c r="R172" s="491"/>
      <c r="S172" s="491"/>
    </row>
    <row r="173" spans="6:19" ht="14.25" customHeight="1" x14ac:dyDescent="0.25">
      <c r="F173" s="489"/>
      <c r="G173" s="489"/>
      <c r="H173" s="489"/>
      <c r="I173" s="490"/>
      <c r="J173" s="491"/>
      <c r="K173" s="490"/>
      <c r="L173" s="491"/>
      <c r="M173" s="490"/>
      <c r="N173" s="491"/>
      <c r="O173" s="490"/>
      <c r="P173" s="491"/>
      <c r="Q173" s="490"/>
      <c r="R173" s="491"/>
      <c r="S173" s="491"/>
    </row>
    <row r="174" spans="6:19" ht="14.25" customHeight="1" x14ac:dyDescent="0.25">
      <c r="F174" s="489"/>
      <c r="G174" s="489"/>
      <c r="H174" s="489"/>
      <c r="I174" s="490"/>
      <c r="J174" s="491"/>
      <c r="K174" s="490"/>
      <c r="L174" s="491"/>
      <c r="M174" s="490"/>
      <c r="N174" s="491"/>
      <c r="O174" s="490"/>
      <c r="P174" s="491"/>
      <c r="Q174" s="490"/>
      <c r="R174" s="491"/>
      <c r="S174" s="491"/>
    </row>
    <row r="175" spans="6:19" ht="14.25" customHeight="1" x14ac:dyDescent="0.25">
      <c r="F175" s="489"/>
      <c r="G175" s="489"/>
      <c r="H175" s="489"/>
      <c r="I175" s="490"/>
      <c r="J175" s="491"/>
      <c r="K175" s="490"/>
      <c r="L175" s="491"/>
      <c r="M175" s="490"/>
      <c r="N175" s="491"/>
      <c r="O175" s="490"/>
      <c r="P175" s="491"/>
      <c r="Q175" s="490"/>
      <c r="R175" s="491"/>
      <c r="S175" s="491"/>
    </row>
    <row r="176" spans="6:19" ht="14.25" customHeight="1" x14ac:dyDescent="0.25">
      <c r="F176" s="489"/>
      <c r="G176" s="489"/>
      <c r="H176" s="489"/>
      <c r="I176" s="490"/>
      <c r="J176" s="491"/>
      <c r="K176" s="490"/>
      <c r="L176" s="491"/>
      <c r="M176" s="490"/>
      <c r="N176" s="491"/>
      <c r="O176" s="490"/>
      <c r="P176" s="491"/>
      <c r="Q176" s="490"/>
      <c r="R176" s="491"/>
      <c r="S176" s="491"/>
    </row>
    <row r="177" spans="6:19" ht="14.25" customHeight="1" x14ac:dyDescent="0.25">
      <c r="F177" s="489"/>
      <c r="G177" s="489"/>
      <c r="H177" s="489"/>
      <c r="I177" s="490"/>
      <c r="J177" s="491"/>
      <c r="K177" s="490"/>
      <c r="L177" s="491"/>
      <c r="M177" s="490"/>
      <c r="N177" s="491"/>
      <c r="O177" s="490"/>
      <c r="P177" s="491"/>
      <c r="Q177" s="490"/>
      <c r="R177" s="491"/>
      <c r="S177" s="491"/>
    </row>
    <row r="178" spans="6:19" ht="14.25" customHeight="1" x14ac:dyDescent="0.25">
      <c r="F178" s="489"/>
      <c r="G178" s="489"/>
      <c r="H178" s="489"/>
      <c r="I178" s="490"/>
      <c r="J178" s="491"/>
      <c r="K178" s="490"/>
      <c r="L178" s="491"/>
      <c r="M178" s="490"/>
      <c r="N178" s="491"/>
      <c r="O178" s="490"/>
      <c r="P178" s="491"/>
      <c r="Q178" s="490"/>
      <c r="R178" s="491"/>
      <c r="S178" s="491"/>
    </row>
    <row r="179" spans="6:19" ht="14.25" customHeight="1" x14ac:dyDescent="0.25">
      <c r="F179" s="489"/>
      <c r="G179" s="489"/>
      <c r="H179" s="489"/>
      <c r="I179" s="490"/>
      <c r="J179" s="491"/>
      <c r="K179" s="490"/>
      <c r="L179" s="491"/>
      <c r="M179" s="490"/>
      <c r="N179" s="491"/>
      <c r="O179" s="490"/>
      <c r="P179" s="491"/>
      <c r="Q179" s="490"/>
      <c r="R179" s="491"/>
      <c r="S179" s="491"/>
    </row>
    <row r="180" spans="6:19" ht="14.25" customHeight="1" x14ac:dyDescent="0.25">
      <c r="F180" s="489"/>
      <c r="G180" s="489"/>
      <c r="H180" s="489"/>
      <c r="I180" s="490"/>
      <c r="J180" s="491"/>
      <c r="K180" s="490"/>
      <c r="L180" s="491"/>
      <c r="M180" s="490"/>
      <c r="N180" s="491"/>
      <c r="O180" s="490"/>
      <c r="P180" s="491"/>
      <c r="Q180" s="490"/>
      <c r="R180" s="491"/>
      <c r="S180" s="491"/>
    </row>
    <row r="181" spans="6:19" ht="14.25" customHeight="1" x14ac:dyDescent="0.25">
      <c r="F181" s="489"/>
      <c r="G181" s="489"/>
      <c r="H181" s="489"/>
      <c r="I181" s="490"/>
      <c r="J181" s="491"/>
      <c r="K181" s="490"/>
      <c r="L181" s="491"/>
      <c r="M181" s="490"/>
      <c r="N181" s="491"/>
      <c r="O181" s="490"/>
      <c r="P181" s="491"/>
      <c r="Q181" s="490"/>
      <c r="R181" s="491"/>
      <c r="S181" s="491"/>
    </row>
    <row r="182" spans="6:19" ht="14.25" customHeight="1" x14ac:dyDescent="0.25">
      <c r="F182" s="489"/>
      <c r="G182" s="489"/>
      <c r="H182" s="489"/>
      <c r="I182" s="490"/>
      <c r="J182" s="491"/>
      <c r="K182" s="490"/>
      <c r="L182" s="491"/>
      <c r="M182" s="490"/>
      <c r="N182" s="491"/>
      <c r="O182" s="490"/>
      <c r="P182" s="491"/>
      <c r="Q182" s="490"/>
      <c r="R182" s="491"/>
      <c r="S182" s="491"/>
    </row>
    <row r="183" spans="6:19" ht="14.25" customHeight="1" x14ac:dyDescent="0.25">
      <c r="F183" s="489"/>
      <c r="G183" s="489"/>
      <c r="H183" s="489"/>
      <c r="I183" s="490"/>
      <c r="J183" s="491"/>
      <c r="K183" s="490"/>
      <c r="L183" s="491"/>
      <c r="M183" s="490"/>
      <c r="N183" s="491"/>
      <c r="O183" s="490"/>
      <c r="P183" s="491"/>
      <c r="Q183" s="490"/>
      <c r="R183" s="491"/>
      <c r="S183" s="491"/>
    </row>
    <row r="184" spans="6:19" ht="14.25" customHeight="1" x14ac:dyDescent="0.25">
      <c r="F184" s="489"/>
      <c r="G184" s="489"/>
      <c r="H184" s="489"/>
      <c r="I184" s="490"/>
      <c r="J184" s="491"/>
      <c r="K184" s="490"/>
      <c r="L184" s="491"/>
      <c r="M184" s="490"/>
      <c r="N184" s="491"/>
      <c r="O184" s="490"/>
      <c r="P184" s="491"/>
      <c r="Q184" s="490"/>
      <c r="R184" s="491"/>
      <c r="S184" s="491"/>
    </row>
    <row r="185" spans="6:19" ht="14.25" customHeight="1" x14ac:dyDescent="0.25">
      <c r="F185" s="489"/>
      <c r="G185" s="489"/>
      <c r="H185" s="489"/>
      <c r="I185" s="490"/>
      <c r="J185" s="491"/>
      <c r="K185" s="490"/>
      <c r="L185" s="491"/>
      <c r="M185" s="490"/>
      <c r="N185" s="491"/>
      <c r="O185" s="490"/>
      <c r="P185" s="491"/>
      <c r="Q185" s="490"/>
      <c r="R185" s="491"/>
      <c r="S185" s="491"/>
    </row>
    <row r="186" spans="6:19" ht="14.25" customHeight="1" x14ac:dyDescent="0.25">
      <c r="F186" s="489"/>
      <c r="G186" s="489"/>
      <c r="H186" s="489"/>
      <c r="I186" s="490"/>
      <c r="J186" s="491"/>
      <c r="K186" s="490"/>
      <c r="L186" s="491"/>
      <c r="M186" s="490"/>
      <c r="N186" s="491"/>
      <c r="O186" s="490"/>
      <c r="P186" s="491"/>
      <c r="Q186" s="490"/>
      <c r="R186" s="491"/>
      <c r="S186" s="491"/>
    </row>
    <row r="187" spans="6:19" ht="14.25" customHeight="1" x14ac:dyDescent="0.25">
      <c r="F187" s="489"/>
      <c r="G187" s="489"/>
      <c r="H187" s="489"/>
      <c r="I187" s="490"/>
      <c r="J187" s="491"/>
      <c r="K187" s="490"/>
      <c r="L187" s="491"/>
      <c r="M187" s="490"/>
      <c r="N187" s="491"/>
      <c r="O187" s="490"/>
      <c r="P187" s="491"/>
      <c r="Q187" s="490"/>
      <c r="R187" s="491"/>
      <c r="S187" s="491"/>
    </row>
    <row r="188" spans="6:19" ht="14.25" customHeight="1" x14ac:dyDescent="0.25">
      <c r="F188" s="489"/>
      <c r="G188" s="489"/>
      <c r="H188" s="489"/>
      <c r="I188" s="490"/>
      <c r="J188" s="491"/>
      <c r="K188" s="490"/>
      <c r="L188" s="491"/>
      <c r="M188" s="490"/>
      <c r="N188" s="491"/>
      <c r="O188" s="490"/>
      <c r="P188" s="491"/>
      <c r="Q188" s="490"/>
      <c r="R188" s="491"/>
      <c r="S188" s="491"/>
    </row>
    <row r="189" spans="6:19" ht="14.25" customHeight="1" x14ac:dyDescent="0.25">
      <c r="F189" s="489"/>
      <c r="G189" s="489"/>
      <c r="H189" s="489"/>
      <c r="I189" s="490"/>
      <c r="J189" s="491"/>
      <c r="K189" s="490"/>
      <c r="L189" s="491"/>
      <c r="M189" s="490"/>
      <c r="N189" s="491"/>
      <c r="O189" s="490"/>
      <c r="P189" s="491"/>
      <c r="Q189" s="490"/>
      <c r="R189" s="491"/>
      <c r="S189" s="491"/>
    </row>
    <row r="190" spans="6:19" ht="14.25" customHeight="1" x14ac:dyDescent="0.25">
      <c r="F190" s="489"/>
      <c r="G190" s="489"/>
      <c r="H190" s="489"/>
      <c r="I190" s="490"/>
      <c r="J190" s="491"/>
      <c r="K190" s="490"/>
      <c r="L190" s="491"/>
      <c r="M190" s="490"/>
      <c r="N190" s="491"/>
      <c r="O190" s="490"/>
      <c r="P190" s="491"/>
      <c r="Q190" s="490"/>
      <c r="R190" s="491"/>
      <c r="S190" s="491"/>
    </row>
    <row r="191" spans="6:19" ht="14.25" customHeight="1" x14ac:dyDescent="0.25">
      <c r="F191" s="489"/>
      <c r="G191" s="489"/>
      <c r="H191" s="489"/>
      <c r="I191" s="490"/>
      <c r="J191" s="491"/>
      <c r="K191" s="490"/>
      <c r="L191" s="491"/>
      <c r="M191" s="490"/>
      <c r="N191" s="491"/>
      <c r="O191" s="490"/>
      <c r="P191" s="491"/>
      <c r="Q191" s="490"/>
      <c r="R191" s="491"/>
      <c r="S191" s="491"/>
    </row>
    <row r="192" spans="6:19" ht="14.25" customHeight="1" x14ac:dyDescent="0.25">
      <c r="F192" s="489"/>
      <c r="G192" s="489"/>
      <c r="H192" s="489"/>
      <c r="I192" s="490"/>
      <c r="J192" s="491"/>
      <c r="K192" s="490"/>
      <c r="L192" s="491"/>
      <c r="M192" s="490"/>
      <c r="N192" s="491"/>
      <c r="O192" s="490"/>
      <c r="P192" s="491"/>
      <c r="Q192" s="490"/>
      <c r="R192" s="491"/>
      <c r="S192" s="491"/>
    </row>
    <row r="193" spans="6:19" ht="14.25" customHeight="1" x14ac:dyDescent="0.25">
      <c r="F193" s="489"/>
      <c r="G193" s="489"/>
      <c r="H193" s="489"/>
      <c r="I193" s="490"/>
      <c r="J193" s="491"/>
      <c r="K193" s="490"/>
      <c r="L193" s="491"/>
      <c r="M193" s="490"/>
      <c r="N193" s="491"/>
      <c r="O193" s="490"/>
      <c r="P193" s="491"/>
      <c r="Q193" s="490"/>
      <c r="R193" s="491"/>
      <c r="S193" s="491"/>
    </row>
    <row r="194" spans="6:19" ht="14.25" customHeight="1" x14ac:dyDescent="0.25">
      <c r="F194" s="489"/>
      <c r="G194" s="489"/>
      <c r="H194" s="489"/>
      <c r="I194" s="490"/>
      <c r="J194" s="491"/>
      <c r="K194" s="490"/>
      <c r="L194" s="491"/>
      <c r="M194" s="490"/>
      <c r="N194" s="491"/>
      <c r="O194" s="490"/>
      <c r="P194" s="491"/>
      <c r="Q194" s="490"/>
      <c r="R194" s="491"/>
      <c r="S194" s="491"/>
    </row>
    <row r="195" spans="6:19" ht="14.25" customHeight="1" x14ac:dyDescent="0.25">
      <c r="F195" s="489"/>
      <c r="G195" s="489"/>
      <c r="H195" s="489"/>
      <c r="I195" s="490"/>
      <c r="J195" s="491"/>
      <c r="K195" s="490"/>
      <c r="L195" s="491"/>
      <c r="M195" s="490"/>
      <c r="N195" s="491"/>
      <c r="O195" s="490"/>
      <c r="P195" s="491"/>
      <c r="Q195" s="490"/>
      <c r="R195" s="491"/>
      <c r="S195" s="491"/>
    </row>
    <row r="196" spans="6:19" ht="14.25" customHeight="1" x14ac:dyDescent="0.25">
      <c r="F196" s="489"/>
      <c r="G196" s="489"/>
      <c r="H196" s="489"/>
      <c r="I196" s="490"/>
      <c r="J196" s="491"/>
      <c r="K196" s="490"/>
      <c r="L196" s="491"/>
      <c r="M196" s="490"/>
      <c r="N196" s="491"/>
      <c r="O196" s="490"/>
      <c r="P196" s="491"/>
      <c r="Q196" s="490"/>
      <c r="R196" s="491"/>
      <c r="S196" s="491"/>
    </row>
    <row r="197" spans="6:19" ht="14.25" customHeight="1" x14ac:dyDescent="0.25">
      <c r="F197" s="489"/>
      <c r="G197" s="489"/>
      <c r="H197" s="489"/>
      <c r="I197" s="490"/>
      <c r="J197" s="491"/>
      <c r="K197" s="490"/>
      <c r="L197" s="491"/>
      <c r="M197" s="490"/>
      <c r="N197" s="491"/>
      <c r="O197" s="490"/>
      <c r="P197" s="491"/>
      <c r="Q197" s="490"/>
      <c r="R197" s="491"/>
      <c r="S197" s="491"/>
    </row>
    <row r="198" spans="6:19" ht="14.25" customHeight="1" x14ac:dyDescent="0.25">
      <c r="F198" s="489"/>
      <c r="G198" s="489"/>
      <c r="H198" s="489"/>
      <c r="I198" s="490"/>
      <c r="J198" s="491"/>
      <c r="K198" s="490"/>
      <c r="L198" s="491"/>
      <c r="M198" s="490"/>
      <c r="N198" s="491"/>
      <c r="O198" s="490"/>
      <c r="P198" s="491"/>
      <c r="Q198" s="490"/>
      <c r="R198" s="491"/>
      <c r="S198" s="491"/>
    </row>
    <row r="199" spans="6:19" ht="14.25" customHeight="1" x14ac:dyDescent="0.25">
      <c r="F199" s="489"/>
      <c r="G199" s="489"/>
      <c r="H199" s="489"/>
      <c r="I199" s="490"/>
      <c r="J199" s="491"/>
      <c r="K199" s="490"/>
      <c r="L199" s="491"/>
      <c r="M199" s="490"/>
      <c r="N199" s="491"/>
      <c r="O199" s="490"/>
      <c r="P199" s="491"/>
      <c r="Q199" s="490"/>
      <c r="R199" s="491"/>
      <c r="S199" s="491"/>
    </row>
    <row r="200" spans="6:19" ht="14.25" customHeight="1" x14ac:dyDescent="0.25">
      <c r="F200" s="489"/>
      <c r="G200" s="489"/>
      <c r="H200" s="489"/>
      <c r="I200" s="490"/>
      <c r="J200" s="491"/>
      <c r="K200" s="490"/>
      <c r="L200" s="491"/>
      <c r="M200" s="490"/>
      <c r="N200" s="491"/>
      <c r="O200" s="490"/>
      <c r="P200" s="491"/>
      <c r="Q200" s="490"/>
      <c r="R200" s="491"/>
      <c r="S200" s="491"/>
    </row>
    <row r="201" spans="6:19" ht="14.25" customHeight="1" x14ac:dyDescent="0.25">
      <c r="F201" s="489"/>
      <c r="G201" s="489"/>
      <c r="H201" s="489"/>
      <c r="I201" s="490"/>
      <c r="J201" s="491"/>
      <c r="K201" s="490"/>
      <c r="L201" s="491"/>
      <c r="M201" s="490"/>
      <c r="N201" s="491"/>
      <c r="O201" s="490"/>
      <c r="P201" s="491"/>
      <c r="Q201" s="490"/>
      <c r="R201" s="491"/>
      <c r="S201" s="491"/>
    </row>
    <row r="202" spans="6:19" ht="14.25" customHeight="1" x14ac:dyDescent="0.25">
      <c r="F202" s="489"/>
      <c r="G202" s="489"/>
      <c r="H202" s="489"/>
      <c r="I202" s="490"/>
      <c r="J202" s="491"/>
      <c r="K202" s="490"/>
      <c r="L202" s="491"/>
      <c r="M202" s="490"/>
      <c r="N202" s="491"/>
      <c r="O202" s="490"/>
      <c r="P202" s="491"/>
      <c r="Q202" s="490"/>
      <c r="R202" s="491"/>
      <c r="S202" s="491"/>
    </row>
    <row r="203" spans="6:19" ht="14.25" customHeight="1" x14ac:dyDescent="0.25">
      <c r="F203" s="489"/>
      <c r="G203" s="489"/>
      <c r="H203" s="489"/>
      <c r="I203" s="490"/>
      <c r="J203" s="491"/>
      <c r="K203" s="490"/>
      <c r="L203" s="491"/>
      <c r="M203" s="490"/>
      <c r="N203" s="491"/>
      <c r="O203" s="490"/>
      <c r="P203" s="491"/>
      <c r="Q203" s="490"/>
      <c r="R203" s="491"/>
      <c r="S203" s="491"/>
    </row>
    <row r="204" spans="6:19" ht="14.25" customHeight="1" x14ac:dyDescent="0.25">
      <c r="F204" s="489"/>
      <c r="G204" s="489"/>
      <c r="H204" s="489"/>
      <c r="I204" s="490"/>
      <c r="J204" s="491"/>
      <c r="K204" s="490"/>
      <c r="L204" s="491"/>
      <c r="M204" s="490"/>
      <c r="N204" s="491"/>
      <c r="O204" s="490"/>
      <c r="P204" s="491"/>
      <c r="Q204" s="490"/>
      <c r="R204" s="491"/>
      <c r="S204" s="491"/>
    </row>
    <row r="205" spans="6:19" ht="14.25" customHeight="1" x14ac:dyDescent="0.25">
      <c r="F205" s="489"/>
      <c r="G205" s="489"/>
      <c r="H205" s="489"/>
      <c r="I205" s="490"/>
      <c r="J205" s="491"/>
      <c r="K205" s="490"/>
      <c r="L205" s="491"/>
      <c r="M205" s="490"/>
      <c r="N205" s="491"/>
      <c r="O205" s="490"/>
      <c r="P205" s="491"/>
      <c r="Q205" s="490"/>
      <c r="R205" s="491"/>
      <c r="S205" s="491"/>
    </row>
    <row r="206" spans="6:19" ht="14.25" customHeight="1" x14ac:dyDescent="0.25">
      <c r="F206" s="489"/>
      <c r="G206" s="489"/>
      <c r="H206" s="489"/>
      <c r="I206" s="490"/>
      <c r="J206" s="491"/>
      <c r="K206" s="490"/>
      <c r="L206" s="491"/>
      <c r="M206" s="490"/>
      <c r="N206" s="491"/>
      <c r="O206" s="490"/>
      <c r="P206" s="491"/>
      <c r="Q206" s="490"/>
      <c r="R206" s="491"/>
      <c r="S206" s="491"/>
    </row>
    <row r="207" spans="6:19" ht="14.25" customHeight="1" x14ac:dyDescent="0.25">
      <c r="F207" s="489"/>
      <c r="G207" s="489"/>
      <c r="H207" s="489"/>
      <c r="I207" s="490"/>
      <c r="J207" s="491"/>
      <c r="K207" s="490"/>
      <c r="L207" s="491"/>
      <c r="M207" s="490"/>
      <c r="N207" s="491"/>
      <c r="O207" s="490"/>
      <c r="P207" s="491"/>
      <c r="Q207" s="490"/>
      <c r="R207" s="491"/>
      <c r="S207" s="491"/>
    </row>
    <row r="208" spans="6:19" ht="14.25" customHeight="1" x14ac:dyDescent="0.25">
      <c r="F208" s="489"/>
      <c r="G208" s="489"/>
      <c r="H208" s="489"/>
      <c r="I208" s="490"/>
      <c r="J208" s="491"/>
      <c r="K208" s="490"/>
      <c r="L208" s="491"/>
      <c r="M208" s="490"/>
      <c r="N208" s="491"/>
      <c r="O208" s="490"/>
      <c r="P208" s="491"/>
      <c r="Q208" s="490"/>
      <c r="R208" s="491"/>
      <c r="S208" s="491"/>
    </row>
    <row r="209" spans="6:19" ht="14.25" customHeight="1" x14ac:dyDescent="0.25">
      <c r="F209" s="489"/>
      <c r="G209" s="489"/>
      <c r="H209" s="489"/>
      <c r="I209" s="490"/>
      <c r="J209" s="491"/>
      <c r="K209" s="490"/>
      <c r="L209" s="491"/>
      <c r="M209" s="490"/>
      <c r="N209" s="491"/>
      <c r="O209" s="490"/>
      <c r="P209" s="491"/>
      <c r="Q209" s="490"/>
      <c r="R209" s="491"/>
      <c r="S209" s="491"/>
    </row>
    <row r="210" spans="6:19" ht="14.25" customHeight="1" x14ac:dyDescent="0.25">
      <c r="F210" s="489"/>
      <c r="G210" s="489"/>
      <c r="H210" s="489"/>
      <c r="I210" s="490"/>
      <c r="J210" s="491"/>
      <c r="K210" s="490"/>
      <c r="L210" s="491"/>
      <c r="M210" s="490"/>
      <c r="N210" s="491"/>
      <c r="O210" s="490"/>
      <c r="P210" s="491"/>
      <c r="Q210" s="490"/>
      <c r="R210" s="491"/>
      <c r="S210" s="491"/>
    </row>
    <row r="211" spans="6:19" ht="14.25" customHeight="1" x14ac:dyDescent="0.25">
      <c r="F211" s="489"/>
      <c r="G211" s="489"/>
      <c r="H211" s="489"/>
      <c r="I211" s="490"/>
      <c r="J211" s="491"/>
      <c r="K211" s="490"/>
      <c r="L211" s="491"/>
      <c r="M211" s="490"/>
      <c r="N211" s="491"/>
      <c r="O211" s="490"/>
      <c r="P211" s="491"/>
      <c r="Q211" s="490"/>
      <c r="R211" s="491"/>
      <c r="S211" s="491"/>
    </row>
    <row r="212" spans="6:19" ht="14.25" customHeight="1" x14ac:dyDescent="0.25">
      <c r="F212" s="489"/>
      <c r="G212" s="489"/>
      <c r="H212" s="489"/>
      <c r="I212" s="490"/>
      <c r="J212" s="491"/>
      <c r="K212" s="490"/>
      <c r="L212" s="491"/>
      <c r="M212" s="490"/>
      <c r="N212" s="491"/>
      <c r="O212" s="490"/>
      <c r="P212" s="491"/>
      <c r="Q212" s="490"/>
      <c r="R212" s="491"/>
      <c r="S212" s="491"/>
    </row>
    <row r="213" spans="6:19" ht="14.25" customHeight="1" x14ac:dyDescent="0.25">
      <c r="F213" s="489"/>
      <c r="G213" s="489"/>
      <c r="H213" s="489"/>
      <c r="I213" s="490"/>
      <c r="J213" s="491"/>
      <c r="K213" s="490"/>
      <c r="L213" s="491"/>
      <c r="M213" s="490"/>
      <c r="N213" s="491"/>
      <c r="O213" s="490"/>
      <c r="P213" s="491"/>
      <c r="Q213" s="490"/>
      <c r="R213" s="491"/>
      <c r="S213" s="491"/>
    </row>
    <row r="214" spans="6:19" ht="14.25" customHeight="1" x14ac:dyDescent="0.25">
      <c r="F214" s="489"/>
      <c r="G214" s="489"/>
      <c r="H214" s="489"/>
      <c r="I214" s="490"/>
      <c r="J214" s="491"/>
      <c r="K214" s="490"/>
      <c r="L214" s="491"/>
      <c r="M214" s="490"/>
      <c r="N214" s="491"/>
      <c r="O214" s="490"/>
      <c r="P214" s="491"/>
      <c r="Q214" s="490"/>
      <c r="R214" s="491"/>
      <c r="S214" s="491"/>
    </row>
    <row r="215" spans="6:19" ht="14.25" customHeight="1" x14ac:dyDescent="0.25">
      <c r="F215" s="489"/>
      <c r="G215" s="489"/>
      <c r="H215" s="489"/>
      <c r="I215" s="490"/>
      <c r="J215" s="491"/>
      <c r="K215" s="490"/>
      <c r="L215" s="491"/>
      <c r="M215" s="490"/>
      <c r="N215" s="491"/>
      <c r="O215" s="490"/>
      <c r="P215" s="491"/>
      <c r="Q215" s="490"/>
      <c r="R215" s="491"/>
      <c r="S215" s="491"/>
    </row>
    <row r="216" spans="6:19" ht="14.25" customHeight="1" x14ac:dyDescent="0.25">
      <c r="F216" s="489"/>
      <c r="G216" s="489"/>
      <c r="H216" s="489"/>
      <c r="I216" s="490"/>
      <c r="J216" s="491"/>
      <c r="K216" s="490"/>
      <c r="L216" s="491"/>
      <c r="M216" s="490"/>
      <c r="N216" s="491"/>
      <c r="O216" s="490"/>
      <c r="P216" s="491"/>
      <c r="Q216" s="490"/>
      <c r="R216" s="491"/>
      <c r="S216" s="491"/>
    </row>
    <row r="217" spans="6:19" ht="14.25" customHeight="1" x14ac:dyDescent="0.25">
      <c r="F217" s="489"/>
      <c r="G217" s="489"/>
      <c r="H217" s="489"/>
      <c r="I217" s="490"/>
      <c r="J217" s="491"/>
      <c r="K217" s="490"/>
      <c r="L217" s="491"/>
      <c r="M217" s="490"/>
      <c r="N217" s="491"/>
      <c r="O217" s="490"/>
      <c r="P217" s="491"/>
      <c r="Q217" s="490"/>
      <c r="R217" s="491"/>
      <c r="S217" s="491"/>
    </row>
    <row r="218" spans="6:19" ht="14.25" customHeight="1" x14ac:dyDescent="0.25">
      <c r="F218" s="489"/>
      <c r="G218" s="489"/>
      <c r="H218" s="489"/>
      <c r="I218" s="490"/>
      <c r="J218" s="491"/>
      <c r="K218" s="490"/>
      <c r="L218" s="491"/>
      <c r="M218" s="490"/>
      <c r="N218" s="491"/>
      <c r="O218" s="490"/>
      <c r="P218" s="491"/>
      <c r="Q218" s="490"/>
      <c r="R218" s="491"/>
      <c r="S218" s="491"/>
    </row>
    <row r="219" spans="6:19" ht="14.25" customHeight="1" x14ac:dyDescent="0.25">
      <c r="F219" s="489"/>
      <c r="G219" s="489"/>
      <c r="H219" s="489"/>
      <c r="I219" s="490"/>
      <c r="J219" s="491"/>
      <c r="K219" s="490"/>
      <c r="L219" s="491"/>
      <c r="M219" s="490"/>
      <c r="N219" s="491"/>
      <c r="O219" s="490"/>
      <c r="P219" s="491"/>
      <c r="Q219" s="490"/>
      <c r="R219" s="491"/>
      <c r="S219" s="491"/>
    </row>
    <row r="220" spans="6:19" ht="14.25" customHeight="1" x14ac:dyDescent="0.25">
      <c r="F220" s="489"/>
      <c r="G220" s="489"/>
      <c r="H220" s="489"/>
      <c r="I220" s="490"/>
      <c r="J220" s="491"/>
      <c r="K220" s="490"/>
      <c r="L220" s="491"/>
      <c r="M220" s="490"/>
      <c r="N220" s="491"/>
      <c r="O220" s="490"/>
      <c r="P220" s="491"/>
      <c r="Q220" s="490"/>
      <c r="R220" s="491"/>
      <c r="S220" s="491"/>
    </row>
    <row r="221" spans="6:19" ht="14.25" customHeight="1" x14ac:dyDescent="0.25">
      <c r="F221" s="489"/>
      <c r="G221" s="489"/>
      <c r="H221" s="489"/>
      <c r="I221" s="490"/>
      <c r="J221" s="491"/>
      <c r="K221" s="490"/>
      <c r="L221" s="491"/>
      <c r="M221" s="490"/>
      <c r="N221" s="491"/>
      <c r="O221" s="490"/>
      <c r="P221" s="491"/>
      <c r="Q221" s="490"/>
      <c r="R221" s="491"/>
      <c r="S221" s="491"/>
    </row>
    <row r="222" spans="6:19" ht="14.25" customHeight="1" x14ac:dyDescent="0.25">
      <c r="F222" s="489"/>
      <c r="G222" s="489"/>
      <c r="H222" s="489"/>
      <c r="I222" s="490"/>
      <c r="J222" s="491"/>
      <c r="K222" s="490"/>
      <c r="L222" s="491"/>
      <c r="M222" s="490"/>
      <c r="N222" s="491"/>
      <c r="O222" s="490"/>
      <c r="P222" s="491"/>
      <c r="Q222" s="490"/>
      <c r="R222" s="491"/>
      <c r="S222" s="491"/>
    </row>
    <row r="223" spans="6:19" ht="14.25" customHeight="1" x14ac:dyDescent="0.25">
      <c r="F223" s="489"/>
      <c r="G223" s="489"/>
      <c r="H223" s="489"/>
      <c r="I223" s="490"/>
      <c r="J223" s="491"/>
      <c r="K223" s="490"/>
      <c r="L223" s="491"/>
      <c r="M223" s="490"/>
      <c r="N223" s="491"/>
      <c r="O223" s="490"/>
      <c r="P223" s="491"/>
      <c r="Q223" s="490"/>
      <c r="R223" s="491"/>
      <c r="S223" s="491"/>
    </row>
    <row r="224" spans="6:19" ht="14.25" customHeight="1" x14ac:dyDescent="0.25">
      <c r="F224" s="489"/>
      <c r="G224" s="489"/>
      <c r="H224" s="489"/>
      <c r="I224" s="490"/>
      <c r="J224" s="491"/>
      <c r="K224" s="490"/>
      <c r="L224" s="491"/>
      <c r="M224" s="490"/>
      <c r="N224" s="491"/>
      <c r="O224" s="490"/>
      <c r="P224" s="491"/>
      <c r="Q224" s="490"/>
      <c r="R224" s="491"/>
      <c r="S224" s="491"/>
    </row>
    <row r="225" spans="6:19" ht="14.25" customHeight="1" x14ac:dyDescent="0.25">
      <c r="F225" s="489"/>
      <c r="G225" s="489"/>
      <c r="H225" s="489"/>
      <c r="I225" s="490"/>
      <c r="J225" s="491"/>
      <c r="K225" s="490"/>
      <c r="L225" s="491"/>
      <c r="M225" s="490"/>
      <c r="N225" s="491"/>
      <c r="O225" s="490"/>
      <c r="P225" s="491"/>
      <c r="Q225" s="490"/>
      <c r="R225" s="491"/>
      <c r="S225" s="491"/>
    </row>
    <row r="226" spans="6:19" ht="14.25" customHeight="1" x14ac:dyDescent="0.25">
      <c r="F226" s="489"/>
      <c r="G226" s="489"/>
      <c r="H226" s="489"/>
      <c r="I226" s="490"/>
      <c r="J226" s="491"/>
      <c r="K226" s="490"/>
      <c r="L226" s="491"/>
      <c r="M226" s="490"/>
      <c r="N226" s="491"/>
      <c r="O226" s="490"/>
      <c r="P226" s="491"/>
      <c r="Q226" s="490"/>
      <c r="R226" s="491"/>
      <c r="S226" s="491"/>
    </row>
    <row r="227" spans="6:19" ht="14.25" customHeight="1" x14ac:dyDescent="0.25">
      <c r="F227" s="489"/>
      <c r="G227" s="489"/>
      <c r="H227" s="489"/>
      <c r="I227" s="490"/>
      <c r="J227" s="491"/>
      <c r="K227" s="490"/>
      <c r="L227" s="491"/>
      <c r="M227" s="490"/>
      <c r="N227" s="491"/>
      <c r="O227" s="490"/>
      <c r="P227" s="491"/>
      <c r="Q227" s="490"/>
      <c r="R227" s="491"/>
      <c r="S227" s="491"/>
    </row>
    <row r="228" spans="6:19" ht="14.25" customHeight="1" x14ac:dyDescent="0.25">
      <c r="F228" s="489"/>
      <c r="G228" s="489"/>
      <c r="H228" s="489"/>
      <c r="I228" s="490"/>
      <c r="J228" s="491"/>
      <c r="K228" s="490"/>
      <c r="L228" s="491"/>
      <c r="M228" s="490"/>
      <c r="N228" s="491"/>
      <c r="O228" s="490"/>
      <c r="P228" s="491"/>
      <c r="Q228" s="490"/>
      <c r="R228" s="491"/>
      <c r="S228" s="491"/>
    </row>
    <row r="229" spans="6:19" ht="14.25" customHeight="1" x14ac:dyDescent="0.25">
      <c r="F229" s="489"/>
      <c r="G229" s="489"/>
      <c r="H229" s="489"/>
      <c r="I229" s="490"/>
      <c r="J229" s="491"/>
      <c r="K229" s="490"/>
      <c r="L229" s="491"/>
      <c r="M229" s="490"/>
      <c r="N229" s="491"/>
      <c r="O229" s="490"/>
      <c r="P229" s="491"/>
      <c r="Q229" s="490"/>
      <c r="R229" s="491"/>
      <c r="S229" s="491"/>
    </row>
    <row r="230" spans="6:19" ht="14.25" customHeight="1" x14ac:dyDescent="0.25">
      <c r="F230" s="489"/>
      <c r="G230" s="489"/>
      <c r="H230" s="489"/>
      <c r="I230" s="490"/>
      <c r="J230" s="491"/>
      <c r="K230" s="490"/>
      <c r="L230" s="491"/>
      <c r="M230" s="490"/>
      <c r="N230" s="491"/>
      <c r="O230" s="490"/>
      <c r="P230" s="491"/>
      <c r="Q230" s="490"/>
      <c r="R230" s="491"/>
      <c r="S230" s="491"/>
    </row>
    <row r="231" spans="6:19" ht="14.25" customHeight="1" x14ac:dyDescent="0.25">
      <c r="F231" s="489"/>
      <c r="G231" s="489"/>
      <c r="H231" s="489"/>
      <c r="I231" s="490"/>
      <c r="J231" s="491"/>
      <c r="K231" s="490"/>
      <c r="L231" s="491"/>
      <c r="M231" s="490"/>
      <c r="N231" s="491"/>
      <c r="O231" s="490"/>
      <c r="P231" s="491"/>
      <c r="Q231" s="490"/>
      <c r="R231" s="491"/>
      <c r="S231" s="491"/>
    </row>
    <row r="232" spans="6:19" ht="14.25" customHeight="1" x14ac:dyDescent="0.25">
      <c r="F232" s="489"/>
      <c r="G232" s="489"/>
      <c r="H232" s="489"/>
      <c r="I232" s="490"/>
      <c r="J232" s="491"/>
      <c r="K232" s="490"/>
      <c r="L232" s="491"/>
      <c r="M232" s="490"/>
      <c r="N232" s="491"/>
      <c r="O232" s="490"/>
      <c r="P232" s="491"/>
      <c r="Q232" s="490"/>
      <c r="R232" s="491"/>
      <c r="S232" s="491"/>
    </row>
    <row r="233" spans="6:19" ht="14.25" customHeight="1" x14ac:dyDescent="0.25">
      <c r="F233" s="489"/>
      <c r="G233" s="489"/>
      <c r="H233" s="489"/>
      <c r="I233" s="490"/>
      <c r="J233" s="491"/>
      <c r="K233" s="490"/>
      <c r="L233" s="491"/>
      <c r="M233" s="490"/>
      <c r="N233" s="491"/>
      <c r="O233" s="490"/>
      <c r="P233" s="491"/>
      <c r="Q233" s="490"/>
      <c r="R233" s="491"/>
      <c r="S233" s="491"/>
    </row>
    <row r="234" spans="6:19" ht="14.25" customHeight="1" x14ac:dyDescent="0.25">
      <c r="F234" s="489"/>
      <c r="G234" s="489"/>
      <c r="H234" s="489"/>
      <c r="I234" s="490"/>
      <c r="J234" s="491"/>
      <c r="K234" s="490"/>
      <c r="L234" s="491"/>
      <c r="M234" s="490"/>
      <c r="N234" s="491"/>
      <c r="O234" s="490"/>
      <c r="P234" s="491"/>
      <c r="Q234" s="490"/>
      <c r="R234" s="491"/>
      <c r="S234" s="491"/>
    </row>
    <row r="235" spans="6:19" ht="14.25" customHeight="1" x14ac:dyDescent="0.25">
      <c r="F235" s="489"/>
      <c r="G235" s="489"/>
      <c r="H235" s="489"/>
      <c r="I235" s="490"/>
      <c r="J235" s="491"/>
      <c r="K235" s="490"/>
      <c r="L235" s="491"/>
      <c r="M235" s="490"/>
      <c r="N235" s="491"/>
      <c r="O235" s="490"/>
      <c r="P235" s="491"/>
      <c r="Q235" s="490"/>
      <c r="R235" s="491"/>
      <c r="S235" s="491"/>
    </row>
    <row r="236" spans="6:19" ht="14.25" customHeight="1" x14ac:dyDescent="0.25">
      <c r="F236" s="489"/>
      <c r="G236" s="489"/>
      <c r="H236" s="489"/>
      <c r="I236" s="490"/>
      <c r="J236" s="491"/>
      <c r="K236" s="490"/>
      <c r="L236" s="491"/>
      <c r="M236" s="490"/>
      <c r="N236" s="491"/>
      <c r="O236" s="490"/>
      <c r="P236" s="491"/>
      <c r="Q236" s="490"/>
      <c r="R236" s="491"/>
      <c r="S236" s="491"/>
    </row>
    <row r="237" spans="6:19" ht="14.25" customHeight="1" x14ac:dyDescent="0.25">
      <c r="F237" s="489"/>
      <c r="G237" s="489"/>
      <c r="H237" s="489"/>
      <c r="I237" s="490"/>
      <c r="J237" s="491"/>
      <c r="K237" s="490"/>
      <c r="L237" s="491"/>
      <c r="M237" s="490"/>
      <c r="N237" s="491"/>
      <c r="O237" s="490"/>
      <c r="P237" s="491"/>
      <c r="Q237" s="490"/>
      <c r="R237" s="491"/>
      <c r="S237" s="491"/>
    </row>
    <row r="238" spans="6:19" ht="14.25" customHeight="1" x14ac:dyDescent="0.25">
      <c r="F238" s="489"/>
      <c r="G238" s="489"/>
      <c r="H238" s="489"/>
      <c r="I238" s="490"/>
      <c r="J238" s="491"/>
      <c r="K238" s="490"/>
      <c r="L238" s="491"/>
      <c r="M238" s="490"/>
      <c r="N238" s="491"/>
      <c r="O238" s="490"/>
      <c r="P238" s="491"/>
      <c r="Q238" s="490"/>
      <c r="R238" s="491"/>
      <c r="S238" s="491"/>
    </row>
    <row r="239" spans="6:19" ht="14.25" customHeight="1" x14ac:dyDescent="0.25">
      <c r="F239" s="489"/>
      <c r="G239" s="489"/>
      <c r="H239" s="489"/>
      <c r="I239" s="490"/>
      <c r="J239" s="491"/>
      <c r="K239" s="490"/>
      <c r="L239" s="491"/>
      <c r="M239" s="490"/>
      <c r="N239" s="491"/>
      <c r="O239" s="490"/>
      <c r="P239" s="491"/>
      <c r="Q239" s="490"/>
      <c r="R239" s="491"/>
      <c r="S239" s="491"/>
    </row>
    <row r="240" spans="6:19" ht="14.25" customHeight="1" x14ac:dyDescent="0.25">
      <c r="F240" s="489"/>
      <c r="G240" s="489"/>
      <c r="H240" s="489"/>
      <c r="I240" s="490"/>
      <c r="J240" s="491"/>
      <c r="K240" s="490"/>
      <c r="L240" s="491"/>
      <c r="M240" s="490"/>
      <c r="N240" s="491"/>
      <c r="O240" s="490"/>
      <c r="P240" s="491"/>
      <c r="Q240" s="490"/>
      <c r="R240" s="491"/>
      <c r="S240" s="491"/>
    </row>
    <row r="241" spans="6:19" ht="14.25" customHeight="1" x14ac:dyDescent="0.25">
      <c r="F241" s="489"/>
      <c r="G241" s="489"/>
      <c r="H241" s="489"/>
      <c r="I241" s="490"/>
      <c r="J241" s="491"/>
      <c r="K241" s="490"/>
      <c r="L241" s="491"/>
      <c r="M241" s="490"/>
      <c r="N241" s="491"/>
      <c r="O241" s="490"/>
      <c r="P241" s="491"/>
      <c r="Q241" s="490"/>
      <c r="R241" s="491"/>
      <c r="S241" s="491"/>
    </row>
    <row r="242" spans="6:19" ht="14.25" customHeight="1" x14ac:dyDescent="0.25">
      <c r="F242" s="489"/>
      <c r="G242" s="489"/>
      <c r="H242" s="489"/>
      <c r="I242" s="490"/>
      <c r="J242" s="491"/>
      <c r="K242" s="490"/>
      <c r="L242" s="491"/>
      <c r="M242" s="490"/>
      <c r="N242" s="491"/>
      <c r="O242" s="490"/>
      <c r="P242" s="491"/>
      <c r="Q242" s="490"/>
      <c r="R242" s="491"/>
      <c r="S242" s="491"/>
    </row>
    <row r="243" spans="6:19" ht="14.25" customHeight="1" x14ac:dyDescent="0.25">
      <c r="F243" s="489"/>
      <c r="G243" s="489"/>
      <c r="H243" s="489"/>
      <c r="I243" s="490"/>
      <c r="J243" s="491"/>
      <c r="K243" s="490"/>
      <c r="L243" s="491"/>
      <c r="M243" s="490"/>
      <c r="N243" s="491"/>
      <c r="O243" s="490"/>
      <c r="P243" s="491"/>
      <c r="Q243" s="490"/>
      <c r="R243" s="491"/>
      <c r="S243" s="491"/>
    </row>
    <row r="244" spans="6:19" ht="14.25" customHeight="1" x14ac:dyDescent="0.25">
      <c r="F244" s="489"/>
      <c r="G244" s="489"/>
      <c r="H244" s="489"/>
      <c r="I244" s="490"/>
      <c r="J244" s="491"/>
      <c r="K244" s="490"/>
      <c r="L244" s="491"/>
      <c r="M244" s="490"/>
      <c r="N244" s="491"/>
      <c r="O244" s="490"/>
      <c r="P244" s="491"/>
      <c r="Q244" s="490"/>
      <c r="R244" s="491"/>
      <c r="S244" s="491"/>
    </row>
    <row r="245" spans="6:19" ht="14.25" customHeight="1" x14ac:dyDescent="0.25">
      <c r="F245" s="489"/>
      <c r="G245" s="489"/>
      <c r="H245" s="489"/>
      <c r="I245" s="490"/>
      <c r="J245" s="491"/>
      <c r="K245" s="490"/>
      <c r="L245" s="491"/>
      <c r="M245" s="490"/>
      <c r="N245" s="491"/>
      <c r="O245" s="490"/>
      <c r="P245" s="491"/>
      <c r="Q245" s="490"/>
      <c r="R245" s="491"/>
      <c r="S245" s="491"/>
    </row>
    <row r="246" spans="6:19" ht="14.25" customHeight="1" x14ac:dyDescent="0.25">
      <c r="F246" s="489"/>
      <c r="G246" s="489"/>
      <c r="H246" s="489"/>
      <c r="I246" s="490"/>
      <c r="J246" s="491"/>
      <c r="K246" s="490"/>
      <c r="L246" s="491"/>
      <c r="M246" s="490"/>
      <c r="N246" s="491"/>
      <c r="O246" s="490"/>
      <c r="P246" s="491"/>
      <c r="Q246" s="490"/>
      <c r="R246" s="491"/>
      <c r="S246" s="491"/>
    </row>
    <row r="247" spans="6:19" ht="14.25" customHeight="1" x14ac:dyDescent="0.25">
      <c r="F247" s="489"/>
      <c r="G247" s="489"/>
      <c r="H247" s="489"/>
      <c r="I247" s="490"/>
      <c r="J247" s="491"/>
      <c r="K247" s="490"/>
      <c r="L247" s="491"/>
      <c r="M247" s="490"/>
      <c r="N247" s="491"/>
      <c r="O247" s="490"/>
      <c r="P247" s="491"/>
      <c r="Q247" s="490"/>
      <c r="R247" s="491"/>
      <c r="S247" s="491"/>
    </row>
    <row r="248" spans="6:19" ht="14.25" customHeight="1" x14ac:dyDescent="0.25">
      <c r="F248" s="489"/>
      <c r="G248" s="489"/>
      <c r="H248" s="489"/>
      <c r="I248" s="490"/>
      <c r="J248" s="491"/>
      <c r="K248" s="490"/>
      <c r="L248" s="491"/>
      <c r="M248" s="490"/>
      <c r="N248" s="491"/>
      <c r="O248" s="490"/>
      <c r="P248" s="491"/>
      <c r="Q248" s="490"/>
      <c r="R248" s="491"/>
      <c r="S248" s="491"/>
    </row>
    <row r="249" spans="6:19" ht="14.25" customHeight="1" x14ac:dyDescent="0.25">
      <c r="F249" s="489"/>
      <c r="G249" s="489"/>
      <c r="H249" s="489"/>
      <c r="I249" s="490"/>
      <c r="J249" s="491"/>
      <c r="K249" s="490"/>
      <c r="L249" s="491"/>
      <c r="M249" s="490"/>
      <c r="N249" s="491"/>
      <c r="O249" s="490"/>
      <c r="P249" s="491"/>
      <c r="Q249" s="490"/>
      <c r="R249" s="491"/>
      <c r="S249" s="491"/>
    </row>
    <row r="250" spans="6:19" ht="14.25" customHeight="1" x14ac:dyDescent="0.25">
      <c r="F250" s="489"/>
      <c r="G250" s="489"/>
      <c r="H250" s="489"/>
      <c r="I250" s="490"/>
      <c r="J250" s="491"/>
      <c r="K250" s="490"/>
      <c r="L250" s="491"/>
      <c r="M250" s="490"/>
      <c r="N250" s="491"/>
      <c r="O250" s="490"/>
      <c r="P250" s="491"/>
      <c r="Q250" s="490"/>
      <c r="R250" s="491"/>
      <c r="S250" s="491"/>
    </row>
    <row r="251" spans="6:19" ht="14.25" customHeight="1" x14ac:dyDescent="0.25">
      <c r="F251" s="489"/>
      <c r="G251" s="489"/>
      <c r="H251" s="489"/>
      <c r="I251" s="490"/>
      <c r="J251" s="491"/>
      <c r="K251" s="490"/>
      <c r="L251" s="491"/>
      <c r="M251" s="490"/>
      <c r="N251" s="491"/>
      <c r="O251" s="490"/>
      <c r="P251" s="491"/>
      <c r="Q251" s="490"/>
      <c r="R251" s="491"/>
      <c r="S251" s="491"/>
    </row>
    <row r="252" spans="6:19" ht="14.25" customHeight="1" x14ac:dyDescent="0.25">
      <c r="F252" s="489"/>
      <c r="G252" s="489"/>
      <c r="H252" s="489"/>
      <c r="I252" s="490"/>
      <c r="J252" s="491"/>
      <c r="K252" s="490"/>
      <c r="L252" s="491"/>
      <c r="M252" s="490"/>
      <c r="N252" s="491"/>
      <c r="O252" s="490"/>
      <c r="P252" s="491"/>
      <c r="Q252" s="490"/>
      <c r="R252" s="491"/>
      <c r="S252" s="491"/>
    </row>
    <row r="253" spans="6:19" ht="14.25" customHeight="1" x14ac:dyDescent="0.25">
      <c r="F253" s="489"/>
      <c r="G253" s="489"/>
      <c r="H253" s="489"/>
      <c r="I253" s="490"/>
      <c r="J253" s="491"/>
      <c r="K253" s="490"/>
      <c r="L253" s="491"/>
      <c r="M253" s="490"/>
      <c r="N253" s="491"/>
      <c r="O253" s="490"/>
      <c r="P253" s="491"/>
      <c r="Q253" s="490"/>
      <c r="R253" s="491"/>
      <c r="S253" s="491"/>
    </row>
    <row r="254" spans="6:19" ht="14.25" customHeight="1" x14ac:dyDescent="0.25">
      <c r="F254" s="489"/>
      <c r="G254" s="489"/>
      <c r="H254" s="489"/>
      <c r="I254" s="490"/>
      <c r="J254" s="491"/>
      <c r="K254" s="490"/>
      <c r="L254" s="491"/>
      <c r="M254" s="490"/>
      <c r="N254" s="491"/>
      <c r="O254" s="490"/>
      <c r="P254" s="491"/>
      <c r="Q254" s="490"/>
      <c r="R254" s="491"/>
      <c r="S254" s="491"/>
    </row>
    <row r="255" spans="6:19" ht="14.25" customHeight="1" x14ac:dyDescent="0.25">
      <c r="F255" s="489"/>
      <c r="G255" s="489"/>
      <c r="H255" s="489"/>
      <c r="I255" s="490"/>
      <c r="J255" s="491"/>
      <c r="K255" s="490"/>
      <c r="L255" s="491"/>
      <c r="M255" s="490"/>
      <c r="N255" s="491"/>
      <c r="O255" s="490"/>
      <c r="P255" s="491"/>
      <c r="Q255" s="490"/>
      <c r="R255" s="491"/>
      <c r="S255" s="491"/>
    </row>
    <row r="256" spans="6:19" ht="14.25" customHeight="1" x14ac:dyDescent="0.25">
      <c r="F256" s="489"/>
      <c r="G256" s="489"/>
      <c r="H256" s="489"/>
      <c r="I256" s="490"/>
      <c r="J256" s="491"/>
      <c r="K256" s="490"/>
      <c r="L256" s="491"/>
      <c r="M256" s="490"/>
      <c r="N256" s="491"/>
      <c r="O256" s="490"/>
      <c r="P256" s="491"/>
      <c r="Q256" s="490"/>
      <c r="R256" s="491"/>
      <c r="S256" s="491"/>
    </row>
    <row r="257" spans="6:19" ht="14.25" customHeight="1" x14ac:dyDescent="0.25">
      <c r="F257" s="489"/>
      <c r="G257" s="489"/>
      <c r="H257" s="489"/>
      <c r="I257" s="490"/>
      <c r="J257" s="491"/>
      <c r="K257" s="490"/>
      <c r="L257" s="491"/>
      <c r="M257" s="490"/>
      <c r="N257" s="491"/>
      <c r="O257" s="490"/>
      <c r="P257" s="491"/>
      <c r="Q257" s="490"/>
      <c r="R257" s="491"/>
      <c r="S257" s="491"/>
    </row>
    <row r="258" spans="6:19" ht="14.25" customHeight="1" x14ac:dyDescent="0.25">
      <c r="F258" s="489"/>
      <c r="G258" s="489"/>
      <c r="H258" s="489"/>
      <c r="I258" s="490"/>
      <c r="J258" s="491"/>
      <c r="K258" s="490"/>
      <c r="L258" s="491"/>
      <c r="M258" s="490"/>
      <c r="N258" s="491"/>
      <c r="O258" s="490"/>
      <c r="P258" s="491"/>
      <c r="Q258" s="490"/>
      <c r="R258" s="491"/>
      <c r="S258" s="491"/>
    </row>
    <row r="259" spans="6:19" ht="14.25" customHeight="1" x14ac:dyDescent="0.25">
      <c r="F259" s="489"/>
      <c r="G259" s="489"/>
      <c r="H259" s="489"/>
      <c r="I259" s="490"/>
      <c r="J259" s="491"/>
      <c r="K259" s="490"/>
      <c r="L259" s="491"/>
      <c r="M259" s="490"/>
      <c r="N259" s="491"/>
      <c r="O259" s="490"/>
      <c r="P259" s="491"/>
      <c r="Q259" s="490"/>
      <c r="R259" s="491"/>
      <c r="S259" s="491"/>
    </row>
    <row r="260" spans="6:19" ht="14.25" customHeight="1" x14ac:dyDescent="0.25">
      <c r="F260" s="489"/>
      <c r="G260" s="489"/>
      <c r="H260" s="489"/>
      <c r="I260" s="490"/>
      <c r="J260" s="491"/>
      <c r="K260" s="490"/>
      <c r="L260" s="491"/>
      <c r="M260" s="490"/>
      <c r="N260" s="491"/>
      <c r="O260" s="490"/>
      <c r="P260" s="491"/>
      <c r="Q260" s="490"/>
      <c r="R260" s="491"/>
      <c r="S260" s="491"/>
    </row>
    <row r="261" spans="6:19" ht="14.25" customHeight="1" x14ac:dyDescent="0.25">
      <c r="F261" s="489"/>
      <c r="G261" s="489"/>
      <c r="H261" s="489"/>
      <c r="I261" s="490"/>
      <c r="J261" s="491"/>
      <c r="K261" s="490"/>
      <c r="L261" s="491"/>
      <c r="M261" s="490"/>
      <c r="N261" s="491"/>
      <c r="O261" s="490"/>
      <c r="P261" s="491"/>
      <c r="Q261" s="490"/>
      <c r="R261" s="491"/>
      <c r="S261" s="491"/>
    </row>
    <row r="262" spans="6:19" ht="14.25" customHeight="1" x14ac:dyDescent="0.25">
      <c r="F262" s="489"/>
      <c r="G262" s="489"/>
      <c r="H262" s="489"/>
      <c r="I262" s="490"/>
      <c r="J262" s="491"/>
      <c r="K262" s="490"/>
      <c r="L262" s="491"/>
      <c r="M262" s="490"/>
      <c r="N262" s="491"/>
      <c r="O262" s="490"/>
      <c r="P262" s="491"/>
      <c r="Q262" s="490"/>
      <c r="R262" s="491"/>
      <c r="S262" s="491"/>
    </row>
    <row r="263" spans="6:19" ht="14.25" customHeight="1" x14ac:dyDescent="0.25">
      <c r="F263" s="489"/>
      <c r="G263" s="489"/>
      <c r="H263" s="489"/>
      <c r="I263" s="490"/>
      <c r="J263" s="491"/>
      <c r="K263" s="490"/>
      <c r="L263" s="491"/>
      <c r="M263" s="490"/>
      <c r="N263" s="491"/>
      <c r="O263" s="490"/>
      <c r="P263" s="491"/>
      <c r="Q263" s="490"/>
      <c r="R263" s="491"/>
      <c r="S263" s="491"/>
    </row>
    <row r="264" spans="6:19" ht="14.25" customHeight="1" x14ac:dyDescent="0.25">
      <c r="F264" s="489"/>
      <c r="G264" s="489"/>
      <c r="H264" s="489"/>
      <c r="I264" s="490"/>
      <c r="J264" s="491"/>
      <c r="K264" s="490"/>
      <c r="L264" s="491"/>
      <c r="M264" s="490"/>
      <c r="N264" s="491"/>
      <c r="O264" s="490"/>
      <c r="P264" s="491"/>
      <c r="Q264" s="490"/>
      <c r="R264" s="491"/>
      <c r="S264" s="491"/>
    </row>
    <row r="265" spans="6:19" ht="14.25" customHeight="1" x14ac:dyDescent="0.25">
      <c r="F265" s="489"/>
      <c r="G265" s="489"/>
      <c r="H265" s="489"/>
      <c r="I265" s="490"/>
      <c r="J265" s="491"/>
      <c r="K265" s="490"/>
      <c r="L265" s="491"/>
      <c r="M265" s="490"/>
      <c r="N265" s="491"/>
      <c r="O265" s="490"/>
      <c r="P265" s="491"/>
      <c r="Q265" s="490"/>
      <c r="R265" s="491"/>
      <c r="S265" s="491"/>
    </row>
    <row r="266" spans="6:19" ht="14.25" customHeight="1" x14ac:dyDescent="0.25">
      <c r="F266" s="489"/>
      <c r="G266" s="489"/>
      <c r="H266" s="489"/>
      <c r="I266" s="490"/>
      <c r="J266" s="491"/>
      <c r="K266" s="490"/>
      <c r="L266" s="491"/>
      <c r="M266" s="490"/>
      <c r="N266" s="491"/>
      <c r="O266" s="490"/>
      <c r="P266" s="491"/>
      <c r="Q266" s="490"/>
      <c r="R266" s="491"/>
      <c r="S266" s="491"/>
    </row>
    <row r="267" spans="6:19" ht="14.25" customHeight="1" x14ac:dyDescent="0.25">
      <c r="F267" s="489"/>
      <c r="G267" s="489"/>
      <c r="H267" s="489"/>
      <c r="I267" s="490"/>
      <c r="J267" s="491"/>
      <c r="K267" s="490"/>
      <c r="L267" s="491"/>
      <c r="M267" s="490"/>
      <c r="N267" s="491"/>
      <c r="O267" s="490"/>
      <c r="P267" s="491"/>
      <c r="Q267" s="490"/>
      <c r="R267" s="491"/>
      <c r="S267" s="491"/>
    </row>
    <row r="268" spans="6:19" ht="14.25" customHeight="1" x14ac:dyDescent="0.25">
      <c r="F268" s="489"/>
      <c r="G268" s="489"/>
      <c r="H268" s="489"/>
      <c r="I268" s="490"/>
      <c r="J268" s="491"/>
      <c r="K268" s="490"/>
      <c r="L268" s="491"/>
      <c r="M268" s="490"/>
      <c r="N268" s="491"/>
      <c r="O268" s="490"/>
      <c r="P268" s="491"/>
      <c r="Q268" s="490"/>
      <c r="R268" s="491"/>
      <c r="S268" s="491"/>
    </row>
    <row r="269" spans="6:19" ht="14.25" customHeight="1" x14ac:dyDescent="0.25">
      <c r="F269" s="489"/>
      <c r="G269" s="489"/>
      <c r="H269" s="489"/>
      <c r="I269" s="490"/>
      <c r="J269" s="491"/>
      <c r="K269" s="490"/>
      <c r="L269" s="491"/>
      <c r="M269" s="490"/>
      <c r="N269" s="491"/>
      <c r="O269" s="490"/>
      <c r="P269" s="491"/>
      <c r="Q269" s="490"/>
      <c r="R269" s="491"/>
      <c r="S269" s="491"/>
    </row>
    <row r="270" spans="6:19" ht="14.25" customHeight="1" x14ac:dyDescent="0.25">
      <c r="F270" s="489"/>
      <c r="G270" s="489"/>
      <c r="H270" s="489"/>
      <c r="I270" s="490"/>
      <c r="J270" s="491"/>
      <c r="K270" s="490"/>
      <c r="L270" s="491"/>
      <c r="M270" s="490"/>
      <c r="N270" s="491"/>
      <c r="O270" s="490"/>
      <c r="P270" s="491"/>
      <c r="Q270" s="490"/>
      <c r="R270" s="491"/>
      <c r="S270" s="491"/>
    </row>
    <row r="271" spans="6:19" ht="14.25" customHeight="1" x14ac:dyDescent="0.25">
      <c r="F271" s="489"/>
      <c r="G271" s="489"/>
      <c r="H271" s="489"/>
      <c r="I271" s="490"/>
      <c r="J271" s="491"/>
      <c r="K271" s="490"/>
      <c r="L271" s="491"/>
      <c r="M271" s="490"/>
      <c r="N271" s="491"/>
      <c r="O271" s="490"/>
      <c r="P271" s="491"/>
      <c r="Q271" s="490"/>
      <c r="R271" s="491"/>
      <c r="S271" s="491"/>
    </row>
    <row r="272" spans="6:19" ht="14.25" customHeight="1" x14ac:dyDescent="0.25">
      <c r="F272" s="489"/>
      <c r="G272" s="489"/>
      <c r="H272" s="489"/>
      <c r="I272" s="490"/>
      <c r="J272" s="491"/>
      <c r="K272" s="490"/>
      <c r="L272" s="491"/>
      <c r="M272" s="490"/>
      <c r="N272" s="491"/>
      <c r="O272" s="490"/>
      <c r="P272" s="491"/>
      <c r="Q272" s="490"/>
      <c r="R272" s="491"/>
      <c r="S272" s="491"/>
    </row>
    <row r="273" spans="6:19" ht="14.25" customHeight="1" x14ac:dyDescent="0.25">
      <c r="F273" s="489"/>
      <c r="G273" s="489"/>
      <c r="H273" s="489"/>
      <c r="I273" s="490"/>
      <c r="J273" s="491"/>
      <c r="K273" s="490"/>
      <c r="L273" s="491"/>
      <c r="M273" s="490"/>
      <c r="N273" s="491"/>
      <c r="O273" s="490"/>
      <c r="P273" s="491"/>
      <c r="Q273" s="490"/>
      <c r="R273" s="491"/>
      <c r="S273" s="491"/>
    </row>
    <row r="274" spans="6:19" ht="14.25" customHeight="1" x14ac:dyDescent="0.25">
      <c r="F274" s="489"/>
      <c r="G274" s="489"/>
      <c r="H274" s="489"/>
      <c r="I274" s="490"/>
      <c r="J274" s="491"/>
      <c r="K274" s="490"/>
      <c r="L274" s="491"/>
      <c r="M274" s="490"/>
      <c r="N274" s="491"/>
      <c r="O274" s="490"/>
      <c r="P274" s="491"/>
      <c r="Q274" s="490"/>
      <c r="R274" s="491"/>
      <c r="S274" s="491"/>
    </row>
    <row r="275" spans="6:19" ht="14.25" customHeight="1" x14ac:dyDescent="0.25">
      <c r="F275" s="489"/>
      <c r="G275" s="489"/>
      <c r="H275" s="489"/>
      <c r="I275" s="490"/>
      <c r="J275" s="491"/>
      <c r="K275" s="490"/>
      <c r="L275" s="491"/>
      <c r="M275" s="490"/>
      <c r="N275" s="491"/>
      <c r="O275" s="490"/>
      <c r="P275" s="491"/>
      <c r="Q275" s="490"/>
      <c r="R275" s="491"/>
      <c r="S275" s="491"/>
    </row>
    <row r="276" spans="6:19" ht="14.25" customHeight="1" x14ac:dyDescent="0.25">
      <c r="F276" s="489"/>
      <c r="G276" s="489"/>
      <c r="H276" s="489"/>
      <c r="I276" s="490"/>
      <c r="J276" s="491"/>
      <c r="K276" s="490"/>
      <c r="L276" s="491"/>
      <c r="M276" s="490"/>
      <c r="N276" s="491"/>
      <c r="O276" s="490"/>
      <c r="P276" s="491"/>
      <c r="Q276" s="490"/>
      <c r="R276" s="491"/>
      <c r="S276" s="491"/>
    </row>
    <row r="277" spans="6:19" ht="14.25" customHeight="1" x14ac:dyDescent="0.25">
      <c r="F277" s="489"/>
      <c r="G277" s="489"/>
      <c r="H277" s="489"/>
      <c r="I277" s="490"/>
      <c r="J277" s="491"/>
      <c r="K277" s="490"/>
      <c r="L277" s="491"/>
      <c r="M277" s="490"/>
      <c r="N277" s="491"/>
      <c r="O277" s="490"/>
      <c r="P277" s="491"/>
      <c r="Q277" s="490"/>
      <c r="R277" s="491"/>
      <c r="S277" s="491"/>
    </row>
    <row r="278" spans="6:19" ht="14.25" customHeight="1" x14ac:dyDescent="0.25">
      <c r="F278" s="489"/>
      <c r="G278" s="489"/>
      <c r="H278" s="489"/>
      <c r="I278" s="490"/>
      <c r="J278" s="491"/>
      <c r="K278" s="490"/>
      <c r="L278" s="491"/>
      <c r="M278" s="490"/>
      <c r="N278" s="491"/>
      <c r="O278" s="490"/>
      <c r="P278" s="491"/>
      <c r="Q278" s="490"/>
      <c r="R278" s="491"/>
      <c r="S278" s="491"/>
    </row>
    <row r="279" spans="6:19" ht="14.25" customHeight="1" x14ac:dyDescent="0.25">
      <c r="F279" s="489"/>
      <c r="G279" s="489"/>
      <c r="H279" s="489"/>
      <c r="I279" s="490"/>
      <c r="J279" s="491"/>
      <c r="K279" s="490"/>
      <c r="L279" s="491"/>
      <c r="M279" s="490"/>
      <c r="N279" s="491"/>
      <c r="O279" s="490"/>
      <c r="P279" s="491"/>
      <c r="Q279" s="490"/>
      <c r="R279" s="491"/>
      <c r="S279" s="491"/>
    </row>
    <row r="280" spans="6:19" ht="14.25" customHeight="1" x14ac:dyDescent="0.25">
      <c r="F280" s="489"/>
      <c r="G280" s="489"/>
      <c r="H280" s="489"/>
      <c r="I280" s="490"/>
      <c r="J280" s="491"/>
      <c r="K280" s="490"/>
      <c r="L280" s="491"/>
      <c r="M280" s="490"/>
      <c r="N280" s="491"/>
      <c r="O280" s="490"/>
      <c r="P280" s="491"/>
      <c r="Q280" s="490"/>
      <c r="R280" s="491"/>
      <c r="S280" s="491"/>
    </row>
    <row r="281" spans="6:19" ht="14.25" customHeight="1" x14ac:dyDescent="0.25">
      <c r="F281" s="489"/>
      <c r="G281" s="489"/>
      <c r="H281" s="489"/>
      <c r="I281" s="490"/>
      <c r="J281" s="491"/>
      <c r="K281" s="490"/>
      <c r="L281" s="491"/>
      <c r="M281" s="490"/>
      <c r="N281" s="491"/>
      <c r="O281" s="490"/>
      <c r="P281" s="491"/>
      <c r="Q281" s="490"/>
      <c r="R281" s="491"/>
      <c r="S281" s="491"/>
    </row>
    <row r="282" spans="6:19" ht="14.25" customHeight="1" x14ac:dyDescent="0.25">
      <c r="F282" s="489"/>
      <c r="G282" s="489"/>
      <c r="H282" s="489"/>
      <c r="I282" s="490"/>
      <c r="J282" s="491"/>
      <c r="K282" s="490"/>
      <c r="L282" s="491"/>
      <c r="M282" s="490"/>
      <c r="N282" s="491"/>
      <c r="O282" s="490"/>
      <c r="P282" s="491"/>
      <c r="Q282" s="490"/>
      <c r="R282" s="491"/>
      <c r="S282" s="491"/>
    </row>
    <row r="283" spans="6:19" ht="14.25" customHeight="1" x14ac:dyDescent="0.25">
      <c r="F283" s="489"/>
      <c r="G283" s="489"/>
      <c r="H283" s="489"/>
      <c r="I283" s="490"/>
      <c r="J283" s="491"/>
      <c r="K283" s="490"/>
      <c r="L283" s="491"/>
      <c r="M283" s="490"/>
      <c r="N283" s="491"/>
      <c r="O283" s="490"/>
      <c r="P283" s="491"/>
      <c r="Q283" s="490"/>
      <c r="R283" s="491"/>
      <c r="S283" s="491"/>
    </row>
    <row r="284" spans="6:19" ht="14.25" customHeight="1" x14ac:dyDescent="0.25">
      <c r="F284" s="489"/>
      <c r="G284" s="489"/>
      <c r="H284" s="489"/>
      <c r="I284" s="490"/>
      <c r="J284" s="491"/>
      <c r="K284" s="490"/>
      <c r="L284" s="491"/>
      <c r="M284" s="490"/>
      <c r="N284" s="491"/>
      <c r="O284" s="490"/>
      <c r="P284" s="491"/>
      <c r="Q284" s="490"/>
      <c r="R284" s="491"/>
      <c r="S284" s="491"/>
    </row>
    <row r="285" spans="6:19" ht="14.25" customHeight="1" x14ac:dyDescent="0.25">
      <c r="F285" s="489"/>
      <c r="G285" s="489"/>
      <c r="H285" s="489"/>
      <c r="I285" s="490"/>
      <c r="J285" s="491"/>
      <c r="K285" s="490"/>
      <c r="L285" s="491"/>
      <c r="M285" s="490"/>
      <c r="N285" s="491"/>
      <c r="O285" s="490"/>
      <c r="P285" s="491"/>
      <c r="Q285" s="490"/>
      <c r="R285" s="491"/>
      <c r="S285" s="491"/>
    </row>
    <row r="286" spans="6:19" ht="14.25" customHeight="1" x14ac:dyDescent="0.25">
      <c r="F286" s="489"/>
      <c r="G286" s="489"/>
      <c r="H286" s="489"/>
      <c r="I286" s="490"/>
      <c r="J286" s="491"/>
      <c r="K286" s="490"/>
      <c r="L286" s="491"/>
      <c r="M286" s="490"/>
      <c r="N286" s="491"/>
      <c r="O286" s="490"/>
      <c r="P286" s="491"/>
      <c r="Q286" s="490"/>
      <c r="R286" s="491"/>
      <c r="S286" s="491"/>
    </row>
    <row r="287" spans="6:19" ht="14.25" customHeight="1" x14ac:dyDescent="0.25">
      <c r="F287" s="489"/>
      <c r="G287" s="489"/>
      <c r="H287" s="489"/>
      <c r="I287" s="490"/>
      <c r="J287" s="491"/>
      <c r="K287" s="490"/>
      <c r="L287" s="491"/>
      <c r="M287" s="490"/>
      <c r="N287" s="491"/>
      <c r="O287" s="490"/>
      <c r="P287" s="491"/>
      <c r="Q287" s="490"/>
      <c r="R287" s="491"/>
      <c r="S287" s="491"/>
    </row>
    <row r="288" spans="6:19" ht="14.25" customHeight="1" x14ac:dyDescent="0.25">
      <c r="F288" s="489"/>
      <c r="G288" s="489"/>
      <c r="H288" s="489"/>
      <c r="I288" s="490"/>
      <c r="J288" s="491"/>
      <c r="K288" s="490"/>
      <c r="L288" s="491"/>
      <c r="M288" s="490"/>
      <c r="N288" s="491"/>
      <c r="O288" s="490"/>
      <c r="P288" s="491"/>
      <c r="Q288" s="490"/>
      <c r="R288" s="491"/>
      <c r="S288" s="491"/>
    </row>
    <row r="289" spans="6:19" ht="14.25" customHeight="1" x14ac:dyDescent="0.25">
      <c r="F289" s="489"/>
      <c r="G289" s="489"/>
      <c r="H289" s="489"/>
      <c r="I289" s="490"/>
      <c r="J289" s="491"/>
      <c r="K289" s="490"/>
      <c r="L289" s="491"/>
      <c r="M289" s="490"/>
      <c r="N289" s="491"/>
      <c r="O289" s="490"/>
      <c r="P289" s="491"/>
      <c r="Q289" s="490"/>
      <c r="R289" s="491"/>
      <c r="S289" s="491"/>
    </row>
    <row r="290" spans="6:19" ht="14.25" customHeight="1" x14ac:dyDescent="0.25">
      <c r="F290" s="489"/>
      <c r="G290" s="489"/>
      <c r="H290" s="489"/>
      <c r="I290" s="490"/>
      <c r="J290" s="491"/>
      <c r="K290" s="490"/>
      <c r="L290" s="491"/>
      <c r="M290" s="490"/>
      <c r="N290" s="491"/>
      <c r="O290" s="490"/>
      <c r="P290" s="491"/>
      <c r="Q290" s="490"/>
      <c r="R290" s="491"/>
      <c r="S290" s="491"/>
    </row>
    <row r="291" spans="6:19" ht="14.25" customHeight="1" x14ac:dyDescent="0.25">
      <c r="F291" s="489"/>
      <c r="G291" s="489"/>
      <c r="H291" s="489"/>
      <c r="I291" s="490"/>
      <c r="J291" s="491"/>
      <c r="K291" s="490"/>
      <c r="L291" s="491"/>
      <c r="M291" s="490"/>
      <c r="N291" s="491"/>
      <c r="O291" s="490"/>
      <c r="P291" s="491"/>
      <c r="Q291" s="490"/>
      <c r="R291" s="491"/>
      <c r="S291" s="491"/>
    </row>
    <row r="292" spans="6:19" ht="14.25" customHeight="1" x14ac:dyDescent="0.25">
      <c r="F292" s="489"/>
      <c r="G292" s="489"/>
      <c r="H292" s="489"/>
      <c r="I292" s="490"/>
      <c r="J292" s="491"/>
      <c r="K292" s="490"/>
      <c r="L292" s="491"/>
      <c r="M292" s="490"/>
      <c r="N292" s="491"/>
      <c r="O292" s="490"/>
      <c r="P292" s="491"/>
      <c r="Q292" s="490"/>
      <c r="R292" s="491"/>
      <c r="S292" s="491"/>
    </row>
    <row r="293" spans="6:19" ht="14.25" customHeight="1" x14ac:dyDescent="0.25">
      <c r="F293" s="489"/>
      <c r="G293" s="489"/>
      <c r="H293" s="489"/>
      <c r="I293" s="490"/>
      <c r="J293" s="491"/>
      <c r="K293" s="490"/>
      <c r="L293" s="491"/>
      <c r="M293" s="490"/>
      <c r="N293" s="491"/>
      <c r="O293" s="490"/>
      <c r="P293" s="491"/>
      <c r="Q293" s="490"/>
      <c r="R293" s="491"/>
      <c r="S293" s="491"/>
    </row>
    <row r="294" spans="6:19" ht="14.25" customHeight="1" x14ac:dyDescent="0.25">
      <c r="F294" s="489"/>
      <c r="G294" s="489"/>
      <c r="H294" s="489"/>
      <c r="I294" s="490"/>
      <c r="J294" s="491"/>
      <c r="K294" s="490"/>
      <c r="L294" s="491"/>
      <c r="M294" s="490"/>
      <c r="N294" s="491"/>
      <c r="O294" s="490"/>
      <c r="P294" s="491"/>
      <c r="Q294" s="490"/>
      <c r="R294" s="491"/>
      <c r="S294" s="491"/>
    </row>
    <row r="295" spans="6:19" ht="14.25" customHeight="1" x14ac:dyDescent="0.25">
      <c r="F295" s="489"/>
      <c r="G295" s="489"/>
      <c r="H295" s="489"/>
      <c r="I295" s="490"/>
      <c r="J295" s="491"/>
      <c r="K295" s="490"/>
      <c r="L295" s="491"/>
      <c r="M295" s="490"/>
      <c r="N295" s="491"/>
      <c r="O295" s="490"/>
      <c r="P295" s="491"/>
      <c r="Q295" s="490"/>
      <c r="R295" s="491"/>
      <c r="S295" s="491"/>
    </row>
    <row r="296" spans="6:19" ht="14.25" customHeight="1" x14ac:dyDescent="0.25">
      <c r="F296" s="489"/>
      <c r="G296" s="489"/>
      <c r="H296" s="489"/>
      <c r="I296" s="490"/>
      <c r="J296" s="491"/>
      <c r="K296" s="490"/>
      <c r="L296" s="491"/>
      <c r="M296" s="490"/>
      <c r="N296" s="491"/>
      <c r="O296" s="490"/>
      <c r="P296" s="491"/>
      <c r="Q296" s="490"/>
      <c r="R296" s="491"/>
      <c r="S296" s="491"/>
    </row>
    <row r="297" spans="6:19" ht="14.25" customHeight="1" x14ac:dyDescent="0.25">
      <c r="F297" s="489"/>
      <c r="G297" s="489"/>
      <c r="H297" s="489"/>
      <c r="I297" s="490"/>
      <c r="J297" s="491"/>
      <c r="K297" s="490"/>
      <c r="L297" s="491"/>
      <c r="M297" s="490"/>
      <c r="N297" s="491"/>
      <c r="O297" s="490"/>
      <c r="P297" s="491"/>
      <c r="Q297" s="490"/>
      <c r="R297" s="491"/>
      <c r="S297" s="491"/>
    </row>
    <row r="298" spans="6:19" ht="14.25" customHeight="1" x14ac:dyDescent="0.25">
      <c r="F298" s="489"/>
      <c r="G298" s="489"/>
      <c r="H298" s="489"/>
      <c r="I298" s="490"/>
      <c r="J298" s="491"/>
      <c r="K298" s="490"/>
      <c r="L298" s="491"/>
      <c r="M298" s="490"/>
      <c r="N298" s="491"/>
      <c r="O298" s="490"/>
      <c r="P298" s="491"/>
      <c r="Q298" s="490"/>
      <c r="R298" s="491"/>
      <c r="S298" s="491"/>
    </row>
    <row r="299" spans="6:19" ht="14.25" customHeight="1" x14ac:dyDescent="0.25">
      <c r="F299" s="489"/>
      <c r="G299" s="489"/>
      <c r="H299" s="489"/>
      <c r="I299" s="490"/>
      <c r="J299" s="491"/>
      <c r="K299" s="490"/>
      <c r="L299" s="491"/>
      <c r="M299" s="490"/>
      <c r="N299" s="491"/>
      <c r="O299" s="490"/>
      <c r="P299" s="491"/>
      <c r="Q299" s="490"/>
      <c r="R299" s="491"/>
      <c r="S299" s="491"/>
    </row>
    <row r="300" spans="6:19" ht="14.25" customHeight="1" x14ac:dyDescent="0.25">
      <c r="F300" s="489"/>
      <c r="G300" s="489"/>
      <c r="H300" s="489"/>
      <c r="I300" s="490"/>
      <c r="J300" s="491"/>
      <c r="K300" s="490"/>
      <c r="L300" s="491"/>
      <c r="M300" s="490"/>
      <c r="N300" s="491"/>
      <c r="O300" s="490"/>
      <c r="P300" s="491"/>
      <c r="Q300" s="490"/>
      <c r="R300" s="491"/>
      <c r="S300" s="491"/>
    </row>
    <row r="301" spans="6:19" ht="14.25" customHeight="1" x14ac:dyDescent="0.25">
      <c r="F301" s="489"/>
      <c r="G301" s="489"/>
      <c r="H301" s="489"/>
      <c r="I301" s="490"/>
      <c r="J301" s="491"/>
      <c r="K301" s="490"/>
      <c r="L301" s="491"/>
      <c r="M301" s="490"/>
      <c r="N301" s="491"/>
      <c r="O301" s="490"/>
      <c r="P301" s="491"/>
      <c r="Q301" s="490"/>
      <c r="R301" s="491"/>
      <c r="S301" s="491"/>
    </row>
    <row r="302" spans="6:19" ht="14.25" customHeight="1" x14ac:dyDescent="0.25">
      <c r="F302" s="489"/>
      <c r="G302" s="489"/>
      <c r="H302" s="489"/>
      <c r="I302" s="490"/>
      <c r="J302" s="491"/>
      <c r="K302" s="490"/>
      <c r="L302" s="491"/>
      <c r="M302" s="490"/>
      <c r="N302" s="491"/>
      <c r="O302" s="490"/>
      <c r="P302" s="491"/>
      <c r="Q302" s="490"/>
      <c r="R302" s="491"/>
      <c r="S302" s="491"/>
    </row>
    <row r="303" spans="6:19" ht="14.25" customHeight="1" x14ac:dyDescent="0.25">
      <c r="F303" s="489"/>
      <c r="G303" s="489"/>
      <c r="H303" s="489"/>
      <c r="I303" s="490"/>
      <c r="J303" s="491"/>
      <c r="K303" s="490"/>
      <c r="L303" s="491"/>
      <c r="M303" s="490"/>
      <c r="N303" s="491"/>
      <c r="O303" s="490"/>
      <c r="P303" s="491"/>
      <c r="Q303" s="490"/>
      <c r="R303" s="491"/>
      <c r="S303" s="491"/>
    </row>
    <row r="304" spans="6:19" ht="14.25" customHeight="1" x14ac:dyDescent="0.25">
      <c r="F304" s="489"/>
      <c r="G304" s="489"/>
      <c r="H304" s="489"/>
      <c r="I304" s="490"/>
      <c r="J304" s="491"/>
      <c r="K304" s="490"/>
      <c r="L304" s="491"/>
      <c r="M304" s="490"/>
      <c r="N304" s="491"/>
      <c r="O304" s="490"/>
      <c r="P304" s="491"/>
      <c r="Q304" s="490"/>
      <c r="R304" s="491"/>
      <c r="S304" s="491"/>
    </row>
    <row r="305" spans="6:19" ht="14.25" customHeight="1" x14ac:dyDescent="0.25">
      <c r="F305" s="489"/>
      <c r="G305" s="489"/>
      <c r="H305" s="489"/>
      <c r="I305" s="490"/>
      <c r="J305" s="491"/>
      <c r="K305" s="490"/>
      <c r="L305" s="491"/>
      <c r="M305" s="490"/>
      <c r="N305" s="491"/>
      <c r="O305" s="490"/>
      <c r="P305" s="491"/>
      <c r="Q305" s="490"/>
      <c r="R305" s="491"/>
      <c r="S305" s="491"/>
    </row>
    <row r="306" spans="6:19" ht="14.25" customHeight="1" x14ac:dyDescent="0.25">
      <c r="F306" s="489"/>
      <c r="G306" s="489"/>
      <c r="H306" s="489"/>
      <c r="I306" s="490"/>
      <c r="J306" s="491"/>
      <c r="K306" s="490"/>
      <c r="L306" s="491"/>
      <c r="M306" s="490"/>
      <c r="N306" s="491"/>
      <c r="O306" s="490"/>
      <c r="P306" s="491"/>
      <c r="Q306" s="490"/>
      <c r="R306" s="491"/>
      <c r="S306" s="491"/>
    </row>
    <row r="307" spans="6:19" ht="14.25" customHeight="1" x14ac:dyDescent="0.25">
      <c r="F307" s="489"/>
      <c r="G307" s="489"/>
      <c r="H307" s="489"/>
      <c r="I307" s="490"/>
      <c r="J307" s="491"/>
      <c r="K307" s="490"/>
      <c r="L307" s="491"/>
      <c r="M307" s="490"/>
      <c r="N307" s="491"/>
      <c r="O307" s="490"/>
      <c r="P307" s="491"/>
      <c r="Q307" s="490"/>
      <c r="R307" s="491"/>
      <c r="S307" s="491"/>
    </row>
    <row r="308" spans="6:19" ht="14.25" customHeight="1" x14ac:dyDescent="0.25">
      <c r="F308" s="489"/>
      <c r="G308" s="489"/>
      <c r="H308" s="489"/>
      <c r="I308" s="490"/>
      <c r="J308" s="491"/>
      <c r="K308" s="490"/>
      <c r="L308" s="491"/>
      <c r="M308" s="490"/>
      <c r="N308" s="491"/>
      <c r="O308" s="490"/>
      <c r="P308" s="491"/>
      <c r="Q308" s="490"/>
      <c r="R308" s="491"/>
      <c r="S308" s="491"/>
    </row>
    <row r="309" spans="6:19" ht="14.25" customHeight="1" x14ac:dyDescent="0.25">
      <c r="F309" s="489"/>
      <c r="G309" s="489"/>
      <c r="H309" s="489"/>
      <c r="I309" s="490"/>
      <c r="J309" s="491"/>
      <c r="K309" s="490"/>
      <c r="L309" s="491"/>
      <c r="M309" s="490"/>
      <c r="N309" s="491"/>
      <c r="O309" s="490"/>
      <c r="P309" s="491"/>
      <c r="Q309" s="490"/>
      <c r="R309" s="491"/>
      <c r="S309" s="491"/>
    </row>
    <row r="310" spans="6:19" ht="14.25" customHeight="1" x14ac:dyDescent="0.25">
      <c r="F310" s="489"/>
      <c r="G310" s="489"/>
      <c r="H310" s="489"/>
      <c r="I310" s="490"/>
      <c r="J310" s="491"/>
      <c r="K310" s="490"/>
      <c r="L310" s="491"/>
      <c r="M310" s="490"/>
      <c r="N310" s="491"/>
      <c r="O310" s="490"/>
      <c r="P310" s="491"/>
      <c r="Q310" s="490"/>
      <c r="R310" s="491"/>
      <c r="S310" s="491"/>
    </row>
    <row r="311" spans="6:19" ht="14.25" customHeight="1" x14ac:dyDescent="0.25">
      <c r="F311" s="489"/>
      <c r="G311" s="489"/>
      <c r="H311" s="489"/>
      <c r="I311" s="490"/>
      <c r="J311" s="491"/>
      <c r="K311" s="490"/>
      <c r="L311" s="491"/>
      <c r="M311" s="490"/>
      <c r="N311" s="491"/>
      <c r="O311" s="490"/>
      <c r="P311" s="491"/>
      <c r="Q311" s="490"/>
      <c r="R311" s="491"/>
      <c r="S311" s="491"/>
    </row>
    <row r="312" spans="6:19" ht="14.25" customHeight="1" x14ac:dyDescent="0.25">
      <c r="F312" s="489"/>
      <c r="G312" s="489"/>
      <c r="H312" s="489"/>
      <c r="I312" s="490"/>
      <c r="J312" s="491"/>
      <c r="K312" s="490"/>
      <c r="L312" s="491"/>
      <c r="M312" s="490"/>
      <c r="N312" s="491"/>
      <c r="O312" s="490"/>
      <c r="P312" s="491"/>
      <c r="Q312" s="490"/>
      <c r="R312" s="491"/>
      <c r="S312" s="491"/>
    </row>
    <row r="313" spans="6:19" ht="14.25" customHeight="1" x14ac:dyDescent="0.25">
      <c r="F313" s="489"/>
      <c r="G313" s="489"/>
      <c r="H313" s="489"/>
      <c r="I313" s="490"/>
      <c r="J313" s="491"/>
      <c r="K313" s="490"/>
      <c r="L313" s="491"/>
      <c r="M313" s="490"/>
      <c r="N313" s="491"/>
      <c r="O313" s="490"/>
      <c r="P313" s="491"/>
      <c r="Q313" s="490"/>
      <c r="R313" s="491"/>
      <c r="S313" s="491"/>
    </row>
    <row r="314" spans="6:19" ht="14.25" customHeight="1" x14ac:dyDescent="0.25">
      <c r="F314" s="489"/>
      <c r="G314" s="489"/>
      <c r="H314" s="489"/>
      <c r="I314" s="490"/>
      <c r="J314" s="491"/>
      <c r="K314" s="490"/>
      <c r="L314" s="491"/>
      <c r="M314" s="490"/>
      <c r="N314" s="491"/>
      <c r="O314" s="490"/>
      <c r="P314" s="491"/>
      <c r="Q314" s="490"/>
      <c r="R314" s="491"/>
      <c r="S314" s="491"/>
    </row>
    <row r="315" spans="6:19" ht="14.25" customHeight="1" x14ac:dyDescent="0.25">
      <c r="F315" s="489"/>
      <c r="G315" s="489"/>
      <c r="H315" s="489"/>
      <c r="I315" s="490"/>
      <c r="J315" s="491"/>
      <c r="K315" s="490"/>
      <c r="L315" s="491"/>
      <c r="M315" s="490"/>
      <c r="N315" s="491"/>
      <c r="O315" s="490"/>
      <c r="P315" s="491"/>
      <c r="Q315" s="490"/>
      <c r="R315" s="491"/>
      <c r="S315" s="491"/>
    </row>
    <row r="316" spans="6:19" ht="14.25" customHeight="1" x14ac:dyDescent="0.25">
      <c r="F316" s="489"/>
      <c r="G316" s="489"/>
      <c r="H316" s="489"/>
      <c r="I316" s="490"/>
      <c r="J316" s="491"/>
      <c r="K316" s="490"/>
      <c r="L316" s="491"/>
      <c r="M316" s="490"/>
      <c r="N316" s="491"/>
      <c r="O316" s="490"/>
      <c r="P316" s="491"/>
      <c r="Q316" s="490"/>
      <c r="R316" s="491"/>
      <c r="S316" s="491"/>
    </row>
    <row r="317" spans="6:19" ht="14.25" customHeight="1" x14ac:dyDescent="0.25">
      <c r="F317" s="489"/>
      <c r="G317" s="489"/>
      <c r="H317" s="489"/>
      <c r="I317" s="490"/>
      <c r="J317" s="491"/>
      <c r="K317" s="490"/>
      <c r="L317" s="491"/>
      <c r="M317" s="490"/>
      <c r="N317" s="491"/>
      <c r="O317" s="490"/>
      <c r="P317" s="491"/>
      <c r="Q317" s="490"/>
      <c r="R317" s="491"/>
      <c r="S317" s="491"/>
    </row>
    <row r="318" spans="6:19" ht="14.25" customHeight="1" x14ac:dyDescent="0.25">
      <c r="F318" s="489"/>
      <c r="G318" s="489"/>
      <c r="H318" s="489"/>
      <c r="I318" s="490"/>
      <c r="J318" s="491"/>
      <c r="K318" s="490"/>
      <c r="L318" s="491"/>
      <c r="M318" s="490"/>
      <c r="N318" s="491"/>
      <c r="O318" s="490"/>
      <c r="P318" s="491"/>
      <c r="Q318" s="490"/>
      <c r="R318" s="491"/>
      <c r="S318" s="491"/>
    </row>
    <row r="319" spans="6:19" ht="14.25" customHeight="1" x14ac:dyDescent="0.25">
      <c r="F319" s="489"/>
      <c r="G319" s="489"/>
      <c r="H319" s="489"/>
      <c r="I319" s="490"/>
      <c r="J319" s="491"/>
      <c r="K319" s="490"/>
      <c r="L319" s="491"/>
      <c r="M319" s="490"/>
      <c r="N319" s="491"/>
      <c r="O319" s="490"/>
      <c r="P319" s="491"/>
      <c r="Q319" s="490"/>
      <c r="R319" s="491"/>
      <c r="S319" s="491"/>
    </row>
    <row r="320" spans="6:19" ht="14.25" customHeight="1" x14ac:dyDescent="0.25">
      <c r="F320" s="489"/>
      <c r="G320" s="489"/>
      <c r="H320" s="489"/>
      <c r="I320" s="490"/>
      <c r="J320" s="491"/>
      <c r="K320" s="490"/>
      <c r="L320" s="491"/>
      <c r="M320" s="490"/>
      <c r="N320" s="491"/>
      <c r="O320" s="490"/>
      <c r="P320" s="491"/>
      <c r="Q320" s="490"/>
      <c r="R320" s="491"/>
      <c r="S320" s="491"/>
    </row>
    <row r="321" spans="6:19" ht="14.25" customHeight="1" x14ac:dyDescent="0.25">
      <c r="F321" s="489"/>
      <c r="G321" s="489"/>
      <c r="H321" s="489"/>
      <c r="I321" s="490"/>
      <c r="J321" s="491"/>
      <c r="K321" s="490"/>
      <c r="L321" s="491"/>
      <c r="M321" s="490"/>
      <c r="N321" s="491"/>
      <c r="O321" s="490"/>
      <c r="P321" s="491"/>
      <c r="Q321" s="490"/>
      <c r="R321" s="491"/>
      <c r="S321" s="491"/>
    </row>
    <row r="322" spans="6:19" ht="14.25" customHeight="1" x14ac:dyDescent="0.25">
      <c r="F322" s="489"/>
      <c r="G322" s="489"/>
      <c r="H322" s="489"/>
      <c r="I322" s="490"/>
      <c r="J322" s="491"/>
      <c r="K322" s="490"/>
      <c r="L322" s="491"/>
      <c r="M322" s="490"/>
      <c r="N322" s="491"/>
      <c r="O322" s="490"/>
      <c r="P322" s="491"/>
      <c r="Q322" s="490"/>
      <c r="R322" s="491"/>
      <c r="S322" s="491"/>
    </row>
    <row r="323" spans="6:19" ht="14.25" customHeight="1" x14ac:dyDescent="0.25">
      <c r="F323" s="489"/>
      <c r="G323" s="489"/>
      <c r="H323" s="489"/>
      <c r="I323" s="490"/>
      <c r="J323" s="491"/>
      <c r="K323" s="490"/>
      <c r="L323" s="491"/>
      <c r="M323" s="490"/>
      <c r="N323" s="491"/>
      <c r="O323" s="490"/>
      <c r="P323" s="491"/>
      <c r="Q323" s="490"/>
      <c r="R323" s="491"/>
      <c r="S323" s="491"/>
    </row>
    <row r="324" spans="6:19" ht="14.25" customHeight="1" x14ac:dyDescent="0.25">
      <c r="F324" s="489"/>
      <c r="G324" s="489"/>
      <c r="H324" s="489"/>
      <c r="I324" s="490"/>
      <c r="J324" s="491"/>
      <c r="K324" s="490"/>
      <c r="L324" s="491"/>
      <c r="M324" s="490"/>
      <c r="N324" s="491"/>
      <c r="O324" s="490"/>
      <c r="P324" s="491"/>
      <c r="Q324" s="490"/>
      <c r="R324" s="491"/>
      <c r="S324" s="491"/>
    </row>
    <row r="325" spans="6:19" ht="14.25" customHeight="1" x14ac:dyDescent="0.25">
      <c r="F325" s="489"/>
      <c r="G325" s="489"/>
      <c r="H325" s="489"/>
      <c r="I325" s="490"/>
      <c r="J325" s="491"/>
      <c r="K325" s="490"/>
      <c r="L325" s="491"/>
      <c r="M325" s="490"/>
      <c r="N325" s="491"/>
      <c r="O325" s="490"/>
      <c r="P325" s="491"/>
      <c r="Q325" s="490"/>
      <c r="R325" s="491"/>
      <c r="S325" s="491"/>
    </row>
    <row r="326" spans="6:19" ht="14.25" customHeight="1" x14ac:dyDescent="0.25">
      <c r="F326" s="489"/>
      <c r="G326" s="489"/>
      <c r="H326" s="489"/>
      <c r="I326" s="490"/>
      <c r="J326" s="491"/>
      <c r="K326" s="490"/>
      <c r="L326" s="491"/>
      <c r="M326" s="490"/>
      <c r="N326" s="491"/>
      <c r="O326" s="490"/>
      <c r="P326" s="491"/>
      <c r="Q326" s="490"/>
      <c r="R326" s="491"/>
      <c r="S326" s="491"/>
    </row>
    <row r="327" spans="6:19" ht="14.25" customHeight="1" x14ac:dyDescent="0.25">
      <c r="F327" s="489"/>
      <c r="G327" s="489"/>
      <c r="H327" s="489"/>
      <c r="I327" s="490"/>
      <c r="J327" s="491"/>
      <c r="K327" s="490"/>
      <c r="L327" s="491"/>
      <c r="M327" s="490"/>
      <c r="N327" s="491"/>
      <c r="O327" s="490"/>
      <c r="P327" s="491"/>
      <c r="Q327" s="490"/>
      <c r="R327" s="491"/>
      <c r="S327" s="491"/>
    </row>
    <row r="328" spans="6:19" ht="14.25" customHeight="1" x14ac:dyDescent="0.25">
      <c r="F328" s="489"/>
      <c r="G328" s="489"/>
      <c r="H328" s="489"/>
      <c r="I328" s="490"/>
      <c r="J328" s="491"/>
      <c r="K328" s="490"/>
      <c r="L328" s="491"/>
      <c r="M328" s="490"/>
      <c r="N328" s="491"/>
      <c r="O328" s="490"/>
      <c r="P328" s="491"/>
      <c r="Q328" s="490"/>
      <c r="R328" s="491"/>
      <c r="S328" s="491"/>
    </row>
    <row r="329" spans="6:19" ht="14.25" customHeight="1" x14ac:dyDescent="0.25">
      <c r="F329" s="489"/>
      <c r="G329" s="489"/>
      <c r="H329" s="489"/>
      <c r="I329" s="490"/>
      <c r="J329" s="491"/>
      <c r="K329" s="490"/>
      <c r="L329" s="491"/>
      <c r="M329" s="490"/>
      <c r="N329" s="491"/>
      <c r="O329" s="490"/>
      <c r="P329" s="491"/>
      <c r="Q329" s="490"/>
      <c r="R329" s="491"/>
      <c r="S329" s="491"/>
    </row>
    <row r="330" spans="6:19" ht="14.25" customHeight="1" x14ac:dyDescent="0.25">
      <c r="F330" s="489"/>
      <c r="G330" s="489"/>
      <c r="H330" s="489"/>
      <c r="I330" s="490"/>
      <c r="J330" s="491"/>
      <c r="K330" s="490"/>
      <c r="L330" s="491"/>
      <c r="M330" s="490"/>
      <c r="N330" s="491"/>
      <c r="O330" s="490"/>
      <c r="P330" s="491"/>
      <c r="Q330" s="490"/>
      <c r="R330" s="491"/>
      <c r="S330" s="491"/>
    </row>
    <row r="331" spans="6:19" ht="14.25" customHeight="1" x14ac:dyDescent="0.25">
      <c r="F331" s="489"/>
      <c r="G331" s="489"/>
      <c r="H331" s="489"/>
      <c r="I331" s="490"/>
      <c r="J331" s="491"/>
      <c r="K331" s="490"/>
      <c r="L331" s="491"/>
      <c r="M331" s="490"/>
      <c r="N331" s="491"/>
      <c r="O331" s="490"/>
      <c r="P331" s="491"/>
      <c r="Q331" s="490"/>
      <c r="R331" s="491"/>
      <c r="S331" s="491"/>
    </row>
    <row r="332" spans="6:19" ht="14.25" customHeight="1" x14ac:dyDescent="0.25">
      <c r="F332" s="489"/>
      <c r="G332" s="489"/>
      <c r="H332" s="489"/>
      <c r="I332" s="490"/>
      <c r="J332" s="491"/>
      <c r="K332" s="490"/>
      <c r="L332" s="491"/>
      <c r="M332" s="490"/>
      <c r="N332" s="491"/>
      <c r="O332" s="490"/>
      <c r="P332" s="491"/>
      <c r="Q332" s="490"/>
      <c r="R332" s="491"/>
      <c r="S332" s="491"/>
    </row>
    <row r="333" spans="6:19" ht="14.25" customHeight="1" x14ac:dyDescent="0.25">
      <c r="F333" s="489"/>
      <c r="G333" s="489"/>
      <c r="H333" s="489"/>
      <c r="I333" s="490"/>
      <c r="J333" s="491"/>
      <c r="K333" s="490"/>
      <c r="L333" s="491"/>
      <c r="M333" s="490"/>
      <c r="N333" s="491"/>
      <c r="O333" s="490"/>
      <c r="P333" s="491"/>
      <c r="Q333" s="490"/>
      <c r="R333" s="491"/>
      <c r="S333" s="491"/>
    </row>
    <row r="334" spans="6:19" ht="14.25" customHeight="1" x14ac:dyDescent="0.25">
      <c r="F334" s="489"/>
      <c r="G334" s="489"/>
      <c r="H334" s="489"/>
      <c r="I334" s="490"/>
      <c r="J334" s="491"/>
      <c r="K334" s="490"/>
      <c r="L334" s="491"/>
      <c r="M334" s="490"/>
      <c r="N334" s="491"/>
      <c r="O334" s="490"/>
      <c r="P334" s="491"/>
      <c r="Q334" s="490"/>
      <c r="R334" s="491"/>
      <c r="S334" s="491"/>
    </row>
    <row r="335" spans="6:19" ht="14.25" customHeight="1" x14ac:dyDescent="0.25">
      <c r="F335" s="489"/>
      <c r="G335" s="489"/>
      <c r="H335" s="489"/>
      <c r="I335" s="490"/>
      <c r="J335" s="491"/>
      <c r="K335" s="490"/>
      <c r="L335" s="491"/>
      <c r="M335" s="490"/>
      <c r="N335" s="491"/>
      <c r="O335" s="490"/>
      <c r="P335" s="491"/>
      <c r="Q335" s="490"/>
      <c r="R335" s="491"/>
      <c r="S335" s="491"/>
    </row>
    <row r="336" spans="6:19" ht="14.25" customHeight="1" x14ac:dyDescent="0.25">
      <c r="F336" s="489"/>
      <c r="G336" s="489"/>
      <c r="H336" s="489"/>
      <c r="I336" s="490"/>
      <c r="J336" s="491"/>
      <c r="K336" s="490"/>
      <c r="L336" s="491"/>
      <c r="M336" s="490"/>
      <c r="N336" s="491"/>
      <c r="O336" s="490"/>
      <c r="P336" s="491"/>
      <c r="Q336" s="490"/>
      <c r="R336" s="491"/>
      <c r="S336" s="491"/>
    </row>
    <row r="337" spans="6:19" ht="14.25" customHeight="1" x14ac:dyDescent="0.25">
      <c r="F337" s="489"/>
      <c r="G337" s="489"/>
      <c r="H337" s="489"/>
      <c r="I337" s="490"/>
      <c r="J337" s="491"/>
      <c r="K337" s="490"/>
      <c r="L337" s="491"/>
      <c r="M337" s="490"/>
      <c r="N337" s="491"/>
      <c r="O337" s="490"/>
      <c r="P337" s="491"/>
      <c r="Q337" s="490"/>
      <c r="R337" s="491"/>
      <c r="S337" s="491"/>
    </row>
    <row r="338" spans="6:19" ht="14.25" customHeight="1" x14ac:dyDescent="0.25">
      <c r="F338" s="489"/>
      <c r="G338" s="489"/>
      <c r="H338" s="489"/>
      <c r="I338" s="490"/>
      <c r="J338" s="491"/>
      <c r="K338" s="490"/>
      <c r="L338" s="491"/>
      <c r="M338" s="490"/>
      <c r="N338" s="491"/>
      <c r="O338" s="490"/>
      <c r="P338" s="491"/>
      <c r="Q338" s="490"/>
      <c r="R338" s="491"/>
      <c r="S338" s="491"/>
    </row>
    <row r="339" spans="6:19" ht="14.25" customHeight="1" x14ac:dyDescent="0.25">
      <c r="F339" s="489"/>
      <c r="G339" s="489"/>
      <c r="H339" s="489"/>
      <c r="I339" s="490"/>
      <c r="J339" s="491"/>
      <c r="K339" s="490"/>
      <c r="L339" s="491"/>
      <c r="M339" s="490"/>
      <c r="N339" s="491"/>
      <c r="O339" s="490"/>
      <c r="P339" s="491"/>
      <c r="Q339" s="490"/>
      <c r="R339" s="491"/>
      <c r="S339" s="491"/>
    </row>
    <row r="340" spans="6:19" ht="14.25" customHeight="1" x14ac:dyDescent="0.25">
      <c r="F340" s="489"/>
      <c r="G340" s="489"/>
      <c r="H340" s="489"/>
      <c r="I340" s="490"/>
      <c r="J340" s="491"/>
      <c r="K340" s="490"/>
      <c r="L340" s="491"/>
      <c r="M340" s="490"/>
      <c r="N340" s="491"/>
      <c r="O340" s="490"/>
      <c r="P340" s="491"/>
      <c r="Q340" s="490"/>
      <c r="R340" s="491"/>
      <c r="S340" s="491"/>
    </row>
    <row r="341" spans="6:19" ht="14.25" customHeight="1" x14ac:dyDescent="0.25">
      <c r="F341" s="489"/>
      <c r="G341" s="489"/>
      <c r="H341" s="489"/>
      <c r="I341" s="490"/>
      <c r="J341" s="491"/>
      <c r="K341" s="490"/>
      <c r="L341" s="491"/>
      <c r="M341" s="490"/>
      <c r="N341" s="491"/>
      <c r="O341" s="490"/>
      <c r="P341" s="491"/>
      <c r="Q341" s="490"/>
      <c r="R341" s="491"/>
      <c r="S341" s="491"/>
    </row>
    <row r="342" spans="6:19" ht="14.25" customHeight="1" x14ac:dyDescent="0.25">
      <c r="F342" s="489"/>
      <c r="G342" s="489"/>
      <c r="H342" s="489"/>
      <c r="I342" s="490"/>
      <c r="J342" s="491"/>
      <c r="K342" s="490"/>
      <c r="L342" s="491"/>
      <c r="M342" s="490"/>
      <c r="N342" s="491"/>
      <c r="O342" s="490"/>
      <c r="P342" s="491"/>
      <c r="Q342" s="490"/>
      <c r="R342" s="491"/>
      <c r="S342" s="491"/>
    </row>
    <row r="343" spans="6:19" ht="14.25" customHeight="1" x14ac:dyDescent="0.25">
      <c r="F343" s="489"/>
      <c r="G343" s="489"/>
      <c r="H343" s="489"/>
      <c r="I343" s="490"/>
      <c r="J343" s="491"/>
      <c r="K343" s="490"/>
      <c r="L343" s="491"/>
      <c r="M343" s="490"/>
      <c r="N343" s="491"/>
      <c r="O343" s="490"/>
      <c r="P343" s="491"/>
      <c r="Q343" s="490"/>
      <c r="R343" s="491"/>
      <c r="S343" s="491"/>
    </row>
    <row r="344" spans="6:19" ht="14.25" customHeight="1" x14ac:dyDescent="0.25">
      <c r="F344" s="489"/>
      <c r="G344" s="489"/>
      <c r="H344" s="489"/>
      <c r="I344" s="490"/>
      <c r="J344" s="491"/>
      <c r="K344" s="490"/>
      <c r="L344" s="491"/>
      <c r="M344" s="490"/>
      <c r="N344" s="491"/>
      <c r="O344" s="490"/>
      <c r="P344" s="491"/>
      <c r="Q344" s="490"/>
      <c r="R344" s="491"/>
      <c r="S344" s="491"/>
    </row>
    <row r="345" spans="6:19" ht="14.25" customHeight="1" x14ac:dyDescent="0.25">
      <c r="F345" s="489"/>
      <c r="G345" s="489"/>
      <c r="H345" s="489"/>
      <c r="I345" s="490"/>
      <c r="J345" s="491"/>
      <c r="K345" s="490"/>
      <c r="L345" s="491"/>
      <c r="M345" s="490"/>
      <c r="N345" s="491"/>
      <c r="O345" s="490"/>
      <c r="P345" s="491"/>
      <c r="Q345" s="490"/>
      <c r="R345" s="491"/>
      <c r="S345" s="491"/>
    </row>
    <row r="346" spans="6:19" ht="14.25" customHeight="1" x14ac:dyDescent="0.25">
      <c r="F346" s="489"/>
      <c r="G346" s="489"/>
      <c r="H346" s="489"/>
      <c r="I346" s="490"/>
      <c r="J346" s="491"/>
      <c r="K346" s="490"/>
      <c r="L346" s="491"/>
      <c r="M346" s="490"/>
      <c r="N346" s="491"/>
      <c r="O346" s="490"/>
      <c r="P346" s="491"/>
      <c r="Q346" s="490"/>
      <c r="R346" s="491"/>
      <c r="S346" s="491"/>
    </row>
    <row r="347" spans="6:19" ht="14.25" customHeight="1" x14ac:dyDescent="0.25">
      <c r="F347" s="489"/>
      <c r="G347" s="489"/>
      <c r="H347" s="489"/>
      <c r="I347" s="490"/>
      <c r="J347" s="491"/>
      <c r="K347" s="490"/>
      <c r="L347" s="491"/>
      <c r="M347" s="490"/>
      <c r="N347" s="491"/>
      <c r="O347" s="490"/>
      <c r="P347" s="491"/>
      <c r="Q347" s="490"/>
      <c r="R347" s="491"/>
      <c r="S347" s="491"/>
    </row>
    <row r="348" spans="6:19" ht="14.25" customHeight="1" x14ac:dyDescent="0.25">
      <c r="F348" s="489"/>
      <c r="G348" s="489"/>
      <c r="H348" s="489"/>
      <c r="I348" s="490"/>
      <c r="J348" s="491"/>
      <c r="K348" s="490"/>
      <c r="L348" s="491"/>
      <c r="M348" s="490"/>
      <c r="N348" s="491"/>
      <c r="O348" s="490"/>
      <c r="P348" s="491"/>
      <c r="Q348" s="490"/>
      <c r="R348" s="491"/>
      <c r="S348" s="491"/>
    </row>
    <row r="349" spans="6:19" ht="14.25" customHeight="1" x14ac:dyDescent="0.25">
      <c r="F349" s="489"/>
      <c r="G349" s="489"/>
      <c r="H349" s="489"/>
      <c r="I349" s="490"/>
      <c r="J349" s="491"/>
      <c r="K349" s="490"/>
      <c r="L349" s="491"/>
      <c r="M349" s="490"/>
      <c r="N349" s="491"/>
      <c r="O349" s="490"/>
      <c r="P349" s="491"/>
      <c r="Q349" s="490"/>
      <c r="R349" s="491"/>
      <c r="S349" s="491"/>
    </row>
    <row r="350" spans="6:19" ht="14.25" customHeight="1" x14ac:dyDescent="0.25">
      <c r="F350" s="489"/>
      <c r="G350" s="489"/>
      <c r="H350" s="489"/>
      <c r="I350" s="490"/>
      <c r="J350" s="491"/>
      <c r="K350" s="490"/>
      <c r="L350" s="491"/>
      <c r="M350" s="490"/>
      <c r="N350" s="491"/>
      <c r="O350" s="490"/>
      <c r="P350" s="491"/>
      <c r="Q350" s="490"/>
      <c r="R350" s="491"/>
      <c r="S350" s="491"/>
    </row>
    <row r="351" spans="6:19" ht="14.25" customHeight="1" x14ac:dyDescent="0.25">
      <c r="F351" s="489"/>
      <c r="G351" s="489"/>
      <c r="H351" s="489"/>
      <c r="I351" s="490"/>
      <c r="J351" s="491"/>
      <c r="K351" s="490"/>
      <c r="L351" s="491"/>
      <c r="M351" s="490"/>
      <c r="N351" s="491"/>
      <c r="O351" s="490"/>
      <c r="P351" s="491"/>
      <c r="Q351" s="490"/>
      <c r="R351" s="491"/>
      <c r="S351" s="491"/>
    </row>
    <row r="352" spans="6:19" ht="14.25" customHeight="1" x14ac:dyDescent="0.25">
      <c r="F352" s="489"/>
      <c r="G352" s="489"/>
      <c r="H352" s="489"/>
      <c r="I352" s="490"/>
      <c r="J352" s="491"/>
      <c r="K352" s="490"/>
      <c r="L352" s="491"/>
      <c r="M352" s="490"/>
      <c r="N352" s="491"/>
      <c r="O352" s="490"/>
      <c r="P352" s="491"/>
      <c r="Q352" s="490"/>
      <c r="R352" s="491"/>
      <c r="S352" s="491"/>
    </row>
    <row r="353" spans="6:19" ht="14.25" customHeight="1" x14ac:dyDescent="0.25">
      <c r="F353" s="489"/>
      <c r="G353" s="489"/>
      <c r="H353" s="489"/>
      <c r="I353" s="490"/>
      <c r="J353" s="491"/>
      <c r="K353" s="490"/>
      <c r="L353" s="491"/>
      <c r="M353" s="490"/>
      <c r="N353" s="491"/>
      <c r="O353" s="490"/>
      <c r="P353" s="491"/>
      <c r="Q353" s="490"/>
      <c r="R353" s="491"/>
      <c r="S353" s="491"/>
    </row>
    <row r="354" spans="6:19" ht="14.25" customHeight="1" x14ac:dyDescent="0.25">
      <c r="F354" s="489"/>
      <c r="G354" s="489"/>
      <c r="H354" s="489"/>
      <c r="I354" s="490"/>
      <c r="J354" s="491"/>
      <c r="K354" s="490"/>
      <c r="L354" s="491"/>
      <c r="M354" s="490"/>
      <c r="N354" s="491"/>
      <c r="O354" s="490"/>
      <c r="P354" s="491"/>
      <c r="Q354" s="490"/>
      <c r="R354" s="491"/>
      <c r="S354" s="491"/>
    </row>
    <row r="355" spans="6:19" ht="14.25" customHeight="1" x14ac:dyDescent="0.25">
      <c r="F355" s="489"/>
      <c r="G355" s="489"/>
      <c r="H355" s="489"/>
      <c r="I355" s="490"/>
      <c r="J355" s="491"/>
      <c r="K355" s="490"/>
      <c r="L355" s="491"/>
      <c r="M355" s="490"/>
      <c r="N355" s="491"/>
      <c r="O355" s="490"/>
      <c r="P355" s="491"/>
      <c r="Q355" s="490"/>
      <c r="R355" s="491"/>
      <c r="S355" s="491"/>
    </row>
    <row r="356" spans="6:19" ht="14.25" customHeight="1" x14ac:dyDescent="0.25">
      <c r="F356" s="489"/>
      <c r="G356" s="489"/>
      <c r="H356" s="489"/>
      <c r="I356" s="490"/>
      <c r="J356" s="491"/>
      <c r="K356" s="490"/>
      <c r="L356" s="491"/>
      <c r="M356" s="490"/>
      <c r="N356" s="491"/>
      <c r="O356" s="490"/>
      <c r="P356" s="491"/>
      <c r="Q356" s="490"/>
      <c r="R356" s="491"/>
      <c r="S356" s="491"/>
    </row>
    <row r="357" spans="6:19" ht="14.25" customHeight="1" x14ac:dyDescent="0.25">
      <c r="F357" s="489"/>
      <c r="G357" s="489"/>
      <c r="H357" s="489"/>
      <c r="I357" s="490"/>
      <c r="J357" s="491"/>
      <c r="K357" s="490"/>
      <c r="L357" s="491"/>
      <c r="M357" s="490"/>
      <c r="N357" s="491"/>
      <c r="O357" s="490"/>
      <c r="P357" s="491"/>
      <c r="Q357" s="490"/>
      <c r="R357" s="491"/>
      <c r="S357" s="491"/>
    </row>
    <row r="358" spans="6:19" ht="14.25" customHeight="1" x14ac:dyDescent="0.25">
      <c r="F358" s="489"/>
      <c r="G358" s="489"/>
      <c r="H358" s="489"/>
      <c r="I358" s="490"/>
      <c r="J358" s="491"/>
      <c r="K358" s="490"/>
      <c r="L358" s="491"/>
      <c r="M358" s="490"/>
      <c r="N358" s="491"/>
      <c r="O358" s="490"/>
      <c r="P358" s="491"/>
      <c r="Q358" s="490"/>
      <c r="R358" s="491"/>
      <c r="S358" s="491"/>
    </row>
    <row r="359" spans="6:19" ht="14.25" customHeight="1" x14ac:dyDescent="0.25">
      <c r="F359" s="489"/>
      <c r="G359" s="489"/>
      <c r="H359" s="489"/>
      <c r="I359" s="490"/>
      <c r="J359" s="491"/>
      <c r="K359" s="490"/>
      <c r="L359" s="491"/>
      <c r="M359" s="490"/>
      <c r="N359" s="491"/>
      <c r="O359" s="490"/>
      <c r="P359" s="491"/>
      <c r="Q359" s="490"/>
      <c r="R359" s="491"/>
      <c r="S359" s="491"/>
    </row>
    <row r="360" spans="6:19" ht="14.25" customHeight="1" x14ac:dyDescent="0.25">
      <c r="F360" s="489"/>
      <c r="G360" s="489"/>
      <c r="H360" s="489"/>
      <c r="I360" s="490"/>
      <c r="J360" s="491"/>
      <c r="K360" s="490"/>
      <c r="L360" s="491"/>
      <c r="M360" s="490"/>
      <c r="N360" s="491"/>
      <c r="O360" s="490"/>
      <c r="P360" s="491"/>
      <c r="Q360" s="490"/>
      <c r="R360" s="491"/>
      <c r="S360" s="491"/>
    </row>
    <row r="361" spans="6:19" ht="14.25" customHeight="1" x14ac:dyDescent="0.25">
      <c r="F361" s="489"/>
      <c r="G361" s="489"/>
      <c r="H361" s="489"/>
      <c r="I361" s="490"/>
      <c r="J361" s="491"/>
      <c r="K361" s="490"/>
      <c r="L361" s="491"/>
      <c r="M361" s="490"/>
      <c r="N361" s="491"/>
      <c r="O361" s="490"/>
      <c r="P361" s="491"/>
      <c r="Q361" s="490"/>
      <c r="R361" s="491"/>
      <c r="S361" s="491"/>
    </row>
    <row r="362" spans="6:19" ht="14.25" customHeight="1" x14ac:dyDescent="0.25">
      <c r="F362" s="489"/>
      <c r="G362" s="489"/>
      <c r="H362" s="489"/>
      <c r="I362" s="490"/>
      <c r="J362" s="491"/>
      <c r="K362" s="490"/>
      <c r="L362" s="491"/>
      <c r="M362" s="490"/>
      <c r="N362" s="491"/>
      <c r="O362" s="490"/>
      <c r="P362" s="491"/>
      <c r="Q362" s="490"/>
      <c r="R362" s="491"/>
      <c r="S362" s="491"/>
    </row>
    <row r="363" spans="6:19" ht="14.25" customHeight="1" x14ac:dyDescent="0.25">
      <c r="F363" s="489"/>
      <c r="G363" s="489"/>
      <c r="H363" s="489"/>
      <c r="I363" s="490"/>
      <c r="J363" s="491"/>
      <c r="K363" s="490"/>
      <c r="L363" s="491"/>
      <c r="M363" s="490"/>
      <c r="N363" s="491"/>
      <c r="O363" s="490"/>
      <c r="P363" s="491"/>
      <c r="Q363" s="490"/>
      <c r="R363" s="491"/>
      <c r="S363" s="491"/>
    </row>
    <row r="364" spans="6:19" ht="14.25" customHeight="1" x14ac:dyDescent="0.25">
      <c r="F364" s="489"/>
      <c r="G364" s="489"/>
      <c r="H364" s="489"/>
      <c r="I364" s="490"/>
      <c r="J364" s="491"/>
      <c r="K364" s="490"/>
      <c r="L364" s="491"/>
      <c r="M364" s="490"/>
      <c r="N364" s="491"/>
      <c r="O364" s="490"/>
      <c r="P364" s="491"/>
      <c r="Q364" s="490"/>
      <c r="R364" s="491"/>
      <c r="S364" s="491"/>
    </row>
    <row r="365" spans="6:19" ht="14.25" customHeight="1" x14ac:dyDescent="0.25">
      <c r="F365" s="489"/>
      <c r="G365" s="489"/>
      <c r="H365" s="489"/>
      <c r="I365" s="490"/>
      <c r="J365" s="491"/>
      <c r="K365" s="490"/>
      <c r="L365" s="491"/>
      <c r="M365" s="490"/>
      <c r="N365" s="491"/>
      <c r="O365" s="490"/>
      <c r="P365" s="491"/>
      <c r="Q365" s="490"/>
      <c r="R365" s="491"/>
      <c r="S365" s="491"/>
    </row>
    <row r="366" spans="6:19" ht="14.25" customHeight="1" x14ac:dyDescent="0.25">
      <c r="F366" s="489"/>
      <c r="G366" s="489"/>
      <c r="H366" s="489"/>
      <c r="I366" s="490"/>
      <c r="J366" s="491"/>
      <c r="K366" s="490"/>
      <c r="L366" s="491"/>
      <c r="M366" s="490"/>
      <c r="N366" s="491"/>
      <c r="O366" s="490"/>
      <c r="P366" s="491"/>
      <c r="Q366" s="490"/>
      <c r="R366" s="491"/>
      <c r="S366" s="491"/>
    </row>
    <row r="367" spans="6:19" ht="14.25" customHeight="1" x14ac:dyDescent="0.25">
      <c r="F367" s="489"/>
      <c r="G367" s="489"/>
      <c r="H367" s="489"/>
      <c r="I367" s="490"/>
      <c r="J367" s="491"/>
      <c r="K367" s="490"/>
      <c r="L367" s="491"/>
      <c r="M367" s="490"/>
      <c r="N367" s="491"/>
      <c r="O367" s="490"/>
      <c r="P367" s="491"/>
      <c r="Q367" s="490"/>
      <c r="R367" s="491"/>
      <c r="S367" s="491"/>
    </row>
    <row r="368" spans="6:19" ht="14.25" customHeight="1" x14ac:dyDescent="0.25">
      <c r="F368" s="489"/>
      <c r="G368" s="489"/>
      <c r="H368" s="489"/>
      <c r="I368" s="490"/>
      <c r="J368" s="491"/>
      <c r="K368" s="490"/>
      <c r="L368" s="491"/>
      <c r="M368" s="490"/>
      <c r="N368" s="491"/>
      <c r="O368" s="490"/>
      <c r="P368" s="491"/>
      <c r="Q368" s="490"/>
      <c r="R368" s="491"/>
      <c r="S368" s="491"/>
    </row>
    <row r="369" spans="6:19" ht="14.25" customHeight="1" x14ac:dyDescent="0.25">
      <c r="F369" s="489"/>
      <c r="G369" s="489"/>
      <c r="H369" s="489"/>
      <c r="I369" s="490"/>
      <c r="J369" s="491"/>
      <c r="K369" s="490"/>
      <c r="L369" s="491"/>
      <c r="M369" s="490"/>
      <c r="N369" s="491"/>
      <c r="O369" s="490"/>
      <c r="P369" s="491"/>
      <c r="Q369" s="490"/>
      <c r="R369" s="491"/>
      <c r="S369" s="491"/>
    </row>
    <row r="370" spans="6:19" ht="14.25" customHeight="1" x14ac:dyDescent="0.25">
      <c r="F370" s="489"/>
      <c r="G370" s="489"/>
      <c r="H370" s="489"/>
      <c r="I370" s="490"/>
      <c r="J370" s="491"/>
      <c r="K370" s="490"/>
      <c r="L370" s="491"/>
      <c r="M370" s="490"/>
      <c r="N370" s="491"/>
      <c r="O370" s="490"/>
      <c r="P370" s="491"/>
      <c r="Q370" s="490"/>
      <c r="R370" s="491"/>
      <c r="S370" s="491"/>
    </row>
    <row r="371" spans="6:19" ht="14.25" customHeight="1" x14ac:dyDescent="0.25">
      <c r="F371" s="489"/>
      <c r="G371" s="489"/>
      <c r="H371" s="489"/>
      <c r="I371" s="490"/>
      <c r="J371" s="491"/>
      <c r="K371" s="490"/>
      <c r="L371" s="491"/>
      <c r="M371" s="490"/>
      <c r="N371" s="491"/>
      <c r="O371" s="490"/>
      <c r="P371" s="491"/>
      <c r="Q371" s="490"/>
      <c r="R371" s="491"/>
      <c r="S371" s="491"/>
    </row>
    <row r="372" spans="6:19" ht="14.25" customHeight="1" x14ac:dyDescent="0.25">
      <c r="F372" s="489"/>
      <c r="G372" s="489"/>
      <c r="H372" s="489"/>
      <c r="I372" s="490"/>
      <c r="J372" s="491"/>
      <c r="K372" s="490"/>
      <c r="L372" s="491"/>
      <c r="M372" s="490"/>
      <c r="N372" s="491"/>
      <c r="O372" s="490"/>
      <c r="P372" s="491"/>
      <c r="Q372" s="490"/>
      <c r="R372" s="491"/>
      <c r="S372" s="491"/>
    </row>
    <row r="373" spans="6:19" ht="14.25" customHeight="1" x14ac:dyDescent="0.25">
      <c r="F373" s="489"/>
      <c r="G373" s="489"/>
      <c r="H373" s="489"/>
      <c r="I373" s="490"/>
      <c r="J373" s="491"/>
      <c r="K373" s="490"/>
      <c r="L373" s="491"/>
      <c r="M373" s="490"/>
      <c r="N373" s="491"/>
      <c r="O373" s="490"/>
      <c r="P373" s="491"/>
      <c r="Q373" s="490"/>
      <c r="R373" s="491"/>
      <c r="S373" s="491"/>
    </row>
    <row r="374" spans="6:19" ht="14.25" customHeight="1" x14ac:dyDescent="0.25">
      <c r="F374" s="489"/>
      <c r="G374" s="489"/>
      <c r="H374" s="489"/>
      <c r="I374" s="490"/>
      <c r="J374" s="491"/>
      <c r="K374" s="490"/>
      <c r="L374" s="491"/>
      <c r="M374" s="490"/>
      <c r="N374" s="491"/>
      <c r="O374" s="490"/>
      <c r="P374" s="491"/>
      <c r="Q374" s="490"/>
      <c r="R374" s="491"/>
      <c r="S374" s="491"/>
    </row>
    <row r="375" spans="6:19" ht="14.25" customHeight="1" x14ac:dyDescent="0.25">
      <c r="F375" s="489"/>
      <c r="G375" s="489"/>
      <c r="H375" s="489"/>
      <c r="I375" s="490"/>
      <c r="J375" s="491"/>
      <c r="K375" s="490"/>
      <c r="L375" s="491"/>
      <c r="M375" s="490"/>
      <c r="N375" s="491"/>
      <c r="O375" s="490"/>
      <c r="P375" s="491"/>
      <c r="Q375" s="490"/>
      <c r="R375" s="491"/>
      <c r="S375" s="491"/>
    </row>
    <row r="376" spans="6:19" ht="14.25" customHeight="1" x14ac:dyDescent="0.25">
      <c r="F376" s="489"/>
      <c r="G376" s="489"/>
      <c r="H376" s="489"/>
      <c r="I376" s="490"/>
      <c r="J376" s="491"/>
      <c r="K376" s="490"/>
      <c r="L376" s="491"/>
      <c r="M376" s="490"/>
      <c r="N376" s="491"/>
      <c r="O376" s="490"/>
      <c r="P376" s="491"/>
      <c r="Q376" s="490"/>
      <c r="R376" s="491"/>
      <c r="S376" s="491"/>
    </row>
    <row r="377" spans="6:19" ht="14.25" customHeight="1" x14ac:dyDescent="0.25">
      <c r="F377" s="489"/>
      <c r="G377" s="489"/>
      <c r="H377" s="489"/>
      <c r="I377" s="490"/>
      <c r="J377" s="491"/>
      <c r="K377" s="490"/>
      <c r="L377" s="491"/>
      <c r="M377" s="490"/>
      <c r="N377" s="491"/>
      <c r="O377" s="490"/>
      <c r="P377" s="491"/>
      <c r="Q377" s="490"/>
      <c r="R377" s="491"/>
      <c r="S377" s="491"/>
    </row>
    <row r="378" spans="6:19" ht="14.25" customHeight="1" x14ac:dyDescent="0.25">
      <c r="F378" s="489"/>
      <c r="G378" s="489"/>
      <c r="H378" s="489"/>
      <c r="I378" s="490"/>
      <c r="J378" s="491"/>
      <c r="K378" s="490"/>
      <c r="L378" s="491"/>
      <c r="M378" s="490"/>
      <c r="N378" s="491"/>
      <c r="O378" s="490"/>
      <c r="P378" s="491"/>
      <c r="Q378" s="490"/>
      <c r="R378" s="491"/>
      <c r="S378" s="491"/>
    </row>
    <row r="379" spans="6:19" ht="14.25" customHeight="1" x14ac:dyDescent="0.25">
      <c r="F379" s="489"/>
      <c r="G379" s="489"/>
      <c r="H379" s="489"/>
      <c r="I379" s="490"/>
      <c r="J379" s="491"/>
      <c r="K379" s="490"/>
      <c r="L379" s="491"/>
      <c r="M379" s="490"/>
      <c r="N379" s="491"/>
      <c r="O379" s="490"/>
      <c r="P379" s="491"/>
      <c r="Q379" s="490"/>
      <c r="R379" s="491"/>
      <c r="S379" s="491"/>
    </row>
    <row r="380" spans="6:19" ht="14.25" customHeight="1" x14ac:dyDescent="0.25">
      <c r="F380" s="489"/>
      <c r="G380" s="489"/>
      <c r="H380" s="489"/>
      <c r="I380" s="490"/>
      <c r="J380" s="491"/>
      <c r="K380" s="490"/>
      <c r="L380" s="491"/>
      <c r="M380" s="490"/>
      <c r="N380" s="491"/>
      <c r="O380" s="490"/>
      <c r="P380" s="491"/>
      <c r="Q380" s="490"/>
      <c r="R380" s="491"/>
      <c r="S380" s="491"/>
    </row>
    <row r="381" spans="6:19" ht="14.25" customHeight="1" x14ac:dyDescent="0.25">
      <c r="F381" s="489"/>
      <c r="G381" s="489"/>
      <c r="H381" s="489"/>
      <c r="I381" s="490"/>
      <c r="J381" s="491"/>
      <c r="K381" s="490"/>
      <c r="L381" s="491"/>
      <c r="M381" s="490"/>
      <c r="N381" s="491"/>
      <c r="O381" s="490"/>
      <c r="P381" s="491"/>
      <c r="Q381" s="490"/>
      <c r="R381" s="491"/>
      <c r="S381" s="491"/>
    </row>
    <row r="382" spans="6:19" ht="14.25" customHeight="1" x14ac:dyDescent="0.25">
      <c r="F382" s="489"/>
      <c r="G382" s="489"/>
      <c r="H382" s="489"/>
      <c r="I382" s="490"/>
      <c r="J382" s="491"/>
      <c r="K382" s="490"/>
      <c r="L382" s="491"/>
      <c r="M382" s="490"/>
      <c r="N382" s="491"/>
      <c r="O382" s="490"/>
      <c r="P382" s="491"/>
      <c r="Q382" s="490"/>
      <c r="R382" s="491"/>
      <c r="S382" s="491"/>
    </row>
    <row r="383" spans="6:19" ht="14.25" customHeight="1" x14ac:dyDescent="0.25">
      <c r="F383" s="489"/>
      <c r="G383" s="489"/>
      <c r="H383" s="489"/>
      <c r="I383" s="490"/>
      <c r="J383" s="491"/>
      <c r="K383" s="490"/>
      <c r="L383" s="491"/>
      <c r="M383" s="490"/>
      <c r="N383" s="491"/>
      <c r="O383" s="490"/>
      <c r="P383" s="491"/>
      <c r="Q383" s="490"/>
      <c r="R383" s="491"/>
      <c r="S383" s="491"/>
    </row>
    <row r="384" spans="6:19" ht="14.25" customHeight="1" x14ac:dyDescent="0.25">
      <c r="F384" s="489"/>
      <c r="G384" s="489"/>
      <c r="H384" s="489"/>
      <c r="I384" s="490"/>
      <c r="J384" s="491"/>
      <c r="K384" s="490"/>
      <c r="L384" s="491"/>
      <c r="M384" s="490"/>
      <c r="N384" s="491"/>
      <c r="O384" s="490"/>
      <c r="P384" s="491"/>
      <c r="Q384" s="490"/>
      <c r="R384" s="491"/>
      <c r="S384" s="491"/>
    </row>
    <row r="385" spans="6:19" ht="14.25" customHeight="1" x14ac:dyDescent="0.25">
      <c r="F385" s="489"/>
      <c r="G385" s="489"/>
      <c r="H385" s="489"/>
      <c r="I385" s="490"/>
      <c r="J385" s="491"/>
      <c r="K385" s="490"/>
      <c r="L385" s="491"/>
      <c r="M385" s="490"/>
      <c r="N385" s="491"/>
      <c r="O385" s="490"/>
      <c r="P385" s="491"/>
      <c r="Q385" s="490"/>
      <c r="R385" s="491"/>
      <c r="S385" s="491"/>
    </row>
    <row r="386" spans="6:19" ht="14.25" customHeight="1" x14ac:dyDescent="0.25">
      <c r="F386" s="489"/>
      <c r="G386" s="489"/>
      <c r="H386" s="489"/>
      <c r="I386" s="490"/>
      <c r="J386" s="491"/>
      <c r="K386" s="490"/>
      <c r="L386" s="491"/>
      <c r="M386" s="490"/>
      <c r="N386" s="491"/>
      <c r="O386" s="490"/>
      <c r="P386" s="491"/>
      <c r="Q386" s="490"/>
      <c r="R386" s="491"/>
      <c r="S386" s="491"/>
    </row>
    <row r="387" spans="6:19" ht="14.25" customHeight="1" x14ac:dyDescent="0.25">
      <c r="F387" s="489"/>
      <c r="G387" s="489"/>
      <c r="H387" s="489"/>
      <c r="I387" s="490"/>
      <c r="J387" s="491"/>
      <c r="K387" s="490"/>
      <c r="L387" s="491"/>
      <c r="M387" s="490"/>
      <c r="N387" s="491"/>
      <c r="O387" s="490"/>
      <c r="P387" s="491"/>
      <c r="Q387" s="490"/>
      <c r="R387" s="491"/>
      <c r="S387" s="491"/>
    </row>
    <row r="388" spans="6:19" ht="14.25" customHeight="1" x14ac:dyDescent="0.25">
      <c r="F388" s="489"/>
      <c r="G388" s="489"/>
      <c r="H388" s="489"/>
      <c r="I388" s="490"/>
      <c r="J388" s="491"/>
      <c r="K388" s="490"/>
      <c r="L388" s="491"/>
      <c r="M388" s="490"/>
      <c r="N388" s="491"/>
      <c r="O388" s="490"/>
      <c r="P388" s="491"/>
      <c r="Q388" s="490"/>
      <c r="R388" s="491"/>
      <c r="S388" s="491"/>
    </row>
    <row r="389" spans="6:19" ht="14.25" customHeight="1" x14ac:dyDescent="0.25">
      <c r="F389" s="489"/>
      <c r="G389" s="489"/>
      <c r="H389" s="489"/>
      <c r="I389" s="490"/>
      <c r="J389" s="491"/>
      <c r="K389" s="490"/>
      <c r="L389" s="491"/>
      <c r="M389" s="490"/>
      <c r="N389" s="491"/>
      <c r="O389" s="490"/>
      <c r="P389" s="491"/>
      <c r="Q389" s="490"/>
      <c r="R389" s="491"/>
      <c r="S389" s="491"/>
    </row>
    <row r="390" spans="6:19" ht="14.25" customHeight="1" x14ac:dyDescent="0.25">
      <c r="F390" s="489"/>
      <c r="G390" s="489"/>
      <c r="H390" s="489"/>
      <c r="I390" s="490"/>
      <c r="J390" s="491"/>
      <c r="K390" s="490"/>
      <c r="L390" s="491"/>
      <c r="M390" s="490"/>
      <c r="N390" s="491"/>
      <c r="O390" s="490"/>
      <c r="P390" s="491"/>
      <c r="Q390" s="490"/>
      <c r="R390" s="491"/>
      <c r="S390" s="491"/>
    </row>
    <row r="391" spans="6:19" ht="14.25" customHeight="1" x14ac:dyDescent="0.25">
      <c r="F391" s="489"/>
      <c r="G391" s="489"/>
      <c r="H391" s="489"/>
      <c r="I391" s="490"/>
      <c r="J391" s="491"/>
      <c r="K391" s="490"/>
      <c r="L391" s="491"/>
      <c r="M391" s="490"/>
      <c r="N391" s="491"/>
      <c r="O391" s="490"/>
      <c r="P391" s="491"/>
      <c r="Q391" s="490"/>
      <c r="R391" s="491"/>
      <c r="S391" s="491"/>
    </row>
    <row r="392" spans="6:19" ht="14.25" customHeight="1" x14ac:dyDescent="0.25">
      <c r="F392" s="489"/>
      <c r="G392" s="489"/>
      <c r="H392" s="489"/>
      <c r="I392" s="490"/>
      <c r="J392" s="491"/>
      <c r="K392" s="490"/>
      <c r="L392" s="491"/>
      <c r="M392" s="490"/>
      <c r="N392" s="491"/>
      <c r="O392" s="490"/>
      <c r="P392" s="491"/>
      <c r="Q392" s="490"/>
      <c r="R392" s="491"/>
      <c r="S392" s="491"/>
    </row>
    <row r="393" spans="6:19" ht="14.25" customHeight="1" x14ac:dyDescent="0.25">
      <c r="F393" s="489"/>
      <c r="G393" s="489"/>
      <c r="H393" s="489"/>
      <c r="I393" s="490"/>
      <c r="J393" s="491"/>
      <c r="K393" s="490"/>
      <c r="L393" s="491"/>
      <c r="M393" s="490"/>
      <c r="N393" s="491"/>
      <c r="O393" s="490"/>
      <c r="P393" s="491"/>
      <c r="Q393" s="490"/>
      <c r="R393" s="491"/>
      <c r="S393" s="491"/>
    </row>
    <row r="394" spans="6:19" ht="14.25" customHeight="1" x14ac:dyDescent="0.25">
      <c r="F394" s="489"/>
      <c r="G394" s="489"/>
      <c r="H394" s="489"/>
      <c r="I394" s="490"/>
      <c r="J394" s="491"/>
      <c r="K394" s="490"/>
      <c r="L394" s="491"/>
      <c r="M394" s="490"/>
      <c r="N394" s="491"/>
      <c r="O394" s="490"/>
      <c r="P394" s="491"/>
      <c r="Q394" s="490"/>
      <c r="R394" s="491"/>
      <c r="S394" s="491"/>
    </row>
    <row r="395" spans="6:19" ht="14.25" customHeight="1" x14ac:dyDescent="0.25">
      <c r="F395" s="489"/>
      <c r="G395" s="489"/>
      <c r="H395" s="489"/>
      <c r="I395" s="490"/>
      <c r="J395" s="491"/>
      <c r="K395" s="490"/>
      <c r="L395" s="491"/>
      <c r="M395" s="490"/>
      <c r="N395" s="491"/>
      <c r="O395" s="490"/>
      <c r="P395" s="491"/>
      <c r="Q395" s="490"/>
      <c r="R395" s="491"/>
      <c r="S395" s="491"/>
    </row>
    <row r="396" spans="6:19" ht="14.25" customHeight="1" x14ac:dyDescent="0.25">
      <c r="F396" s="489"/>
      <c r="G396" s="489"/>
      <c r="H396" s="489"/>
      <c r="I396" s="490"/>
      <c r="J396" s="491"/>
      <c r="K396" s="490"/>
      <c r="L396" s="491"/>
      <c r="M396" s="490"/>
      <c r="N396" s="491"/>
      <c r="O396" s="490"/>
      <c r="P396" s="491"/>
      <c r="Q396" s="490"/>
      <c r="R396" s="491"/>
      <c r="S396" s="491"/>
    </row>
    <row r="397" spans="6:19" ht="14.25" customHeight="1" x14ac:dyDescent="0.25">
      <c r="F397" s="489"/>
      <c r="G397" s="489"/>
      <c r="H397" s="489"/>
      <c r="I397" s="490"/>
      <c r="J397" s="491"/>
      <c r="K397" s="490"/>
      <c r="L397" s="491"/>
      <c r="M397" s="490"/>
      <c r="N397" s="491"/>
      <c r="O397" s="490"/>
      <c r="P397" s="491"/>
      <c r="Q397" s="490"/>
      <c r="R397" s="491"/>
      <c r="S397" s="491"/>
    </row>
    <row r="398" spans="6:19" ht="14.25" customHeight="1" x14ac:dyDescent="0.25">
      <c r="F398" s="489"/>
      <c r="G398" s="489"/>
      <c r="H398" s="489"/>
      <c r="I398" s="490"/>
      <c r="J398" s="491"/>
      <c r="K398" s="490"/>
      <c r="L398" s="491"/>
      <c r="M398" s="490"/>
      <c r="N398" s="491"/>
      <c r="O398" s="490"/>
      <c r="P398" s="491"/>
      <c r="Q398" s="490"/>
      <c r="R398" s="491"/>
      <c r="S398" s="491"/>
    </row>
    <row r="399" spans="6:19" ht="14.25" customHeight="1" x14ac:dyDescent="0.25">
      <c r="F399" s="489"/>
      <c r="G399" s="489"/>
      <c r="H399" s="489"/>
      <c r="I399" s="490"/>
      <c r="J399" s="491"/>
      <c r="K399" s="490"/>
      <c r="L399" s="491"/>
      <c r="M399" s="490"/>
      <c r="N399" s="491"/>
      <c r="O399" s="490"/>
      <c r="P399" s="491"/>
      <c r="Q399" s="490"/>
      <c r="R399" s="491"/>
      <c r="S399" s="491"/>
    </row>
    <row r="400" spans="6:19" ht="14.25" customHeight="1" x14ac:dyDescent="0.25">
      <c r="F400" s="489"/>
      <c r="G400" s="489"/>
      <c r="H400" s="489"/>
      <c r="I400" s="490"/>
      <c r="J400" s="491"/>
      <c r="K400" s="490"/>
      <c r="L400" s="491"/>
      <c r="M400" s="490"/>
      <c r="N400" s="491"/>
      <c r="O400" s="490"/>
      <c r="P400" s="491"/>
      <c r="Q400" s="490"/>
      <c r="R400" s="491"/>
      <c r="S400" s="491"/>
    </row>
    <row r="401" spans="6:19" ht="14.25" customHeight="1" x14ac:dyDescent="0.25">
      <c r="F401" s="489"/>
      <c r="G401" s="489"/>
      <c r="H401" s="489"/>
      <c r="I401" s="490"/>
      <c r="J401" s="491"/>
      <c r="K401" s="490"/>
      <c r="L401" s="491"/>
      <c r="M401" s="490"/>
      <c r="N401" s="491"/>
      <c r="O401" s="490"/>
      <c r="P401" s="491"/>
      <c r="Q401" s="490"/>
      <c r="R401" s="491"/>
      <c r="S401" s="491"/>
    </row>
    <row r="402" spans="6:19" ht="14.25" customHeight="1" x14ac:dyDescent="0.25">
      <c r="F402" s="489"/>
      <c r="G402" s="489"/>
      <c r="H402" s="489"/>
      <c r="I402" s="490"/>
      <c r="J402" s="491"/>
      <c r="K402" s="490"/>
      <c r="L402" s="491"/>
      <c r="M402" s="490"/>
      <c r="N402" s="491"/>
      <c r="O402" s="490"/>
      <c r="P402" s="491"/>
      <c r="Q402" s="490"/>
      <c r="R402" s="491"/>
      <c r="S402" s="491"/>
    </row>
    <row r="403" spans="6:19" ht="14.25" customHeight="1" x14ac:dyDescent="0.25">
      <c r="F403" s="489"/>
      <c r="G403" s="489"/>
      <c r="H403" s="489"/>
      <c r="I403" s="490"/>
      <c r="J403" s="491"/>
      <c r="K403" s="490"/>
      <c r="L403" s="491"/>
      <c r="M403" s="490"/>
      <c r="N403" s="491"/>
      <c r="O403" s="490"/>
      <c r="P403" s="491"/>
      <c r="Q403" s="490"/>
      <c r="R403" s="491"/>
      <c r="S403" s="491"/>
    </row>
    <row r="404" spans="6:19" ht="14.25" customHeight="1" x14ac:dyDescent="0.25">
      <c r="F404" s="489"/>
      <c r="G404" s="489"/>
      <c r="H404" s="489"/>
      <c r="I404" s="490"/>
      <c r="J404" s="491"/>
      <c r="K404" s="490"/>
      <c r="L404" s="491"/>
      <c r="M404" s="490"/>
      <c r="N404" s="491"/>
      <c r="O404" s="490"/>
      <c r="P404" s="491"/>
      <c r="Q404" s="490"/>
      <c r="R404" s="491"/>
      <c r="S404" s="491"/>
    </row>
    <row r="405" spans="6:19" ht="14.25" customHeight="1" x14ac:dyDescent="0.25">
      <c r="F405" s="489"/>
      <c r="G405" s="489"/>
      <c r="H405" s="489"/>
      <c r="I405" s="490"/>
      <c r="J405" s="491"/>
      <c r="K405" s="490"/>
      <c r="L405" s="491"/>
      <c r="M405" s="490"/>
      <c r="N405" s="491"/>
      <c r="O405" s="490"/>
      <c r="P405" s="491"/>
      <c r="Q405" s="490"/>
      <c r="R405" s="491"/>
      <c r="S405" s="491"/>
    </row>
    <row r="406" spans="6:19" ht="14.25" customHeight="1" x14ac:dyDescent="0.25">
      <c r="F406" s="489"/>
      <c r="G406" s="489"/>
      <c r="H406" s="489"/>
      <c r="I406" s="490"/>
      <c r="J406" s="491"/>
      <c r="K406" s="490"/>
      <c r="L406" s="491"/>
      <c r="M406" s="490"/>
      <c r="N406" s="491"/>
      <c r="O406" s="490"/>
      <c r="P406" s="491"/>
      <c r="Q406" s="490"/>
      <c r="R406" s="491"/>
      <c r="S406" s="491"/>
    </row>
    <row r="407" spans="6:19" ht="14.25" customHeight="1" x14ac:dyDescent="0.25">
      <c r="F407" s="489"/>
      <c r="G407" s="489"/>
      <c r="H407" s="489"/>
      <c r="I407" s="490"/>
      <c r="J407" s="491"/>
      <c r="K407" s="490"/>
      <c r="L407" s="491"/>
      <c r="M407" s="490"/>
      <c r="N407" s="491"/>
      <c r="O407" s="490"/>
      <c r="P407" s="491"/>
      <c r="Q407" s="490"/>
      <c r="R407" s="491"/>
      <c r="S407" s="491"/>
    </row>
    <row r="408" spans="6:19" ht="14.25" customHeight="1" x14ac:dyDescent="0.25">
      <c r="F408" s="489"/>
      <c r="G408" s="489"/>
      <c r="H408" s="489"/>
      <c r="I408" s="490"/>
      <c r="J408" s="491"/>
      <c r="K408" s="490"/>
      <c r="L408" s="491"/>
      <c r="M408" s="490"/>
      <c r="N408" s="491"/>
      <c r="O408" s="490"/>
      <c r="P408" s="491"/>
      <c r="Q408" s="490"/>
      <c r="R408" s="491"/>
      <c r="S408" s="491"/>
    </row>
    <row r="409" spans="6:19" ht="14.25" customHeight="1" x14ac:dyDescent="0.25">
      <c r="F409" s="489"/>
      <c r="G409" s="489"/>
      <c r="H409" s="489"/>
      <c r="I409" s="490"/>
      <c r="J409" s="491"/>
      <c r="K409" s="490"/>
      <c r="L409" s="491"/>
      <c r="M409" s="490"/>
      <c r="N409" s="491"/>
      <c r="O409" s="490"/>
      <c r="P409" s="491"/>
      <c r="Q409" s="490"/>
      <c r="R409" s="491"/>
      <c r="S409" s="491"/>
    </row>
    <row r="410" spans="6:19" ht="14.25" customHeight="1" x14ac:dyDescent="0.25">
      <c r="F410" s="489"/>
      <c r="G410" s="489"/>
      <c r="H410" s="489"/>
      <c r="I410" s="490"/>
      <c r="J410" s="491"/>
      <c r="K410" s="490"/>
      <c r="L410" s="491"/>
      <c r="M410" s="490"/>
      <c r="N410" s="491"/>
      <c r="O410" s="490"/>
      <c r="P410" s="491"/>
      <c r="Q410" s="490"/>
      <c r="R410" s="491"/>
      <c r="S410" s="491"/>
    </row>
    <row r="411" spans="6:19" ht="14.25" customHeight="1" x14ac:dyDescent="0.25">
      <c r="F411" s="489"/>
      <c r="G411" s="489"/>
      <c r="H411" s="489"/>
      <c r="I411" s="490"/>
      <c r="J411" s="491"/>
      <c r="K411" s="490"/>
      <c r="L411" s="491"/>
      <c r="M411" s="490"/>
      <c r="N411" s="491"/>
      <c r="O411" s="490"/>
      <c r="P411" s="491"/>
      <c r="Q411" s="490"/>
      <c r="R411" s="491"/>
      <c r="S411" s="491"/>
    </row>
    <row r="412" spans="6:19" ht="14.25" customHeight="1" x14ac:dyDescent="0.25">
      <c r="F412" s="489"/>
      <c r="G412" s="489"/>
      <c r="H412" s="489"/>
      <c r="I412" s="490"/>
      <c r="J412" s="491"/>
      <c r="K412" s="490"/>
      <c r="L412" s="491"/>
      <c r="M412" s="490"/>
      <c r="N412" s="491"/>
      <c r="O412" s="490"/>
      <c r="P412" s="491"/>
      <c r="Q412" s="490"/>
      <c r="R412" s="491"/>
      <c r="S412" s="491"/>
    </row>
    <row r="413" spans="6:19" ht="14.25" customHeight="1" x14ac:dyDescent="0.25">
      <c r="F413" s="489"/>
      <c r="G413" s="489"/>
      <c r="H413" s="489"/>
      <c r="I413" s="490"/>
      <c r="J413" s="491"/>
      <c r="K413" s="490"/>
      <c r="L413" s="491"/>
      <c r="M413" s="490"/>
      <c r="N413" s="491"/>
      <c r="O413" s="490"/>
      <c r="P413" s="491"/>
      <c r="Q413" s="490"/>
      <c r="R413" s="491"/>
      <c r="S413" s="491"/>
    </row>
    <row r="414" spans="6:19" ht="14.25" customHeight="1" x14ac:dyDescent="0.25">
      <c r="F414" s="489"/>
      <c r="G414" s="489"/>
      <c r="H414" s="489"/>
      <c r="I414" s="490"/>
      <c r="J414" s="491"/>
      <c r="K414" s="490"/>
      <c r="L414" s="491"/>
      <c r="M414" s="490"/>
      <c r="N414" s="491"/>
      <c r="O414" s="490"/>
      <c r="P414" s="491"/>
      <c r="Q414" s="490"/>
      <c r="R414" s="491"/>
      <c r="S414" s="491"/>
    </row>
    <row r="415" spans="6:19" ht="14.25" customHeight="1" x14ac:dyDescent="0.25">
      <c r="F415" s="489"/>
      <c r="G415" s="489"/>
      <c r="H415" s="489"/>
      <c r="I415" s="490"/>
      <c r="J415" s="491"/>
      <c r="K415" s="490"/>
      <c r="L415" s="491"/>
      <c r="M415" s="490"/>
      <c r="N415" s="491"/>
      <c r="O415" s="490"/>
      <c r="P415" s="491"/>
      <c r="Q415" s="490"/>
      <c r="R415" s="491"/>
      <c r="S415" s="491"/>
    </row>
    <row r="416" spans="6:19" ht="14.25" customHeight="1" x14ac:dyDescent="0.25">
      <c r="F416" s="489"/>
      <c r="G416" s="489"/>
      <c r="H416" s="489"/>
      <c r="I416" s="490"/>
      <c r="J416" s="491"/>
      <c r="K416" s="490"/>
      <c r="L416" s="491"/>
      <c r="M416" s="490"/>
      <c r="N416" s="491"/>
      <c r="O416" s="490"/>
      <c r="P416" s="491"/>
      <c r="Q416" s="490"/>
      <c r="R416" s="491"/>
      <c r="S416" s="491"/>
    </row>
    <row r="417" spans="6:19" ht="14.25" customHeight="1" x14ac:dyDescent="0.25">
      <c r="F417" s="489"/>
      <c r="G417" s="489"/>
      <c r="H417" s="489"/>
      <c r="I417" s="490"/>
      <c r="J417" s="491"/>
      <c r="K417" s="490"/>
      <c r="L417" s="491"/>
      <c r="M417" s="490"/>
      <c r="N417" s="491"/>
      <c r="O417" s="490"/>
      <c r="P417" s="491"/>
      <c r="Q417" s="490"/>
      <c r="R417" s="491"/>
      <c r="S417" s="491"/>
    </row>
    <row r="418" spans="6:19" ht="14.25" customHeight="1" x14ac:dyDescent="0.25">
      <c r="F418" s="489"/>
      <c r="G418" s="489"/>
      <c r="H418" s="489"/>
      <c r="I418" s="490"/>
      <c r="J418" s="491"/>
      <c r="K418" s="490"/>
      <c r="L418" s="491"/>
      <c r="M418" s="490"/>
      <c r="N418" s="491"/>
      <c r="O418" s="490"/>
      <c r="P418" s="491"/>
      <c r="Q418" s="490"/>
      <c r="R418" s="491"/>
      <c r="S418" s="491"/>
    </row>
    <row r="419" spans="6:19" ht="14.25" customHeight="1" x14ac:dyDescent="0.25">
      <c r="F419" s="489"/>
      <c r="G419" s="489"/>
      <c r="H419" s="489"/>
      <c r="I419" s="490"/>
      <c r="J419" s="491"/>
      <c r="K419" s="490"/>
      <c r="L419" s="491"/>
      <c r="M419" s="490"/>
      <c r="N419" s="491"/>
      <c r="O419" s="490"/>
      <c r="P419" s="491"/>
      <c r="Q419" s="490"/>
      <c r="R419" s="491"/>
      <c r="S419" s="491"/>
    </row>
    <row r="420" spans="6:19" ht="14.25" customHeight="1" x14ac:dyDescent="0.25">
      <c r="F420" s="489"/>
      <c r="G420" s="489"/>
      <c r="H420" s="489"/>
      <c r="I420" s="490"/>
      <c r="J420" s="491"/>
      <c r="K420" s="490"/>
      <c r="L420" s="491"/>
      <c r="M420" s="490"/>
      <c r="N420" s="491"/>
      <c r="O420" s="490"/>
      <c r="P420" s="491"/>
      <c r="Q420" s="490"/>
      <c r="R420" s="491"/>
      <c r="S420" s="491"/>
    </row>
    <row r="421" spans="6:19" ht="14.25" customHeight="1" x14ac:dyDescent="0.25">
      <c r="F421" s="489"/>
      <c r="G421" s="489"/>
      <c r="H421" s="489"/>
      <c r="I421" s="490"/>
      <c r="J421" s="491"/>
      <c r="K421" s="490"/>
      <c r="L421" s="491"/>
      <c r="M421" s="490"/>
      <c r="N421" s="491"/>
      <c r="O421" s="490"/>
      <c r="P421" s="491"/>
      <c r="Q421" s="490"/>
      <c r="R421" s="491"/>
      <c r="S421" s="491"/>
    </row>
    <row r="422" spans="6:19" ht="14.25" customHeight="1" x14ac:dyDescent="0.25">
      <c r="F422" s="489"/>
      <c r="G422" s="489"/>
      <c r="H422" s="489"/>
      <c r="I422" s="490"/>
      <c r="J422" s="491"/>
      <c r="K422" s="490"/>
      <c r="L422" s="491"/>
      <c r="M422" s="490"/>
      <c r="N422" s="491"/>
      <c r="O422" s="490"/>
      <c r="P422" s="491"/>
      <c r="Q422" s="490"/>
      <c r="R422" s="491"/>
      <c r="S422" s="491"/>
    </row>
    <row r="423" spans="6:19" ht="14.25" customHeight="1" x14ac:dyDescent="0.25">
      <c r="F423" s="489"/>
      <c r="G423" s="489"/>
      <c r="H423" s="489"/>
      <c r="I423" s="490"/>
      <c r="J423" s="491"/>
      <c r="K423" s="490"/>
      <c r="L423" s="491"/>
      <c r="M423" s="490"/>
      <c r="N423" s="491"/>
      <c r="O423" s="490"/>
      <c r="P423" s="491"/>
      <c r="Q423" s="490"/>
      <c r="R423" s="491"/>
      <c r="S423" s="491"/>
    </row>
    <row r="424" spans="6:19" ht="14.25" customHeight="1" x14ac:dyDescent="0.25">
      <c r="F424" s="489"/>
      <c r="G424" s="489"/>
      <c r="H424" s="489"/>
      <c r="I424" s="490"/>
      <c r="J424" s="491"/>
      <c r="K424" s="490"/>
      <c r="L424" s="491"/>
      <c r="M424" s="490"/>
      <c r="N424" s="491"/>
      <c r="O424" s="490"/>
      <c r="P424" s="491"/>
      <c r="Q424" s="490"/>
      <c r="R424" s="491"/>
      <c r="S424" s="491"/>
    </row>
    <row r="425" spans="6:19" ht="14.25" customHeight="1" x14ac:dyDescent="0.25">
      <c r="F425" s="489"/>
      <c r="G425" s="489"/>
      <c r="H425" s="489"/>
      <c r="I425" s="490"/>
      <c r="J425" s="491"/>
      <c r="K425" s="490"/>
      <c r="L425" s="491"/>
      <c r="M425" s="490"/>
      <c r="N425" s="491"/>
      <c r="O425" s="490"/>
      <c r="P425" s="491"/>
      <c r="Q425" s="490"/>
      <c r="R425" s="491"/>
      <c r="S425" s="491"/>
    </row>
    <row r="426" spans="6:19" ht="14.25" customHeight="1" x14ac:dyDescent="0.25">
      <c r="F426" s="489"/>
      <c r="G426" s="489"/>
      <c r="H426" s="489"/>
      <c r="I426" s="490"/>
      <c r="J426" s="491"/>
      <c r="K426" s="490"/>
      <c r="L426" s="491"/>
      <c r="M426" s="490"/>
      <c r="N426" s="491"/>
      <c r="O426" s="490"/>
      <c r="P426" s="491"/>
      <c r="Q426" s="490"/>
      <c r="R426" s="491"/>
      <c r="S426" s="491"/>
    </row>
    <row r="427" spans="6:19" ht="14.25" customHeight="1" x14ac:dyDescent="0.25">
      <c r="F427" s="489"/>
      <c r="G427" s="489"/>
      <c r="H427" s="489"/>
      <c r="I427" s="490"/>
      <c r="J427" s="491"/>
      <c r="K427" s="490"/>
      <c r="L427" s="491"/>
      <c r="M427" s="490"/>
      <c r="N427" s="491"/>
      <c r="O427" s="490"/>
      <c r="P427" s="491"/>
      <c r="Q427" s="490"/>
      <c r="R427" s="491"/>
      <c r="S427" s="491"/>
    </row>
    <row r="428" spans="6:19" ht="14.25" customHeight="1" x14ac:dyDescent="0.25">
      <c r="F428" s="489"/>
      <c r="G428" s="489"/>
      <c r="H428" s="489"/>
      <c r="I428" s="490"/>
      <c r="J428" s="491"/>
      <c r="K428" s="490"/>
      <c r="L428" s="491"/>
      <c r="M428" s="490"/>
      <c r="N428" s="491"/>
      <c r="O428" s="490"/>
      <c r="P428" s="491"/>
      <c r="Q428" s="490"/>
      <c r="R428" s="491"/>
      <c r="S428" s="491"/>
    </row>
    <row r="429" spans="6:19" ht="14.25" customHeight="1" x14ac:dyDescent="0.25">
      <c r="F429" s="489"/>
      <c r="G429" s="489"/>
      <c r="H429" s="489"/>
      <c r="I429" s="490"/>
      <c r="J429" s="491"/>
      <c r="K429" s="490"/>
      <c r="L429" s="491"/>
      <c r="M429" s="490"/>
      <c r="N429" s="491"/>
      <c r="O429" s="490"/>
      <c r="P429" s="491"/>
      <c r="Q429" s="490"/>
      <c r="R429" s="491"/>
      <c r="S429" s="491"/>
    </row>
    <row r="430" spans="6:19" ht="14.25" customHeight="1" x14ac:dyDescent="0.25">
      <c r="F430" s="489"/>
      <c r="G430" s="489"/>
      <c r="H430" s="489"/>
      <c r="I430" s="490"/>
      <c r="J430" s="491"/>
      <c r="K430" s="490"/>
      <c r="L430" s="491"/>
      <c r="M430" s="490"/>
      <c r="N430" s="491"/>
      <c r="O430" s="490"/>
      <c r="P430" s="491"/>
      <c r="Q430" s="490"/>
      <c r="R430" s="491"/>
      <c r="S430" s="491"/>
    </row>
    <row r="431" spans="6:19" ht="14.25" customHeight="1" x14ac:dyDescent="0.25">
      <c r="F431" s="489"/>
      <c r="G431" s="489"/>
      <c r="H431" s="489"/>
      <c r="I431" s="490"/>
      <c r="J431" s="491"/>
      <c r="K431" s="490"/>
      <c r="L431" s="491"/>
      <c r="M431" s="490"/>
      <c r="N431" s="491"/>
      <c r="O431" s="490"/>
      <c r="P431" s="491"/>
      <c r="Q431" s="490"/>
      <c r="R431" s="491"/>
      <c r="S431" s="491"/>
    </row>
    <row r="432" spans="6:19" ht="14.25" customHeight="1" x14ac:dyDescent="0.25">
      <c r="F432" s="489"/>
      <c r="G432" s="489"/>
      <c r="H432" s="489"/>
      <c r="I432" s="490"/>
      <c r="J432" s="491"/>
      <c r="K432" s="490"/>
      <c r="L432" s="491"/>
      <c r="M432" s="490"/>
      <c r="N432" s="491"/>
      <c r="O432" s="490"/>
      <c r="P432" s="491"/>
      <c r="Q432" s="490"/>
      <c r="R432" s="491"/>
      <c r="S432" s="491"/>
    </row>
    <row r="433" spans="6:19" ht="14.25" customHeight="1" x14ac:dyDescent="0.25">
      <c r="F433" s="489"/>
      <c r="G433" s="489"/>
      <c r="H433" s="489"/>
      <c r="I433" s="490"/>
      <c r="J433" s="491"/>
      <c r="K433" s="490"/>
      <c r="L433" s="491"/>
      <c r="M433" s="490"/>
      <c r="N433" s="491"/>
      <c r="O433" s="490"/>
      <c r="P433" s="491"/>
      <c r="Q433" s="490"/>
      <c r="R433" s="491"/>
      <c r="S433" s="491"/>
    </row>
    <row r="434" spans="6:19" ht="14.25" customHeight="1" x14ac:dyDescent="0.25">
      <c r="F434" s="489"/>
      <c r="G434" s="489"/>
      <c r="H434" s="489"/>
      <c r="I434" s="490"/>
      <c r="J434" s="491"/>
      <c r="K434" s="490"/>
      <c r="L434" s="491"/>
      <c r="M434" s="490"/>
      <c r="N434" s="491"/>
      <c r="O434" s="490"/>
      <c r="P434" s="491"/>
      <c r="Q434" s="490"/>
      <c r="R434" s="491"/>
      <c r="S434" s="491"/>
    </row>
    <row r="435" spans="6:19" ht="14.25" customHeight="1" x14ac:dyDescent="0.25">
      <c r="F435" s="489"/>
      <c r="G435" s="489"/>
      <c r="H435" s="489"/>
      <c r="I435" s="490"/>
      <c r="J435" s="491"/>
      <c r="K435" s="490"/>
      <c r="L435" s="491"/>
      <c r="M435" s="490"/>
      <c r="N435" s="491"/>
      <c r="O435" s="490"/>
      <c r="P435" s="491"/>
      <c r="Q435" s="490"/>
      <c r="R435" s="491"/>
      <c r="S435" s="491"/>
    </row>
    <row r="436" spans="6:19" ht="14.25" customHeight="1" x14ac:dyDescent="0.25">
      <c r="F436" s="489"/>
      <c r="G436" s="489"/>
      <c r="H436" s="489"/>
      <c r="I436" s="490"/>
      <c r="J436" s="491"/>
      <c r="K436" s="490"/>
      <c r="L436" s="491"/>
      <c r="M436" s="490"/>
      <c r="N436" s="491"/>
      <c r="O436" s="490"/>
      <c r="P436" s="491"/>
      <c r="Q436" s="490"/>
      <c r="R436" s="491"/>
      <c r="S436" s="491"/>
    </row>
    <row r="437" spans="6:19" ht="14.25" customHeight="1" x14ac:dyDescent="0.25">
      <c r="F437" s="489"/>
      <c r="G437" s="489"/>
      <c r="H437" s="489"/>
      <c r="I437" s="490"/>
      <c r="J437" s="491"/>
      <c r="K437" s="490"/>
      <c r="L437" s="491"/>
      <c r="M437" s="490"/>
      <c r="N437" s="491"/>
      <c r="O437" s="490"/>
      <c r="P437" s="491"/>
      <c r="Q437" s="490"/>
      <c r="R437" s="491"/>
      <c r="S437" s="491"/>
    </row>
    <row r="438" spans="6:19" ht="14.25" customHeight="1" x14ac:dyDescent="0.25">
      <c r="F438" s="489"/>
      <c r="G438" s="489"/>
      <c r="H438" s="489"/>
      <c r="I438" s="490"/>
      <c r="J438" s="491"/>
      <c r="K438" s="490"/>
      <c r="L438" s="491"/>
      <c r="M438" s="490"/>
      <c r="N438" s="491"/>
      <c r="O438" s="490"/>
      <c r="P438" s="491"/>
      <c r="Q438" s="490"/>
      <c r="R438" s="491"/>
      <c r="S438" s="491"/>
    </row>
    <row r="439" spans="6:19" ht="14.25" customHeight="1" x14ac:dyDescent="0.25">
      <c r="F439" s="489"/>
      <c r="G439" s="489"/>
      <c r="H439" s="489"/>
      <c r="I439" s="490"/>
      <c r="J439" s="491"/>
      <c r="K439" s="490"/>
      <c r="L439" s="491"/>
      <c r="M439" s="490"/>
      <c r="N439" s="491"/>
      <c r="O439" s="490"/>
      <c r="P439" s="491"/>
      <c r="Q439" s="490"/>
      <c r="R439" s="491"/>
      <c r="S439" s="491"/>
    </row>
    <row r="440" spans="6:19" ht="14.25" customHeight="1" x14ac:dyDescent="0.25">
      <c r="F440" s="489"/>
      <c r="G440" s="489"/>
      <c r="H440" s="489"/>
      <c r="I440" s="490"/>
      <c r="J440" s="491"/>
      <c r="K440" s="490"/>
      <c r="L440" s="491"/>
      <c r="M440" s="490"/>
      <c r="N440" s="491"/>
      <c r="O440" s="490"/>
      <c r="P440" s="491"/>
      <c r="Q440" s="490"/>
      <c r="R440" s="491"/>
      <c r="S440" s="491"/>
    </row>
    <row r="441" spans="6:19" ht="14.25" customHeight="1" x14ac:dyDescent="0.25">
      <c r="F441" s="489"/>
      <c r="G441" s="489"/>
      <c r="H441" s="489"/>
      <c r="I441" s="490"/>
      <c r="J441" s="491"/>
      <c r="K441" s="490"/>
      <c r="L441" s="491"/>
      <c r="M441" s="490"/>
      <c r="N441" s="491"/>
      <c r="O441" s="490"/>
      <c r="P441" s="491"/>
      <c r="Q441" s="490"/>
      <c r="R441" s="491"/>
      <c r="S441" s="491"/>
    </row>
    <row r="442" spans="6:19" ht="14.25" customHeight="1" x14ac:dyDescent="0.25">
      <c r="F442" s="489"/>
      <c r="G442" s="489"/>
      <c r="H442" s="489"/>
      <c r="I442" s="490"/>
      <c r="J442" s="491"/>
      <c r="K442" s="490"/>
      <c r="L442" s="491"/>
      <c r="M442" s="490"/>
      <c r="N442" s="491"/>
      <c r="O442" s="490"/>
      <c r="P442" s="491"/>
      <c r="Q442" s="490"/>
      <c r="R442" s="491"/>
      <c r="S442" s="491"/>
    </row>
    <row r="443" spans="6:19" ht="14.25" customHeight="1" x14ac:dyDescent="0.25">
      <c r="F443" s="489"/>
      <c r="G443" s="489"/>
      <c r="H443" s="489"/>
      <c r="I443" s="490"/>
      <c r="J443" s="491"/>
      <c r="K443" s="490"/>
      <c r="L443" s="491"/>
      <c r="M443" s="490"/>
      <c r="N443" s="491"/>
      <c r="O443" s="490"/>
      <c r="P443" s="491"/>
      <c r="Q443" s="490"/>
      <c r="R443" s="491"/>
      <c r="S443" s="491"/>
    </row>
    <row r="444" spans="6:19" ht="14.25" customHeight="1" x14ac:dyDescent="0.25">
      <c r="F444" s="489"/>
      <c r="G444" s="489"/>
      <c r="H444" s="489"/>
      <c r="I444" s="490"/>
      <c r="J444" s="491"/>
      <c r="K444" s="490"/>
      <c r="L444" s="491"/>
      <c r="M444" s="490"/>
      <c r="N444" s="491"/>
      <c r="O444" s="490"/>
      <c r="P444" s="491"/>
      <c r="Q444" s="490"/>
      <c r="R444" s="491"/>
      <c r="S444" s="491"/>
    </row>
    <row r="445" spans="6:19" ht="14.25" customHeight="1" x14ac:dyDescent="0.25">
      <c r="F445" s="489"/>
      <c r="G445" s="489"/>
      <c r="H445" s="489"/>
      <c r="I445" s="490"/>
      <c r="J445" s="491"/>
      <c r="K445" s="490"/>
      <c r="L445" s="491"/>
      <c r="M445" s="490"/>
      <c r="N445" s="491"/>
      <c r="O445" s="490"/>
      <c r="P445" s="491"/>
      <c r="Q445" s="490"/>
      <c r="R445" s="491"/>
      <c r="S445" s="491"/>
    </row>
    <row r="446" spans="6:19" ht="14.25" customHeight="1" x14ac:dyDescent="0.25">
      <c r="F446" s="489"/>
      <c r="G446" s="489"/>
      <c r="H446" s="489"/>
      <c r="I446" s="490"/>
      <c r="J446" s="491"/>
      <c r="K446" s="490"/>
      <c r="L446" s="491"/>
      <c r="M446" s="490"/>
      <c r="N446" s="491"/>
      <c r="O446" s="490"/>
      <c r="P446" s="491"/>
      <c r="Q446" s="490"/>
      <c r="R446" s="491"/>
      <c r="S446" s="491"/>
    </row>
    <row r="447" spans="6:19" ht="14.25" customHeight="1" x14ac:dyDescent="0.25">
      <c r="F447" s="489"/>
      <c r="G447" s="489"/>
      <c r="H447" s="489"/>
      <c r="I447" s="490"/>
      <c r="J447" s="491"/>
      <c r="K447" s="490"/>
      <c r="L447" s="491"/>
      <c r="M447" s="490"/>
      <c r="N447" s="491"/>
      <c r="O447" s="490"/>
      <c r="P447" s="491"/>
      <c r="Q447" s="490"/>
      <c r="R447" s="491"/>
      <c r="S447" s="491"/>
    </row>
    <row r="448" spans="6:19" ht="14.25" customHeight="1" x14ac:dyDescent="0.25">
      <c r="F448" s="489"/>
      <c r="G448" s="489"/>
      <c r="H448" s="489"/>
      <c r="I448" s="490"/>
      <c r="J448" s="491"/>
      <c r="K448" s="490"/>
      <c r="L448" s="491"/>
      <c r="M448" s="490"/>
      <c r="N448" s="491"/>
      <c r="O448" s="490"/>
      <c r="P448" s="491"/>
      <c r="Q448" s="490"/>
      <c r="R448" s="491"/>
      <c r="S448" s="491"/>
    </row>
    <row r="449" spans="6:19" ht="14.25" customHeight="1" x14ac:dyDescent="0.25">
      <c r="F449" s="489"/>
      <c r="G449" s="489"/>
      <c r="H449" s="489"/>
      <c r="I449" s="490"/>
      <c r="J449" s="491"/>
      <c r="K449" s="490"/>
      <c r="L449" s="491"/>
      <c r="M449" s="490"/>
      <c r="N449" s="491"/>
      <c r="O449" s="490"/>
      <c r="P449" s="491"/>
      <c r="Q449" s="490"/>
      <c r="R449" s="491"/>
      <c r="S449" s="491"/>
    </row>
    <row r="450" spans="6:19" ht="14.25" customHeight="1" x14ac:dyDescent="0.25">
      <c r="F450" s="489"/>
      <c r="G450" s="489"/>
      <c r="H450" s="489"/>
      <c r="I450" s="490"/>
      <c r="J450" s="491"/>
      <c r="K450" s="490"/>
      <c r="L450" s="491"/>
      <c r="M450" s="490"/>
      <c r="N450" s="491"/>
      <c r="O450" s="490"/>
      <c r="P450" s="491"/>
      <c r="Q450" s="490"/>
      <c r="R450" s="491"/>
      <c r="S450" s="491"/>
    </row>
    <row r="451" spans="6:19" ht="14.25" customHeight="1" x14ac:dyDescent="0.25">
      <c r="F451" s="489"/>
      <c r="G451" s="489"/>
      <c r="H451" s="489"/>
      <c r="I451" s="490"/>
      <c r="J451" s="491"/>
      <c r="K451" s="490"/>
      <c r="L451" s="491"/>
      <c r="M451" s="490"/>
      <c r="N451" s="491"/>
      <c r="O451" s="490"/>
      <c r="P451" s="491"/>
      <c r="Q451" s="490"/>
      <c r="R451" s="491"/>
      <c r="S451" s="491"/>
    </row>
    <row r="452" spans="6:19" ht="14.25" customHeight="1" x14ac:dyDescent="0.25">
      <c r="F452" s="489"/>
      <c r="G452" s="489"/>
      <c r="H452" s="489"/>
      <c r="I452" s="490"/>
      <c r="J452" s="491"/>
      <c r="K452" s="490"/>
      <c r="L452" s="491"/>
      <c r="M452" s="490"/>
      <c r="N452" s="491"/>
      <c r="O452" s="490"/>
      <c r="P452" s="491"/>
      <c r="Q452" s="490"/>
      <c r="R452" s="491"/>
      <c r="S452" s="491"/>
    </row>
    <row r="453" spans="6:19" ht="14.25" customHeight="1" x14ac:dyDescent="0.25">
      <c r="F453" s="489"/>
      <c r="G453" s="489"/>
      <c r="H453" s="489"/>
      <c r="I453" s="490"/>
      <c r="J453" s="491"/>
      <c r="K453" s="490"/>
      <c r="L453" s="491"/>
      <c r="M453" s="490"/>
      <c r="N453" s="491"/>
      <c r="O453" s="490"/>
      <c r="P453" s="491"/>
      <c r="Q453" s="490"/>
      <c r="R453" s="491"/>
      <c r="S453" s="491"/>
    </row>
    <row r="454" spans="6:19" ht="14.25" customHeight="1" x14ac:dyDescent="0.25">
      <c r="F454" s="489"/>
      <c r="G454" s="489"/>
      <c r="H454" s="489"/>
      <c r="I454" s="490"/>
      <c r="J454" s="491"/>
      <c r="K454" s="490"/>
      <c r="L454" s="491"/>
      <c r="M454" s="490"/>
      <c r="N454" s="491"/>
      <c r="O454" s="490"/>
      <c r="P454" s="491"/>
      <c r="Q454" s="490"/>
      <c r="R454" s="491"/>
      <c r="S454" s="491"/>
    </row>
    <row r="455" spans="6:19" ht="14.25" customHeight="1" x14ac:dyDescent="0.25">
      <c r="F455" s="489"/>
      <c r="G455" s="489"/>
      <c r="H455" s="489"/>
      <c r="I455" s="490"/>
      <c r="J455" s="491"/>
      <c r="K455" s="490"/>
      <c r="L455" s="491"/>
      <c r="M455" s="490"/>
      <c r="N455" s="491"/>
      <c r="O455" s="490"/>
      <c r="P455" s="491"/>
      <c r="Q455" s="490"/>
      <c r="R455" s="491"/>
      <c r="S455" s="491"/>
    </row>
    <row r="456" spans="6:19" ht="14.25" customHeight="1" x14ac:dyDescent="0.25">
      <c r="F456" s="489"/>
      <c r="G456" s="489"/>
      <c r="H456" s="489"/>
      <c r="I456" s="490"/>
      <c r="J456" s="491"/>
      <c r="K456" s="490"/>
      <c r="L456" s="491"/>
      <c r="M456" s="490"/>
      <c r="N456" s="491"/>
      <c r="O456" s="490"/>
      <c r="P456" s="491"/>
      <c r="Q456" s="490"/>
      <c r="R456" s="491"/>
      <c r="S456" s="491"/>
    </row>
    <row r="457" spans="6:19" ht="14.25" customHeight="1" x14ac:dyDescent="0.25">
      <c r="F457" s="489"/>
      <c r="G457" s="489"/>
      <c r="H457" s="489"/>
      <c r="I457" s="490"/>
      <c r="J457" s="491"/>
      <c r="K457" s="490"/>
      <c r="L457" s="491"/>
      <c r="M457" s="490"/>
      <c r="N457" s="491"/>
      <c r="O457" s="490"/>
      <c r="P457" s="491"/>
      <c r="Q457" s="490"/>
      <c r="R457" s="491"/>
      <c r="S457" s="491"/>
    </row>
    <row r="458" spans="6:19" ht="14.25" customHeight="1" x14ac:dyDescent="0.25">
      <c r="F458" s="489"/>
      <c r="G458" s="489"/>
      <c r="H458" s="489"/>
      <c r="I458" s="490"/>
      <c r="J458" s="491"/>
      <c r="K458" s="490"/>
      <c r="L458" s="491"/>
      <c r="M458" s="490"/>
      <c r="N458" s="491"/>
      <c r="O458" s="490"/>
      <c r="P458" s="491"/>
      <c r="Q458" s="490"/>
      <c r="R458" s="491"/>
      <c r="S458" s="491"/>
    </row>
    <row r="459" spans="6:19" ht="14.25" customHeight="1" x14ac:dyDescent="0.25">
      <c r="F459" s="489"/>
      <c r="G459" s="489"/>
      <c r="H459" s="489"/>
      <c r="I459" s="490"/>
      <c r="J459" s="491"/>
      <c r="K459" s="490"/>
      <c r="L459" s="491"/>
      <c r="M459" s="490"/>
      <c r="N459" s="491"/>
      <c r="O459" s="490"/>
      <c r="P459" s="491"/>
      <c r="Q459" s="490"/>
      <c r="R459" s="491"/>
      <c r="S459" s="491"/>
    </row>
    <row r="460" spans="6:19" ht="14.25" customHeight="1" x14ac:dyDescent="0.25">
      <c r="F460" s="489"/>
      <c r="G460" s="489"/>
      <c r="H460" s="489"/>
      <c r="I460" s="490"/>
      <c r="J460" s="491"/>
      <c r="K460" s="490"/>
      <c r="L460" s="491"/>
      <c r="M460" s="490"/>
      <c r="N460" s="491"/>
      <c r="O460" s="490"/>
      <c r="P460" s="491"/>
      <c r="Q460" s="490"/>
      <c r="R460" s="491"/>
      <c r="S460" s="491"/>
    </row>
    <row r="461" spans="6:19" ht="14.25" customHeight="1" x14ac:dyDescent="0.25">
      <c r="F461" s="489"/>
      <c r="G461" s="489"/>
      <c r="H461" s="489"/>
      <c r="I461" s="490"/>
      <c r="J461" s="491"/>
      <c r="K461" s="490"/>
      <c r="L461" s="491"/>
      <c r="M461" s="490"/>
      <c r="N461" s="491"/>
      <c r="O461" s="490"/>
      <c r="P461" s="491"/>
      <c r="Q461" s="490"/>
      <c r="R461" s="491"/>
      <c r="S461" s="491"/>
    </row>
    <row r="462" spans="6:19" ht="14.25" customHeight="1" x14ac:dyDescent="0.25">
      <c r="F462" s="489"/>
      <c r="G462" s="489"/>
      <c r="H462" s="489"/>
      <c r="I462" s="490"/>
      <c r="J462" s="491"/>
      <c r="K462" s="490"/>
      <c r="L462" s="491"/>
      <c r="M462" s="490"/>
      <c r="N462" s="491"/>
      <c r="O462" s="490"/>
      <c r="P462" s="491"/>
      <c r="Q462" s="490"/>
      <c r="R462" s="491"/>
      <c r="S462" s="491"/>
    </row>
    <row r="463" spans="6:19" ht="14.25" customHeight="1" x14ac:dyDescent="0.25">
      <c r="F463" s="489"/>
      <c r="G463" s="489"/>
      <c r="H463" s="489"/>
      <c r="I463" s="490"/>
      <c r="J463" s="491"/>
      <c r="K463" s="490"/>
      <c r="L463" s="491"/>
      <c r="M463" s="490"/>
      <c r="N463" s="491"/>
      <c r="O463" s="490"/>
      <c r="P463" s="491"/>
      <c r="Q463" s="490"/>
      <c r="R463" s="491"/>
      <c r="S463" s="491"/>
    </row>
    <row r="464" spans="6:19" ht="14.25" customHeight="1" x14ac:dyDescent="0.25">
      <c r="F464" s="489"/>
      <c r="G464" s="489"/>
      <c r="H464" s="489"/>
      <c r="I464" s="490"/>
      <c r="J464" s="491"/>
      <c r="K464" s="490"/>
      <c r="L464" s="491"/>
      <c r="M464" s="490"/>
      <c r="N464" s="491"/>
      <c r="O464" s="490"/>
      <c r="P464" s="491"/>
      <c r="Q464" s="490"/>
      <c r="R464" s="491"/>
      <c r="S464" s="491"/>
    </row>
    <row r="465" spans="6:19" ht="14.25" customHeight="1" x14ac:dyDescent="0.25">
      <c r="F465" s="489"/>
      <c r="G465" s="489"/>
      <c r="H465" s="489"/>
      <c r="I465" s="490"/>
      <c r="J465" s="491"/>
      <c r="K465" s="490"/>
      <c r="L465" s="491"/>
      <c r="M465" s="490"/>
      <c r="N465" s="491"/>
      <c r="O465" s="490"/>
      <c r="P465" s="491"/>
      <c r="Q465" s="490"/>
      <c r="R465" s="491"/>
      <c r="S465" s="491"/>
    </row>
    <row r="466" spans="6:19" ht="14.25" customHeight="1" x14ac:dyDescent="0.25">
      <c r="F466" s="489"/>
      <c r="G466" s="489"/>
      <c r="H466" s="489"/>
      <c r="I466" s="490"/>
      <c r="J466" s="491"/>
      <c r="K466" s="490"/>
      <c r="L466" s="491"/>
      <c r="M466" s="490"/>
      <c r="N466" s="491"/>
      <c r="O466" s="490"/>
      <c r="P466" s="491"/>
      <c r="Q466" s="490"/>
      <c r="R466" s="491"/>
      <c r="S466" s="491"/>
    </row>
    <row r="467" spans="6:19" ht="14.25" customHeight="1" x14ac:dyDescent="0.25">
      <c r="F467" s="489"/>
      <c r="G467" s="489"/>
      <c r="H467" s="489"/>
      <c r="I467" s="490"/>
      <c r="J467" s="491"/>
      <c r="K467" s="490"/>
      <c r="L467" s="491"/>
      <c r="M467" s="490"/>
      <c r="N467" s="491"/>
      <c r="O467" s="490"/>
      <c r="P467" s="491"/>
      <c r="Q467" s="490"/>
      <c r="R467" s="491"/>
      <c r="S467" s="491"/>
    </row>
    <row r="468" spans="6:19" ht="14.25" customHeight="1" x14ac:dyDescent="0.25">
      <c r="F468" s="489"/>
      <c r="G468" s="489"/>
      <c r="H468" s="489"/>
      <c r="I468" s="490"/>
      <c r="J468" s="491"/>
      <c r="K468" s="490"/>
      <c r="L468" s="491"/>
      <c r="M468" s="490"/>
      <c r="N468" s="491"/>
      <c r="O468" s="490"/>
      <c r="P468" s="491"/>
      <c r="Q468" s="490"/>
      <c r="R468" s="491"/>
      <c r="S468" s="491"/>
    </row>
    <row r="469" spans="6:19" ht="14.25" customHeight="1" x14ac:dyDescent="0.25">
      <c r="F469" s="489"/>
      <c r="G469" s="489"/>
      <c r="H469" s="489"/>
      <c r="I469" s="490"/>
      <c r="J469" s="491"/>
      <c r="K469" s="490"/>
      <c r="L469" s="491"/>
      <c r="M469" s="490"/>
      <c r="N469" s="491"/>
      <c r="O469" s="490"/>
      <c r="P469" s="491"/>
      <c r="Q469" s="490"/>
      <c r="R469" s="491"/>
      <c r="S469" s="491"/>
    </row>
    <row r="470" spans="6:19" ht="14.25" customHeight="1" x14ac:dyDescent="0.25">
      <c r="F470" s="489"/>
      <c r="G470" s="489"/>
      <c r="H470" s="489"/>
      <c r="I470" s="490"/>
      <c r="J470" s="491"/>
      <c r="K470" s="490"/>
      <c r="L470" s="491"/>
      <c r="M470" s="490"/>
      <c r="N470" s="491"/>
      <c r="O470" s="490"/>
      <c r="P470" s="491"/>
      <c r="Q470" s="490"/>
      <c r="R470" s="491"/>
      <c r="S470" s="491"/>
    </row>
    <row r="471" spans="6:19" ht="14.25" customHeight="1" x14ac:dyDescent="0.25">
      <c r="F471" s="489"/>
      <c r="G471" s="489"/>
      <c r="H471" s="489"/>
      <c r="I471" s="490"/>
      <c r="J471" s="491"/>
      <c r="K471" s="490"/>
      <c r="L471" s="491"/>
      <c r="M471" s="490"/>
      <c r="N471" s="491"/>
      <c r="O471" s="490"/>
      <c r="P471" s="491"/>
      <c r="Q471" s="490"/>
      <c r="R471" s="491"/>
      <c r="S471" s="491"/>
    </row>
    <row r="472" spans="6:19" ht="14.25" customHeight="1" x14ac:dyDescent="0.25">
      <c r="F472" s="489"/>
      <c r="G472" s="489"/>
      <c r="H472" s="489"/>
      <c r="I472" s="490"/>
      <c r="J472" s="491"/>
      <c r="K472" s="490"/>
      <c r="L472" s="491"/>
      <c r="M472" s="490"/>
      <c r="N472" s="491"/>
      <c r="O472" s="490"/>
      <c r="P472" s="491"/>
      <c r="Q472" s="490"/>
      <c r="R472" s="491"/>
      <c r="S472" s="491"/>
    </row>
    <row r="473" spans="6:19" ht="14.25" customHeight="1" x14ac:dyDescent="0.25">
      <c r="F473" s="489"/>
      <c r="G473" s="489"/>
      <c r="H473" s="489"/>
      <c r="I473" s="490"/>
      <c r="J473" s="491"/>
      <c r="K473" s="490"/>
      <c r="L473" s="491"/>
      <c r="M473" s="490"/>
      <c r="N473" s="491"/>
      <c r="O473" s="490"/>
      <c r="P473" s="491"/>
      <c r="Q473" s="490"/>
      <c r="R473" s="491"/>
      <c r="S473" s="491"/>
    </row>
    <row r="474" spans="6:19" ht="14.25" customHeight="1" x14ac:dyDescent="0.25">
      <c r="F474" s="489"/>
      <c r="G474" s="489"/>
      <c r="H474" s="489"/>
      <c r="I474" s="490"/>
      <c r="J474" s="491"/>
      <c r="K474" s="490"/>
      <c r="L474" s="491"/>
      <c r="M474" s="490"/>
      <c r="N474" s="491"/>
      <c r="O474" s="490"/>
      <c r="P474" s="491"/>
      <c r="Q474" s="490"/>
      <c r="R474" s="491"/>
      <c r="S474" s="491"/>
    </row>
    <row r="475" spans="6:19" ht="14.25" customHeight="1" x14ac:dyDescent="0.25">
      <c r="F475" s="489"/>
      <c r="G475" s="489"/>
      <c r="H475" s="489"/>
      <c r="I475" s="490"/>
      <c r="J475" s="491"/>
      <c r="K475" s="490"/>
      <c r="L475" s="491"/>
      <c r="M475" s="490"/>
      <c r="N475" s="491"/>
      <c r="O475" s="490"/>
      <c r="P475" s="491"/>
      <c r="Q475" s="490"/>
      <c r="R475" s="491"/>
      <c r="S475" s="491"/>
    </row>
    <row r="476" spans="6:19" ht="14.25" customHeight="1" x14ac:dyDescent="0.25">
      <c r="F476" s="489"/>
      <c r="G476" s="489"/>
      <c r="H476" s="489"/>
      <c r="I476" s="490"/>
      <c r="J476" s="491"/>
      <c r="K476" s="490"/>
      <c r="L476" s="491"/>
      <c r="M476" s="490"/>
      <c r="N476" s="491"/>
      <c r="O476" s="490"/>
      <c r="P476" s="491"/>
      <c r="Q476" s="490"/>
      <c r="R476" s="491"/>
      <c r="S476" s="491"/>
    </row>
    <row r="477" spans="6:19" ht="14.25" customHeight="1" x14ac:dyDescent="0.25">
      <c r="F477" s="489"/>
      <c r="G477" s="489"/>
      <c r="H477" s="489"/>
      <c r="I477" s="490"/>
      <c r="J477" s="491"/>
      <c r="K477" s="490"/>
      <c r="L477" s="491"/>
      <c r="M477" s="490"/>
      <c r="N477" s="491"/>
      <c r="O477" s="490"/>
      <c r="P477" s="491"/>
      <c r="Q477" s="490"/>
      <c r="R477" s="491"/>
      <c r="S477" s="491"/>
    </row>
    <row r="478" spans="6:19" ht="14.25" customHeight="1" x14ac:dyDescent="0.25">
      <c r="F478" s="489"/>
      <c r="G478" s="489"/>
      <c r="H478" s="489"/>
      <c r="I478" s="490"/>
      <c r="J478" s="491"/>
      <c r="K478" s="490"/>
      <c r="L478" s="491"/>
      <c r="M478" s="490"/>
      <c r="N478" s="491"/>
      <c r="O478" s="490"/>
      <c r="P478" s="491"/>
      <c r="Q478" s="490"/>
      <c r="R478" s="491"/>
      <c r="S478" s="491"/>
    </row>
    <row r="479" spans="6:19" ht="14.25" customHeight="1" x14ac:dyDescent="0.25">
      <c r="F479" s="489"/>
      <c r="G479" s="489"/>
      <c r="H479" s="489"/>
      <c r="I479" s="490"/>
      <c r="J479" s="491"/>
      <c r="K479" s="490"/>
      <c r="L479" s="491"/>
      <c r="M479" s="490"/>
      <c r="N479" s="491"/>
      <c r="O479" s="490"/>
      <c r="P479" s="491"/>
      <c r="Q479" s="490"/>
      <c r="R479" s="491"/>
      <c r="S479" s="491"/>
    </row>
    <row r="480" spans="6:19" ht="14.25" customHeight="1" x14ac:dyDescent="0.25">
      <c r="F480" s="489"/>
      <c r="G480" s="489"/>
      <c r="H480" s="489"/>
      <c r="I480" s="490"/>
      <c r="J480" s="491"/>
      <c r="K480" s="490"/>
      <c r="L480" s="491"/>
      <c r="M480" s="490"/>
      <c r="N480" s="491"/>
      <c r="O480" s="490"/>
      <c r="P480" s="491"/>
      <c r="Q480" s="490"/>
      <c r="R480" s="491"/>
      <c r="S480" s="491"/>
    </row>
    <row r="481" spans="6:19" ht="14.25" customHeight="1" x14ac:dyDescent="0.25">
      <c r="F481" s="489"/>
      <c r="G481" s="489"/>
      <c r="H481" s="489"/>
      <c r="I481" s="490"/>
      <c r="J481" s="491"/>
      <c r="K481" s="490"/>
      <c r="L481" s="491"/>
      <c r="M481" s="490"/>
      <c r="N481" s="491"/>
      <c r="O481" s="490"/>
      <c r="P481" s="491"/>
      <c r="Q481" s="490"/>
      <c r="R481" s="491"/>
      <c r="S481" s="491"/>
    </row>
    <row r="482" spans="6:19" ht="14.25" customHeight="1" x14ac:dyDescent="0.25">
      <c r="F482" s="489"/>
      <c r="G482" s="489"/>
      <c r="H482" s="489"/>
      <c r="I482" s="490"/>
      <c r="J482" s="491"/>
      <c r="K482" s="490"/>
      <c r="L482" s="491"/>
      <c r="M482" s="490"/>
      <c r="N482" s="491"/>
      <c r="O482" s="490"/>
      <c r="P482" s="491"/>
      <c r="Q482" s="490"/>
      <c r="R482" s="491"/>
      <c r="S482" s="491"/>
    </row>
    <row r="483" spans="6:19" ht="14.25" customHeight="1" x14ac:dyDescent="0.25">
      <c r="F483" s="489"/>
      <c r="G483" s="489"/>
      <c r="H483" s="489"/>
      <c r="I483" s="490"/>
      <c r="J483" s="491"/>
      <c r="K483" s="490"/>
      <c r="L483" s="491"/>
      <c r="M483" s="490"/>
      <c r="N483" s="491"/>
      <c r="O483" s="490"/>
      <c r="P483" s="491"/>
      <c r="Q483" s="490"/>
      <c r="R483" s="491"/>
      <c r="S483" s="491"/>
    </row>
    <row r="484" spans="6:19" ht="14.25" customHeight="1" x14ac:dyDescent="0.25">
      <c r="F484" s="489"/>
      <c r="G484" s="489"/>
      <c r="H484" s="489"/>
      <c r="I484" s="490"/>
      <c r="J484" s="491"/>
      <c r="K484" s="490"/>
      <c r="L484" s="491"/>
      <c r="M484" s="490"/>
      <c r="N484" s="491"/>
      <c r="O484" s="490"/>
      <c r="P484" s="491"/>
      <c r="Q484" s="490"/>
      <c r="R484" s="491"/>
      <c r="S484" s="491"/>
    </row>
    <row r="485" spans="6:19" ht="14.25" customHeight="1" x14ac:dyDescent="0.25">
      <c r="F485" s="489"/>
      <c r="G485" s="489"/>
      <c r="H485" s="489"/>
      <c r="I485" s="490"/>
      <c r="J485" s="491"/>
      <c r="K485" s="490"/>
      <c r="L485" s="491"/>
      <c r="M485" s="490"/>
      <c r="N485" s="491"/>
      <c r="O485" s="490"/>
      <c r="P485" s="491"/>
      <c r="Q485" s="490"/>
      <c r="R485" s="491"/>
      <c r="S485" s="491"/>
    </row>
    <row r="486" spans="6:19" ht="14.25" customHeight="1" x14ac:dyDescent="0.25">
      <c r="F486" s="489"/>
      <c r="G486" s="489"/>
      <c r="H486" s="489"/>
      <c r="I486" s="490"/>
      <c r="J486" s="491"/>
      <c r="K486" s="490"/>
      <c r="L486" s="491"/>
      <c r="M486" s="490"/>
      <c r="N486" s="491"/>
      <c r="O486" s="490"/>
      <c r="P486" s="491"/>
      <c r="Q486" s="490"/>
      <c r="R486" s="491"/>
      <c r="S486" s="491"/>
    </row>
    <row r="487" spans="6:19" ht="14.25" customHeight="1" x14ac:dyDescent="0.25">
      <c r="F487" s="489"/>
      <c r="G487" s="489"/>
      <c r="H487" s="489"/>
      <c r="I487" s="490"/>
      <c r="J487" s="491"/>
      <c r="K487" s="490"/>
      <c r="L487" s="491"/>
      <c r="M487" s="490"/>
      <c r="N487" s="491"/>
      <c r="O487" s="490"/>
      <c r="P487" s="491"/>
      <c r="Q487" s="490"/>
      <c r="R487" s="491"/>
      <c r="S487" s="491"/>
    </row>
    <row r="488" spans="6:19" ht="14.25" customHeight="1" x14ac:dyDescent="0.25">
      <c r="F488" s="489"/>
      <c r="G488" s="489"/>
      <c r="H488" s="489"/>
      <c r="I488" s="490"/>
      <c r="J488" s="491"/>
      <c r="K488" s="490"/>
      <c r="L488" s="491"/>
      <c r="M488" s="490"/>
      <c r="N488" s="491"/>
      <c r="O488" s="490"/>
      <c r="P488" s="491"/>
      <c r="Q488" s="490"/>
      <c r="R488" s="491"/>
      <c r="S488" s="491"/>
    </row>
    <row r="489" spans="6:19" ht="14.25" customHeight="1" x14ac:dyDescent="0.25">
      <c r="F489" s="489"/>
      <c r="G489" s="489"/>
      <c r="H489" s="489"/>
      <c r="I489" s="490"/>
      <c r="J489" s="491"/>
      <c r="K489" s="490"/>
      <c r="L489" s="491"/>
      <c r="M489" s="490"/>
      <c r="N489" s="491"/>
      <c r="O489" s="490"/>
      <c r="P489" s="491"/>
      <c r="Q489" s="490"/>
      <c r="R489" s="491"/>
      <c r="S489" s="491"/>
    </row>
    <row r="490" spans="6:19" ht="14.25" customHeight="1" x14ac:dyDescent="0.25">
      <c r="F490" s="489"/>
      <c r="G490" s="489"/>
      <c r="H490" s="489"/>
      <c r="I490" s="490"/>
      <c r="J490" s="491"/>
      <c r="K490" s="490"/>
      <c r="L490" s="491"/>
      <c r="M490" s="490"/>
      <c r="N490" s="491"/>
      <c r="O490" s="490"/>
      <c r="P490" s="491"/>
      <c r="Q490" s="490"/>
      <c r="R490" s="491"/>
      <c r="S490" s="491"/>
    </row>
    <row r="491" spans="6:19" ht="14.25" customHeight="1" x14ac:dyDescent="0.25">
      <c r="F491" s="489"/>
      <c r="G491" s="489"/>
      <c r="H491" s="489"/>
      <c r="I491" s="490"/>
      <c r="J491" s="491"/>
      <c r="K491" s="490"/>
      <c r="L491" s="491"/>
      <c r="M491" s="490"/>
      <c r="N491" s="491"/>
      <c r="O491" s="490"/>
      <c r="P491" s="491"/>
      <c r="Q491" s="490"/>
      <c r="R491" s="491"/>
      <c r="S491" s="491"/>
    </row>
    <row r="492" spans="6:19" ht="14.25" customHeight="1" x14ac:dyDescent="0.25">
      <c r="F492" s="489"/>
      <c r="G492" s="489"/>
      <c r="H492" s="489"/>
      <c r="I492" s="490"/>
      <c r="J492" s="491"/>
      <c r="K492" s="490"/>
      <c r="L492" s="491"/>
      <c r="M492" s="490"/>
      <c r="N492" s="491"/>
      <c r="O492" s="490"/>
      <c r="P492" s="491"/>
      <c r="Q492" s="490"/>
      <c r="R492" s="491"/>
      <c r="S492" s="491"/>
    </row>
    <row r="493" spans="6:19" ht="14.25" customHeight="1" x14ac:dyDescent="0.25">
      <c r="F493" s="489"/>
      <c r="G493" s="489"/>
      <c r="H493" s="489"/>
      <c r="I493" s="490"/>
      <c r="J493" s="491"/>
      <c r="K493" s="490"/>
      <c r="L493" s="491"/>
      <c r="M493" s="490"/>
      <c r="N493" s="491"/>
      <c r="O493" s="490"/>
      <c r="P493" s="491"/>
      <c r="Q493" s="490"/>
      <c r="R493" s="491"/>
      <c r="S493" s="491"/>
    </row>
    <row r="494" spans="6:19" ht="14.25" customHeight="1" x14ac:dyDescent="0.25">
      <c r="F494" s="489"/>
      <c r="G494" s="489"/>
      <c r="H494" s="489"/>
      <c r="I494" s="490"/>
      <c r="J494" s="491"/>
      <c r="K494" s="490"/>
      <c r="L494" s="491"/>
      <c r="M494" s="490"/>
      <c r="N494" s="491"/>
      <c r="O494" s="490"/>
      <c r="P494" s="491"/>
      <c r="Q494" s="490"/>
      <c r="R494" s="491"/>
      <c r="S494" s="491"/>
    </row>
    <row r="495" spans="6:19" ht="14.25" customHeight="1" x14ac:dyDescent="0.25">
      <c r="F495" s="489"/>
      <c r="G495" s="489"/>
      <c r="H495" s="489"/>
      <c r="I495" s="490"/>
      <c r="J495" s="491"/>
      <c r="K495" s="490"/>
      <c r="L495" s="491"/>
      <c r="M495" s="490"/>
      <c r="N495" s="491"/>
      <c r="O495" s="490"/>
      <c r="P495" s="491"/>
      <c r="Q495" s="490"/>
      <c r="R495" s="491"/>
      <c r="S495" s="491"/>
    </row>
    <row r="496" spans="6:19" ht="14.25" customHeight="1" x14ac:dyDescent="0.25">
      <c r="F496" s="489"/>
      <c r="G496" s="489"/>
      <c r="H496" s="489"/>
      <c r="I496" s="490"/>
      <c r="J496" s="491"/>
      <c r="K496" s="490"/>
      <c r="L496" s="491"/>
      <c r="M496" s="490"/>
      <c r="N496" s="491"/>
      <c r="O496" s="490"/>
      <c r="P496" s="491"/>
      <c r="Q496" s="490"/>
      <c r="R496" s="491"/>
      <c r="S496" s="491"/>
    </row>
    <row r="497" spans="6:19" ht="14.25" customHeight="1" x14ac:dyDescent="0.25">
      <c r="F497" s="489"/>
      <c r="G497" s="489"/>
      <c r="H497" s="489"/>
      <c r="I497" s="490"/>
      <c r="J497" s="491"/>
      <c r="K497" s="490"/>
      <c r="L497" s="491"/>
      <c r="M497" s="490"/>
      <c r="N497" s="491"/>
      <c r="O497" s="490"/>
      <c r="P497" s="491"/>
      <c r="Q497" s="490"/>
      <c r="R497" s="491"/>
      <c r="S497" s="491"/>
    </row>
    <row r="498" spans="6:19" ht="14.25" customHeight="1" x14ac:dyDescent="0.25">
      <c r="F498" s="489"/>
      <c r="G498" s="489"/>
      <c r="H498" s="489"/>
      <c r="I498" s="490"/>
      <c r="J498" s="491"/>
      <c r="K498" s="490"/>
      <c r="L498" s="491"/>
      <c r="M498" s="490"/>
      <c r="N498" s="491"/>
      <c r="O498" s="490"/>
      <c r="P498" s="491"/>
      <c r="Q498" s="490"/>
      <c r="R498" s="491"/>
      <c r="S498" s="491"/>
    </row>
    <row r="499" spans="6:19" ht="14.25" customHeight="1" x14ac:dyDescent="0.25">
      <c r="F499" s="489"/>
      <c r="G499" s="489"/>
      <c r="H499" s="489"/>
      <c r="I499" s="490"/>
      <c r="J499" s="491"/>
      <c r="K499" s="490"/>
      <c r="L499" s="491"/>
      <c r="M499" s="490"/>
      <c r="N499" s="491"/>
      <c r="O499" s="490"/>
      <c r="P499" s="491"/>
      <c r="Q499" s="490"/>
      <c r="R499" s="491"/>
      <c r="S499" s="491"/>
    </row>
    <row r="500" spans="6:19" ht="14.25" customHeight="1" x14ac:dyDescent="0.25">
      <c r="F500" s="489"/>
      <c r="G500" s="489"/>
      <c r="H500" s="489"/>
      <c r="I500" s="490"/>
      <c r="J500" s="491"/>
      <c r="K500" s="490"/>
      <c r="L500" s="491"/>
      <c r="M500" s="490"/>
      <c r="N500" s="491"/>
      <c r="O500" s="490"/>
      <c r="P500" s="491"/>
      <c r="Q500" s="490"/>
      <c r="R500" s="491"/>
      <c r="S500" s="491"/>
    </row>
    <row r="501" spans="6:19" ht="14.25" customHeight="1" x14ac:dyDescent="0.25">
      <c r="F501" s="489"/>
      <c r="G501" s="489"/>
      <c r="H501" s="489"/>
      <c r="I501" s="490"/>
      <c r="J501" s="491"/>
      <c r="K501" s="490"/>
      <c r="L501" s="491"/>
      <c r="M501" s="490"/>
      <c r="N501" s="491"/>
      <c r="O501" s="490"/>
      <c r="P501" s="491"/>
      <c r="Q501" s="490"/>
      <c r="R501" s="491"/>
      <c r="S501" s="491"/>
    </row>
    <row r="502" spans="6:19" ht="14.25" customHeight="1" x14ac:dyDescent="0.25">
      <c r="F502" s="489"/>
      <c r="G502" s="489"/>
      <c r="H502" s="489"/>
      <c r="I502" s="490"/>
      <c r="J502" s="491"/>
      <c r="K502" s="490"/>
      <c r="L502" s="491"/>
      <c r="M502" s="490"/>
      <c r="N502" s="491"/>
      <c r="O502" s="490"/>
      <c r="P502" s="491"/>
      <c r="Q502" s="490"/>
      <c r="R502" s="491"/>
      <c r="S502" s="491"/>
    </row>
    <row r="503" spans="6:19" ht="14.25" customHeight="1" x14ac:dyDescent="0.25">
      <c r="F503" s="489"/>
      <c r="G503" s="489"/>
      <c r="H503" s="489"/>
      <c r="I503" s="490"/>
      <c r="J503" s="491"/>
      <c r="K503" s="490"/>
      <c r="L503" s="491"/>
      <c r="M503" s="490"/>
      <c r="N503" s="491"/>
      <c r="O503" s="490"/>
      <c r="P503" s="491"/>
      <c r="Q503" s="490"/>
      <c r="R503" s="491"/>
      <c r="S503" s="491"/>
    </row>
    <row r="504" spans="6:19" ht="14.25" customHeight="1" x14ac:dyDescent="0.25">
      <c r="F504" s="489"/>
      <c r="G504" s="489"/>
      <c r="H504" s="489"/>
      <c r="I504" s="490"/>
      <c r="J504" s="491"/>
      <c r="K504" s="490"/>
      <c r="L504" s="491"/>
      <c r="M504" s="490"/>
      <c r="N504" s="491"/>
      <c r="O504" s="490"/>
      <c r="P504" s="491"/>
      <c r="Q504" s="490"/>
      <c r="R504" s="491"/>
      <c r="S504" s="491"/>
    </row>
    <row r="505" spans="6:19" ht="14.25" customHeight="1" x14ac:dyDescent="0.25">
      <c r="F505" s="489"/>
      <c r="G505" s="489"/>
      <c r="H505" s="489"/>
      <c r="I505" s="490"/>
      <c r="J505" s="491"/>
      <c r="K505" s="490"/>
      <c r="L505" s="491"/>
      <c r="M505" s="490"/>
      <c r="N505" s="491"/>
      <c r="O505" s="490"/>
      <c r="P505" s="491"/>
      <c r="Q505" s="490"/>
      <c r="R505" s="491"/>
      <c r="S505" s="491"/>
    </row>
    <row r="506" spans="6:19" ht="14.25" customHeight="1" x14ac:dyDescent="0.25">
      <c r="F506" s="489"/>
      <c r="G506" s="489"/>
      <c r="H506" s="489"/>
      <c r="I506" s="490"/>
      <c r="J506" s="491"/>
      <c r="K506" s="490"/>
      <c r="L506" s="491"/>
      <c r="M506" s="490"/>
      <c r="N506" s="491"/>
      <c r="O506" s="490"/>
      <c r="P506" s="491"/>
      <c r="Q506" s="490"/>
      <c r="R506" s="491"/>
      <c r="S506" s="491"/>
    </row>
    <row r="507" spans="6:19" ht="14.25" customHeight="1" x14ac:dyDescent="0.25">
      <c r="F507" s="489"/>
      <c r="G507" s="489"/>
      <c r="H507" s="489"/>
      <c r="I507" s="490"/>
      <c r="J507" s="491"/>
      <c r="K507" s="490"/>
      <c r="L507" s="491"/>
      <c r="M507" s="490"/>
      <c r="N507" s="491"/>
      <c r="O507" s="490"/>
      <c r="P507" s="491"/>
      <c r="Q507" s="490"/>
      <c r="R507" s="491"/>
      <c r="S507" s="491"/>
    </row>
    <row r="508" spans="6:19" ht="14.25" customHeight="1" x14ac:dyDescent="0.25">
      <c r="F508" s="489"/>
      <c r="G508" s="489"/>
      <c r="H508" s="489"/>
      <c r="I508" s="490"/>
      <c r="J508" s="491"/>
      <c r="K508" s="490"/>
      <c r="L508" s="491"/>
      <c r="M508" s="490"/>
      <c r="N508" s="491"/>
      <c r="O508" s="490"/>
      <c r="P508" s="491"/>
      <c r="Q508" s="490"/>
      <c r="R508" s="491"/>
      <c r="S508" s="491"/>
    </row>
    <row r="509" spans="6:19" ht="14.25" customHeight="1" x14ac:dyDescent="0.25">
      <c r="F509" s="489"/>
      <c r="G509" s="489"/>
      <c r="H509" s="489"/>
      <c r="I509" s="490"/>
      <c r="J509" s="491"/>
      <c r="K509" s="490"/>
      <c r="L509" s="491"/>
      <c r="M509" s="490"/>
      <c r="N509" s="491"/>
      <c r="O509" s="490"/>
      <c r="P509" s="491"/>
      <c r="Q509" s="490"/>
      <c r="R509" s="491"/>
      <c r="S509" s="491"/>
    </row>
    <row r="510" spans="6:19" ht="14.25" customHeight="1" x14ac:dyDescent="0.25">
      <c r="F510" s="489"/>
      <c r="G510" s="489"/>
      <c r="H510" s="489"/>
      <c r="I510" s="490"/>
      <c r="J510" s="491"/>
      <c r="K510" s="490"/>
      <c r="L510" s="491"/>
      <c r="M510" s="490"/>
      <c r="N510" s="491"/>
      <c r="O510" s="490"/>
      <c r="P510" s="491"/>
      <c r="Q510" s="490"/>
      <c r="R510" s="491"/>
      <c r="S510" s="491"/>
    </row>
    <row r="511" spans="6:19" ht="14.25" customHeight="1" x14ac:dyDescent="0.25">
      <c r="F511" s="489"/>
      <c r="G511" s="489"/>
      <c r="H511" s="489"/>
      <c r="I511" s="490"/>
      <c r="J511" s="491"/>
      <c r="K511" s="490"/>
      <c r="L511" s="491"/>
      <c r="M511" s="490"/>
      <c r="N511" s="491"/>
      <c r="O511" s="490"/>
      <c r="P511" s="491"/>
      <c r="Q511" s="490"/>
      <c r="R511" s="491"/>
      <c r="S511" s="491"/>
    </row>
    <row r="512" spans="6:19" ht="14.25" customHeight="1" x14ac:dyDescent="0.25">
      <c r="F512" s="489"/>
      <c r="G512" s="489"/>
      <c r="H512" s="489"/>
      <c r="I512" s="490"/>
      <c r="J512" s="491"/>
      <c r="K512" s="490"/>
      <c r="L512" s="491"/>
      <c r="M512" s="490"/>
      <c r="N512" s="491"/>
      <c r="O512" s="490"/>
      <c r="P512" s="491"/>
      <c r="Q512" s="490"/>
      <c r="R512" s="491"/>
      <c r="S512" s="491"/>
    </row>
    <row r="513" spans="6:19" ht="14.25" customHeight="1" x14ac:dyDescent="0.25">
      <c r="F513" s="489"/>
      <c r="G513" s="489"/>
      <c r="H513" s="489"/>
      <c r="I513" s="490"/>
      <c r="J513" s="491"/>
      <c r="K513" s="490"/>
      <c r="L513" s="491"/>
      <c r="M513" s="490"/>
      <c r="N513" s="491"/>
      <c r="O513" s="490"/>
      <c r="P513" s="491"/>
      <c r="Q513" s="490"/>
      <c r="R513" s="491"/>
      <c r="S513" s="491"/>
    </row>
    <row r="514" spans="6:19" ht="14.25" customHeight="1" x14ac:dyDescent="0.25">
      <c r="F514" s="489"/>
      <c r="G514" s="489"/>
      <c r="H514" s="489"/>
      <c r="I514" s="490"/>
      <c r="J514" s="491"/>
      <c r="K514" s="490"/>
      <c r="L514" s="491"/>
      <c r="M514" s="490"/>
      <c r="N514" s="491"/>
      <c r="O514" s="490"/>
      <c r="P514" s="491"/>
      <c r="Q514" s="490"/>
      <c r="R514" s="491"/>
      <c r="S514" s="491"/>
    </row>
    <row r="515" spans="6:19" ht="14.25" customHeight="1" x14ac:dyDescent="0.25">
      <c r="F515" s="489"/>
      <c r="G515" s="489"/>
      <c r="H515" s="489"/>
      <c r="I515" s="490"/>
      <c r="J515" s="491"/>
      <c r="K515" s="490"/>
      <c r="L515" s="491"/>
      <c r="M515" s="490"/>
      <c r="N515" s="491"/>
      <c r="O515" s="490"/>
      <c r="P515" s="491"/>
      <c r="Q515" s="490"/>
      <c r="R515" s="491"/>
      <c r="S515" s="491"/>
    </row>
    <row r="516" spans="6:19" ht="14.25" customHeight="1" x14ac:dyDescent="0.25">
      <c r="F516" s="489"/>
      <c r="G516" s="489"/>
      <c r="H516" s="489"/>
      <c r="I516" s="490"/>
      <c r="J516" s="491"/>
      <c r="K516" s="490"/>
      <c r="L516" s="491"/>
      <c r="M516" s="490"/>
      <c r="N516" s="491"/>
      <c r="O516" s="490"/>
      <c r="P516" s="491"/>
      <c r="Q516" s="490"/>
      <c r="R516" s="491"/>
      <c r="S516" s="491"/>
    </row>
    <row r="517" spans="6:19" ht="14.25" customHeight="1" x14ac:dyDescent="0.25">
      <c r="F517" s="489"/>
      <c r="G517" s="489"/>
      <c r="H517" s="489"/>
      <c r="I517" s="490"/>
      <c r="J517" s="491"/>
      <c r="K517" s="490"/>
      <c r="L517" s="491"/>
      <c r="M517" s="490"/>
      <c r="N517" s="491"/>
      <c r="O517" s="490"/>
      <c r="P517" s="491"/>
      <c r="Q517" s="490"/>
      <c r="R517" s="491"/>
      <c r="S517" s="491"/>
    </row>
    <row r="518" spans="6:19" ht="14.25" customHeight="1" x14ac:dyDescent="0.25">
      <c r="F518" s="489"/>
      <c r="G518" s="489"/>
      <c r="H518" s="489"/>
      <c r="I518" s="490"/>
      <c r="J518" s="491"/>
      <c r="K518" s="490"/>
      <c r="L518" s="491"/>
      <c r="M518" s="490"/>
      <c r="N518" s="491"/>
      <c r="O518" s="490"/>
      <c r="P518" s="491"/>
      <c r="Q518" s="490"/>
      <c r="R518" s="491"/>
      <c r="S518" s="491"/>
    </row>
    <row r="519" spans="6:19" ht="14.25" customHeight="1" x14ac:dyDescent="0.25">
      <c r="F519" s="489"/>
      <c r="G519" s="489"/>
      <c r="H519" s="489"/>
      <c r="I519" s="490"/>
      <c r="J519" s="491"/>
      <c r="K519" s="490"/>
      <c r="L519" s="491"/>
      <c r="M519" s="490"/>
      <c r="N519" s="491"/>
      <c r="O519" s="490"/>
      <c r="P519" s="491"/>
      <c r="Q519" s="490"/>
      <c r="R519" s="491"/>
      <c r="S519" s="491"/>
    </row>
    <row r="520" spans="6:19" ht="14.25" customHeight="1" x14ac:dyDescent="0.25">
      <c r="F520" s="489"/>
      <c r="G520" s="489"/>
      <c r="H520" s="489"/>
      <c r="I520" s="490"/>
      <c r="J520" s="491"/>
      <c r="K520" s="490"/>
      <c r="L520" s="491"/>
      <c r="M520" s="490"/>
      <c r="N520" s="491"/>
      <c r="O520" s="490"/>
      <c r="P520" s="491"/>
      <c r="Q520" s="490"/>
      <c r="R520" s="491"/>
      <c r="S520" s="491"/>
    </row>
    <row r="521" spans="6:19" ht="14.25" customHeight="1" x14ac:dyDescent="0.25">
      <c r="F521" s="489"/>
      <c r="G521" s="489"/>
      <c r="H521" s="489"/>
      <c r="I521" s="490"/>
      <c r="J521" s="491"/>
      <c r="K521" s="490"/>
      <c r="L521" s="491"/>
      <c r="M521" s="490"/>
      <c r="N521" s="491"/>
      <c r="O521" s="490"/>
      <c r="P521" s="491"/>
      <c r="Q521" s="490"/>
      <c r="R521" s="491"/>
      <c r="S521" s="491"/>
    </row>
    <row r="522" spans="6:19" ht="14.25" customHeight="1" x14ac:dyDescent="0.25">
      <c r="F522" s="489"/>
      <c r="G522" s="489"/>
      <c r="H522" s="489"/>
      <c r="I522" s="490"/>
      <c r="J522" s="491"/>
      <c r="K522" s="490"/>
      <c r="L522" s="491"/>
      <c r="M522" s="490"/>
      <c r="N522" s="491"/>
      <c r="O522" s="490"/>
      <c r="P522" s="491"/>
      <c r="Q522" s="490"/>
      <c r="R522" s="491"/>
      <c r="S522" s="491"/>
    </row>
    <row r="523" spans="6:19" ht="14.25" customHeight="1" x14ac:dyDescent="0.25">
      <c r="F523" s="489"/>
      <c r="G523" s="489"/>
      <c r="H523" s="489"/>
      <c r="I523" s="490"/>
      <c r="J523" s="491"/>
      <c r="K523" s="490"/>
      <c r="L523" s="491"/>
      <c r="M523" s="490"/>
      <c r="N523" s="491"/>
      <c r="O523" s="490"/>
      <c r="P523" s="491"/>
      <c r="Q523" s="490"/>
      <c r="R523" s="491"/>
      <c r="S523" s="491"/>
    </row>
    <row r="524" spans="6:19" ht="14.25" customHeight="1" x14ac:dyDescent="0.25">
      <c r="F524" s="489"/>
      <c r="G524" s="489"/>
      <c r="H524" s="489"/>
      <c r="I524" s="490"/>
      <c r="J524" s="491"/>
      <c r="K524" s="490"/>
      <c r="L524" s="491"/>
      <c r="M524" s="490"/>
      <c r="N524" s="491"/>
      <c r="O524" s="490"/>
      <c r="P524" s="491"/>
      <c r="Q524" s="490"/>
      <c r="R524" s="491"/>
      <c r="S524" s="491"/>
    </row>
    <row r="525" spans="6:19" ht="14.25" customHeight="1" x14ac:dyDescent="0.25">
      <c r="F525" s="489"/>
      <c r="G525" s="489"/>
      <c r="H525" s="489"/>
      <c r="I525" s="490"/>
      <c r="J525" s="491"/>
      <c r="K525" s="490"/>
      <c r="L525" s="491"/>
      <c r="M525" s="490"/>
      <c r="N525" s="491"/>
      <c r="O525" s="490"/>
      <c r="P525" s="491"/>
      <c r="Q525" s="490"/>
      <c r="R525" s="491"/>
      <c r="S525" s="491"/>
    </row>
    <row r="526" spans="6:19" ht="14.25" customHeight="1" x14ac:dyDescent="0.25">
      <c r="F526" s="489"/>
      <c r="G526" s="489"/>
      <c r="H526" s="489"/>
      <c r="I526" s="490"/>
      <c r="J526" s="491"/>
      <c r="K526" s="490"/>
      <c r="L526" s="491"/>
      <c r="M526" s="490"/>
      <c r="N526" s="491"/>
      <c r="O526" s="490"/>
      <c r="P526" s="491"/>
      <c r="Q526" s="490"/>
      <c r="R526" s="491"/>
      <c r="S526" s="491"/>
    </row>
    <row r="527" spans="6:19" ht="14.25" customHeight="1" x14ac:dyDescent="0.25">
      <c r="F527" s="489"/>
      <c r="G527" s="489"/>
      <c r="H527" s="489"/>
      <c r="I527" s="490"/>
      <c r="J527" s="491"/>
      <c r="K527" s="490"/>
      <c r="L527" s="491"/>
      <c r="M527" s="490"/>
      <c r="N527" s="491"/>
      <c r="O527" s="490"/>
      <c r="P527" s="491"/>
      <c r="Q527" s="490"/>
      <c r="R527" s="491"/>
      <c r="S527" s="491"/>
    </row>
    <row r="528" spans="6:19" ht="14.25" customHeight="1" x14ac:dyDescent="0.25">
      <c r="F528" s="489"/>
      <c r="G528" s="489"/>
      <c r="H528" s="489"/>
      <c r="I528" s="490"/>
      <c r="J528" s="491"/>
      <c r="K528" s="490"/>
      <c r="L528" s="491"/>
      <c r="M528" s="490"/>
      <c r="N528" s="491"/>
      <c r="O528" s="490"/>
      <c r="P528" s="491"/>
      <c r="Q528" s="490"/>
      <c r="R528" s="491"/>
      <c r="S528" s="491"/>
    </row>
    <row r="529" spans="6:19" ht="14.25" customHeight="1" x14ac:dyDescent="0.25">
      <c r="F529" s="489"/>
      <c r="G529" s="489"/>
      <c r="H529" s="489"/>
      <c r="I529" s="490"/>
      <c r="J529" s="491"/>
      <c r="K529" s="490"/>
      <c r="L529" s="491"/>
      <c r="M529" s="490"/>
      <c r="N529" s="491"/>
      <c r="O529" s="490"/>
      <c r="P529" s="491"/>
      <c r="Q529" s="490"/>
      <c r="R529" s="491"/>
      <c r="S529" s="491"/>
    </row>
    <row r="530" spans="6:19" ht="14.25" customHeight="1" x14ac:dyDescent="0.25">
      <c r="F530" s="489"/>
      <c r="G530" s="489"/>
      <c r="H530" s="489"/>
      <c r="I530" s="490"/>
      <c r="J530" s="491"/>
      <c r="K530" s="490"/>
      <c r="L530" s="491"/>
      <c r="M530" s="490"/>
      <c r="N530" s="491"/>
      <c r="O530" s="490"/>
      <c r="P530" s="491"/>
      <c r="Q530" s="490"/>
      <c r="R530" s="491"/>
      <c r="S530" s="491"/>
    </row>
    <row r="531" spans="6:19" ht="14.25" customHeight="1" x14ac:dyDescent="0.25">
      <c r="F531" s="489"/>
      <c r="G531" s="489"/>
      <c r="H531" s="489"/>
      <c r="I531" s="490"/>
      <c r="J531" s="491"/>
      <c r="K531" s="490"/>
      <c r="L531" s="491"/>
      <c r="M531" s="490"/>
      <c r="N531" s="491"/>
      <c r="O531" s="490"/>
      <c r="P531" s="491"/>
      <c r="Q531" s="490"/>
      <c r="R531" s="491"/>
      <c r="S531" s="491"/>
    </row>
    <row r="532" spans="6:19" ht="14.25" customHeight="1" x14ac:dyDescent="0.25">
      <c r="F532" s="489"/>
      <c r="G532" s="489"/>
      <c r="H532" s="489"/>
      <c r="I532" s="490"/>
      <c r="J532" s="491"/>
      <c r="K532" s="490"/>
      <c r="L532" s="491"/>
      <c r="M532" s="490"/>
      <c r="N532" s="491"/>
      <c r="O532" s="490"/>
      <c r="P532" s="491"/>
      <c r="Q532" s="490"/>
      <c r="R532" s="491"/>
      <c r="S532" s="491"/>
    </row>
    <row r="533" spans="6:19" ht="14.25" customHeight="1" x14ac:dyDescent="0.25">
      <c r="F533" s="489"/>
      <c r="G533" s="489"/>
      <c r="H533" s="489"/>
      <c r="I533" s="490"/>
      <c r="J533" s="491"/>
      <c r="K533" s="490"/>
      <c r="L533" s="491"/>
      <c r="M533" s="490"/>
      <c r="N533" s="491"/>
      <c r="O533" s="490"/>
      <c r="P533" s="491"/>
      <c r="Q533" s="490"/>
      <c r="R533" s="491"/>
      <c r="S533" s="491"/>
    </row>
    <row r="534" spans="6:19" ht="14.25" customHeight="1" x14ac:dyDescent="0.25">
      <c r="F534" s="489"/>
      <c r="G534" s="489"/>
      <c r="H534" s="489"/>
      <c r="I534" s="490"/>
      <c r="J534" s="491"/>
      <c r="K534" s="490"/>
      <c r="L534" s="491"/>
      <c r="M534" s="490"/>
      <c r="N534" s="491"/>
      <c r="O534" s="490"/>
      <c r="P534" s="491"/>
      <c r="Q534" s="490"/>
      <c r="R534" s="491"/>
      <c r="S534" s="491"/>
    </row>
    <row r="535" spans="6:19" ht="14.25" customHeight="1" x14ac:dyDescent="0.25">
      <c r="F535" s="489"/>
      <c r="G535" s="489"/>
      <c r="H535" s="489"/>
      <c r="I535" s="490"/>
      <c r="J535" s="491"/>
      <c r="K535" s="490"/>
      <c r="L535" s="491"/>
      <c r="M535" s="490"/>
      <c r="N535" s="491"/>
      <c r="O535" s="490"/>
      <c r="P535" s="491"/>
      <c r="Q535" s="490"/>
      <c r="R535" s="491"/>
      <c r="S535" s="491"/>
    </row>
    <row r="536" spans="6:19" ht="14.25" customHeight="1" x14ac:dyDescent="0.25">
      <c r="F536" s="489"/>
      <c r="G536" s="489"/>
      <c r="H536" s="489"/>
      <c r="I536" s="490"/>
      <c r="J536" s="491"/>
      <c r="K536" s="490"/>
      <c r="L536" s="491"/>
      <c r="M536" s="490"/>
      <c r="N536" s="491"/>
      <c r="O536" s="490"/>
      <c r="P536" s="491"/>
      <c r="Q536" s="490"/>
      <c r="R536" s="491"/>
      <c r="S536" s="491"/>
    </row>
    <row r="537" spans="6:19" ht="14.25" customHeight="1" x14ac:dyDescent="0.25">
      <c r="F537" s="489"/>
      <c r="G537" s="489"/>
      <c r="H537" s="489"/>
      <c r="I537" s="490"/>
      <c r="J537" s="491"/>
      <c r="K537" s="490"/>
      <c r="L537" s="491"/>
      <c r="M537" s="490"/>
      <c r="N537" s="491"/>
      <c r="O537" s="490"/>
      <c r="P537" s="491"/>
      <c r="Q537" s="490"/>
      <c r="R537" s="491"/>
      <c r="S537" s="491"/>
    </row>
    <row r="538" spans="6:19" ht="14.25" customHeight="1" x14ac:dyDescent="0.25">
      <c r="F538" s="489"/>
      <c r="G538" s="489"/>
      <c r="H538" s="489"/>
      <c r="I538" s="490"/>
      <c r="J538" s="491"/>
      <c r="K538" s="490"/>
      <c r="L538" s="491"/>
      <c r="M538" s="490"/>
      <c r="N538" s="491"/>
      <c r="O538" s="490"/>
      <c r="P538" s="491"/>
      <c r="Q538" s="490"/>
      <c r="R538" s="491"/>
      <c r="S538" s="491"/>
    </row>
    <row r="539" spans="6:19" ht="14.25" customHeight="1" x14ac:dyDescent="0.25">
      <c r="F539" s="489"/>
      <c r="G539" s="489"/>
      <c r="H539" s="489"/>
      <c r="I539" s="490"/>
      <c r="J539" s="491"/>
      <c r="K539" s="490"/>
      <c r="L539" s="491"/>
      <c r="M539" s="490"/>
      <c r="N539" s="491"/>
      <c r="O539" s="490"/>
      <c r="P539" s="491"/>
      <c r="Q539" s="490"/>
      <c r="R539" s="491"/>
      <c r="S539" s="491"/>
    </row>
    <row r="540" spans="6:19" ht="14.25" customHeight="1" x14ac:dyDescent="0.25">
      <c r="F540" s="489"/>
      <c r="G540" s="489"/>
      <c r="H540" s="489"/>
      <c r="I540" s="490"/>
      <c r="J540" s="491"/>
      <c r="K540" s="490"/>
      <c r="L540" s="491"/>
      <c r="M540" s="490"/>
      <c r="N540" s="491"/>
      <c r="O540" s="490"/>
      <c r="P540" s="491"/>
      <c r="Q540" s="490"/>
      <c r="R540" s="491"/>
      <c r="S540" s="491"/>
    </row>
    <row r="541" spans="6:19" ht="14.25" customHeight="1" x14ac:dyDescent="0.25">
      <c r="F541" s="489"/>
      <c r="G541" s="489"/>
      <c r="H541" s="489"/>
      <c r="I541" s="490"/>
      <c r="J541" s="491"/>
      <c r="K541" s="490"/>
      <c r="L541" s="491"/>
      <c r="M541" s="490"/>
      <c r="N541" s="491"/>
      <c r="O541" s="490"/>
      <c r="P541" s="491"/>
      <c r="Q541" s="490"/>
      <c r="R541" s="491"/>
      <c r="S541" s="491"/>
    </row>
    <row r="542" spans="6:19" ht="14.25" customHeight="1" x14ac:dyDescent="0.25">
      <c r="F542" s="489"/>
      <c r="G542" s="489"/>
      <c r="H542" s="489"/>
      <c r="I542" s="490"/>
      <c r="J542" s="491"/>
      <c r="K542" s="490"/>
      <c r="L542" s="491"/>
      <c r="M542" s="490"/>
      <c r="N542" s="491"/>
      <c r="O542" s="490"/>
      <c r="P542" s="491"/>
      <c r="Q542" s="490"/>
      <c r="R542" s="491"/>
      <c r="S542" s="491"/>
    </row>
    <row r="543" spans="6:19" ht="14.25" customHeight="1" x14ac:dyDescent="0.25">
      <c r="F543" s="489"/>
      <c r="G543" s="489"/>
      <c r="H543" s="489"/>
      <c r="I543" s="490"/>
      <c r="J543" s="491"/>
      <c r="K543" s="490"/>
      <c r="L543" s="491"/>
      <c r="M543" s="490"/>
      <c r="N543" s="491"/>
      <c r="O543" s="490"/>
      <c r="P543" s="491"/>
      <c r="Q543" s="490"/>
      <c r="R543" s="491"/>
      <c r="S543" s="491"/>
    </row>
    <row r="544" spans="6:19" ht="14.25" customHeight="1" x14ac:dyDescent="0.25">
      <c r="F544" s="489"/>
      <c r="G544" s="489"/>
      <c r="H544" s="489"/>
      <c r="I544" s="490"/>
      <c r="J544" s="491"/>
      <c r="K544" s="490"/>
      <c r="L544" s="491"/>
      <c r="M544" s="490"/>
      <c r="N544" s="491"/>
      <c r="O544" s="490"/>
      <c r="P544" s="491"/>
      <c r="Q544" s="490"/>
      <c r="R544" s="491"/>
      <c r="S544" s="491"/>
    </row>
    <row r="545" spans="6:19" ht="14.25" customHeight="1" x14ac:dyDescent="0.25">
      <c r="F545" s="489"/>
      <c r="G545" s="489"/>
      <c r="H545" s="489"/>
      <c r="I545" s="490"/>
      <c r="J545" s="491"/>
      <c r="K545" s="490"/>
      <c r="L545" s="491"/>
      <c r="M545" s="490"/>
      <c r="N545" s="491"/>
      <c r="O545" s="490"/>
      <c r="P545" s="491"/>
      <c r="Q545" s="490"/>
      <c r="R545" s="491"/>
      <c r="S545" s="491"/>
    </row>
    <row r="546" spans="6:19" ht="14.25" customHeight="1" x14ac:dyDescent="0.25">
      <c r="F546" s="489"/>
      <c r="G546" s="489"/>
      <c r="H546" s="489"/>
      <c r="I546" s="490"/>
      <c r="J546" s="491"/>
      <c r="K546" s="490"/>
      <c r="L546" s="491"/>
      <c r="M546" s="490"/>
      <c r="N546" s="491"/>
      <c r="O546" s="490"/>
      <c r="P546" s="491"/>
      <c r="Q546" s="490"/>
      <c r="R546" s="491"/>
      <c r="S546" s="491"/>
    </row>
    <row r="547" spans="6:19" ht="14.25" customHeight="1" x14ac:dyDescent="0.25">
      <c r="F547" s="489"/>
      <c r="G547" s="489"/>
      <c r="H547" s="489"/>
      <c r="I547" s="490"/>
      <c r="J547" s="491"/>
      <c r="K547" s="490"/>
      <c r="L547" s="491"/>
      <c r="M547" s="490"/>
      <c r="N547" s="491"/>
      <c r="O547" s="490"/>
      <c r="P547" s="491"/>
      <c r="Q547" s="490"/>
      <c r="R547" s="491"/>
      <c r="S547" s="491"/>
    </row>
    <row r="548" spans="6:19" ht="14.25" customHeight="1" x14ac:dyDescent="0.25">
      <c r="F548" s="489"/>
      <c r="G548" s="489"/>
      <c r="H548" s="489"/>
      <c r="I548" s="490"/>
      <c r="J548" s="491"/>
      <c r="K548" s="490"/>
      <c r="L548" s="491"/>
      <c r="M548" s="490"/>
      <c r="N548" s="491"/>
      <c r="O548" s="490"/>
      <c r="P548" s="491"/>
      <c r="Q548" s="490"/>
      <c r="R548" s="491"/>
      <c r="S548" s="491"/>
    </row>
    <row r="549" spans="6:19" ht="14.25" customHeight="1" x14ac:dyDescent="0.25">
      <c r="F549" s="489"/>
      <c r="G549" s="489"/>
      <c r="H549" s="489"/>
      <c r="I549" s="490"/>
      <c r="J549" s="491"/>
      <c r="K549" s="490"/>
      <c r="L549" s="491"/>
      <c r="M549" s="490"/>
      <c r="N549" s="491"/>
      <c r="O549" s="490"/>
      <c r="P549" s="491"/>
      <c r="Q549" s="490"/>
      <c r="R549" s="491"/>
      <c r="S549" s="491"/>
    </row>
    <row r="550" spans="6:19" ht="14.25" customHeight="1" x14ac:dyDescent="0.25">
      <c r="F550" s="489"/>
      <c r="G550" s="489"/>
      <c r="H550" s="489"/>
      <c r="I550" s="490"/>
      <c r="J550" s="491"/>
      <c r="K550" s="490"/>
      <c r="L550" s="491"/>
      <c r="M550" s="490"/>
      <c r="N550" s="491"/>
      <c r="O550" s="490"/>
      <c r="P550" s="491"/>
      <c r="Q550" s="490"/>
      <c r="R550" s="491"/>
      <c r="S550" s="491"/>
    </row>
    <row r="551" spans="6:19" ht="14.25" customHeight="1" x14ac:dyDescent="0.25">
      <c r="F551" s="489"/>
      <c r="G551" s="489"/>
      <c r="H551" s="489"/>
      <c r="I551" s="490"/>
      <c r="J551" s="491"/>
      <c r="K551" s="490"/>
      <c r="L551" s="491"/>
      <c r="M551" s="490"/>
      <c r="N551" s="491"/>
      <c r="O551" s="490"/>
      <c r="P551" s="491"/>
      <c r="Q551" s="490"/>
      <c r="R551" s="491"/>
      <c r="S551" s="491"/>
    </row>
    <row r="552" spans="6:19" ht="14.25" customHeight="1" x14ac:dyDescent="0.25">
      <c r="F552" s="489"/>
      <c r="G552" s="489"/>
      <c r="H552" s="489"/>
      <c r="I552" s="490"/>
      <c r="J552" s="491"/>
      <c r="K552" s="490"/>
      <c r="L552" s="491"/>
      <c r="M552" s="490"/>
      <c r="N552" s="491"/>
      <c r="O552" s="490"/>
      <c r="P552" s="491"/>
      <c r="Q552" s="490"/>
      <c r="R552" s="491"/>
      <c r="S552" s="491"/>
    </row>
    <row r="553" spans="6:19" ht="14.25" customHeight="1" x14ac:dyDescent="0.25">
      <c r="F553" s="489"/>
      <c r="G553" s="489"/>
      <c r="H553" s="489"/>
      <c r="I553" s="490"/>
      <c r="J553" s="491"/>
      <c r="K553" s="490"/>
      <c r="L553" s="491"/>
      <c r="M553" s="490"/>
      <c r="N553" s="491"/>
      <c r="O553" s="490"/>
      <c r="P553" s="491"/>
      <c r="Q553" s="490"/>
      <c r="R553" s="491"/>
      <c r="S553" s="491"/>
    </row>
    <row r="554" spans="6:19" ht="14.25" customHeight="1" x14ac:dyDescent="0.25">
      <c r="F554" s="489"/>
      <c r="G554" s="489"/>
      <c r="H554" s="489"/>
      <c r="I554" s="490"/>
      <c r="J554" s="491"/>
      <c r="K554" s="490"/>
      <c r="L554" s="491"/>
      <c r="M554" s="490"/>
      <c r="N554" s="491"/>
      <c r="O554" s="490"/>
      <c r="P554" s="491"/>
      <c r="Q554" s="490"/>
      <c r="R554" s="491"/>
      <c r="S554" s="491"/>
    </row>
    <row r="555" spans="6:19" ht="14.25" customHeight="1" x14ac:dyDescent="0.25">
      <c r="F555" s="489"/>
      <c r="G555" s="489"/>
      <c r="H555" s="489"/>
      <c r="I555" s="490"/>
      <c r="J555" s="491"/>
      <c r="K555" s="490"/>
      <c r="L555" s="491"/>
      <c r="M555" s="490"/>
      <c r="N555" s="491"/>
      <c r="O555" s="490"/>
      <c r="P555" s="491"/>
      <c r="Q555" s="490"/>
      <c r="R555" s="491"/>
      <c r="S555" s="491"/>
    </row>
    <row r="556" spans="6:19" ht="14.25" customHeight="1" x14ac:dyDescent="0.25">
      <c r="F556" s="489"/>
      <c r="G556" s="489"/>
      <c r="H556" s="489"/>
      <c r="I556" s="490"/>
      <c r="J556" s="491"/>
      <c r="K556" s="490"/>
      <c r="L556" s="491"/>
      <c r="M556" s="490"/>
      <c r="N556" s="491"/>
      <c r="O556" s="490"/>
      <c r="P556" s="491"/>
      <c r="Q556" s="490"/>
      <c r="R556" s="491"/>
      <c r="S556" s="491"/>
    </row>
    <row r="557" spans="6:19" ht="14.25" customHeight="1" x14ac:dyDescent="0.25">
      <c r="F557" s="489"/>
      <c r="G557" s="489"/>
      <c r="H557" s="489"/>
      <c r="I557" s="490"/>
      <c r="J557" s="491"/>
      <c r="K557" s="490"/>
      <c r="L557" s="491"/>
      <c r="M557" s="490"/>
      <c r="N557" s="491"/>
      <c r="O557" s="490"/>
      <c r="P557" s="491"/>
      <c r="Q557" s="490"/>
      <c r="R557" s="491"/>
      <c r="S557" s="491"/>
    </row>
    <row r="558" spans="6:19" ht="14.25" customHeight="1" x14ac:dyDescent="0.25">
      <c r="F558" s="489"/>
      <c r="G558" s="489"/>
      <c r="H558" s="489"/>
      <c r="I558" s="490"/>
      <c r="J558" s="491"/>
      <c r="K558" s="490"/>
      <c r="L558" s="491"/>
      <c r="M558" s="490"/>
      <c r="N558" s="491"/>
      <c r="O558" s="490"/>
      <c r="P558" s="491"/>
      <c r="Q558" s="490"/>
      <c r="R558" s="491"/>
      <c r="S558" s="491"/>
    </row>
    <row r="559" spans="6:19" ht="14.25" customHeight="1" x14ac:dyDescent="0.25">
      <c r="F559" s="489"/>
      <c r="G559" s="489"/>
      <c r="H559" s="489"/>
      <c r="I559" s="490"/>
      <c r="J559" s="491"/>
      <c r="K559" s="490"/>
      <c r="L559" s="491"/>
      <c r="M559" s="490"/>
      <c r="N559" s="491"/>
      <c r="O559" s="490"/>
      <c r="P559" s="491"/>
      <c r="Q559" s="490"/>
      <c r="R559" s="491"/>
      <c r="S559" s="491"/>
    </row>
    <row r="560" spans="6:19" ht="14.25" customHeight="1" x14ac:dyDescent="0.25">
      <c r="F560" s="489"/>
      <c r="G560" s="489"/>
      <c r="H560" s="489"/>
      <c r="I560" s="490"/>
      <c r="J560" s="491"/>
      <c r="K560" s="490"/>
      <c r="L560" s="491"/>
      <c r="M560" s="490"/>
      <c r="N560" s="491"/>
      <c r="O560" s="490"/>
      <c r="P560" s="491"/>
      <c r="Q560" s="490"/>
      <c r="R560" s="491"/>
      <c r="S560" s="491"/>
    </row>
    <row r="561" spans="6:19" ht="14.25" customHeight="1" x14ac:dyDescent="0.25">
      <c r="F561" s="489"/>
      <c r="G561" s="489"/>
      <c r="H561" s="489"/>
      <c r="I561" s="490"/>
      <c r="J561" s="491"/>
      <c r="K561" s="490"/>
      <c r="L561" s="491"/>
      <c r="M561" s="490"/>
      <c r="N561" s="491"/>
      <c r="O561" s="490"/>
      <c r="P561" s="491"/>
      <c r="Q561" s="490"/>
      <c r="R561" s="491"/>
      <c r="S561" s="491"/>
    </row>
    <row r="562" spans="6:19" ht="14.25" customHeight="1" x14ac:dyDescent="0.25">
      <c r="F562" s="489"/>
      <c r="G562" s="489"/>
      <c r="H562" s="489"/>
      <c r="I562" s="490"/>
      <c r="J562" s="491"/>
      <c r="K562" s="490"/>
      <c r="L562" s="491"/>
      <c r="M562" s="490"/>
      <c r="N562" s="491"/>
      <c r="O562" s="490"/>
      <c r="P562" s="491"/>
      <c r="Q562" s="490"/>
      <c r="R562" s="491"/>
      <c r="S562" s="491"/>
    </row>
    <row r="563" spans="6:19" ht="14.25" customHeight="1" x14ac:dyDescent="0.25">
      <c r="F563" s="489"/>
      <c r="G563" s="489"/>
      <c r="H563" s="489"/>
      <c r="I563" s="490"/>
      <c r="J563" s="491"/>
      <c r="K563" s="490"/>
      <c r="L563" s="491"/>
      <c r="M563" s="490"/>
      <c r="N563" s="491"/>
      <c r="O563" s="490"/>
      <c r="P563" s="491"/>
      <c r="Q563" s="490"/>
      <c r="R563" s="491"/>
      <c r="S563" s="491"/>
    </row>
    <row r="564" spans="6:19" ht="14.25" customHeight="1" x14ac:dyDescent="0.25">
      <c r="F564" s="489"/>
      <c r="G564" s="489"/>
      <c r="H564" s="489"/>
      <c r="I564" s="490"/>
      <c r="J564" s="491"/>
      <c r="K564" s="490"/>
      <c r="L564" s="491"/>
      <c r="M564" s="490"/>
      <c r="N564" s="491"/>
      <c r="O564" s="490"/>
      <c r="P564" s="491"/>
      <c r="Q564" s="490"/>
      <c r="R564" s="491"/>
      <c r="S564" s="491"/>
    </row>
    <row r="565" spans="6:19" ht="14.25" customHeight="1" x14ac:dyDescent="0.25">
      <c r="F565" s="489"/>
      <c r="G565" s="489"/>
      <c r="H565" s="489"/>
      <c r="I565" s="490"/>
      <c r="J565" s="491"/>
      <c r="K565" s="490"/>
      <c r="L565" s="491"/>
      <c r="M565" s="490"/>
      <c r="N565" s="491"/>
      <c r="O565" s="490"/>
      <c r="P565" s="491"/>
      <c r="Q565" s="490"/>
      <c r="R565" s="491"/>
      <c r="S565" s="491"/>
    </row>
    <row r="566" spans="6:19" ht="14.25" customHeight="1" x14ac:dyDescent="0.25">
      <c r="F566" s="489"/>
      <c r="G566" s="489"/>
      <c r="H566" s="489"/>
      <c r="I566" s="490"/>
      <c r="J566" s="491"/>
      <c r="K566" s="490"/>
      <c r="L566" s="491"/>
      <c r="M566" s="490"/>
      <c r="N566" s="491"/>
      <c r="O566" s="490"/>
      <c r="P566" s="491"/>
      <c r="Q566" s="490"/>
      <c r="R566" s="491"/>
      <c r="S566" s="491"/>
    </row>
    <row r="567" spans="6:19" ht="14.25" customHeight="1" x14ac:dyDescent="0.25">
      <c r="F567" s="489"/>
      <c r="G567" s="489"/>
      <c r="H567" s="489"/>
      <c r="I567" s="490"/>
      <c r="J567" s="491"/>
      <c r="K567" s="490"/>
      <c r="L567" s="491"/>
      <c r="M567" s="490"/>
      <c r="N567" s="491"/>
      <c r="O567" s="490"/>
      <c r="P567" s="491"/>
      <c r="Q567" s="490"/>
      <c r="R567" s="491"/>
      <c r="S567" s="491"/>
    </row>
    <row r="568" spans="6:19" ht="14.25" customHeight="1" x14ac:dyDescent="0.25">
      <c r="F568" s="489"/>
      <c r="G568" s="489"/>
      <c r="H568" s="489"/>
      <c r="I568" s="490"/>
      <c r="J568" s="491"/>
      <c r="K568" s="490"/>
      <c r="L568" s="491"/>
      <c r="M568" s="490"/>
      <c r="N568" s="491"/>
      <c r="O568" s="490"/>
      <c r="P568" s="491"/>
      <c r="Q568" s="490"/>
      <c r="R568" s="491"/>
      <c r="S568" s="491"/>
    </row>
    <row r="569" spans="6:19" ht="14.25" customHeight="1" x14ac:dyDescent="0.25">
      <c r="F569" s="489"/>
      <c r="G569" s="489"/>
      <c r="H569" s="489"/>
      <c r="I569" s="490"/>
      <c r="J569" s="491"/>
      <c r="K569" s="490"/>
      <c r="L569" s="491"/>
      <c r="M569" s="490"/>
      <c r="N569" s="491"/>
      <c r="O569" s="490"/>
      <c r="P569" s="491"/>
      <c r="Q569" s="490"/>
      <c r="R569" s="491"/>
      <c r="S569" s="491"/>
    </row>
    <row r="570" spans="6:19" ht="14.25" customHeight="1" x14ac:dyDescent="0.25">
      <c r="F570" s="489"/>
      <c r="G570" s="489"/>
      <c r="H570" s="489"/>
      <c r="I570" s="490"/>
      <c r="J570" s="491"/>
      <c r="K570" s="490"/>
      <c r="L570" s="491"/>
      <c r="M570" s="490"/>
      <c r="N570" s="491"/>
      <c r="O570" s="490"/>
      <c r="P570" s="491"/>
      <c r="Q570" s="490"/>
      <c r="R570" s="491"/>
      <c r="S570" s="491"/>
    </row>
    <row r="571" spans="6:19" ht="14.25" customHeight="1" x14ac:dyDescent="0.25">
      <c r="F571" s="489"/>
      <c r="G571" s="489"/>
      <c r="H571" s="489"/>
      <c r="I571" s="490"/>
      <c r="J571" s="491"/>
      <c r="K571" s="490"/>
      <c r="L571" s="491"/>
      <c r="M571" s="490"/>
      <c r="N571" s="491"/>
      <c r="O571" s="490"/>
      <c r="P571" s="491"/>
      <c r="Q571" s="490"/>
      <c r="R571" s="491"/>
      <c r="S571" s="491"/>
    </row>
    <row r="572" spans="6:19" ht="14.25" customHeight="1" x14ac:dyDescent="0.25">
      <c r="F572" s="489"/>
      <c r="G572" s="489"/>
      <c r="H572" s="489"/>
      <c r="I572" s="490"/>
      <c r="J572" s="491"/>
      <c r="K572" s="490"/>
      <c r="L572" s="491"/>
      <c r="M572" s="490"/>
      <c r="N572" s="491"/>
      <c r="O572" s="490"/>
      <c r="P572" s="491"/>
      <c r="Q572" s="490"/>
      <c r="R572" s="491"/>
      <c r="S572" s="491"/>
    </row>
    <row r="573" spans="6:19" ht="14.25" customHeight="1" x14ac:dyDescent="0.25">
      <c r="F573" s="489"/>
      <c r="G573" s="489"/>
      <c r="H573" s="489"/>
      <c r="I573" s="490"/>
      <c r="J573" s="491"/>
      <c r="K573" s="490"/>
      <c r="L573" s="491"/>
      <c r="M573" s="490"/>
      <c r="N573" s="491"/>
      <c r="O573" s="490"/>
      <c r="P573" s="491"/>
      <c r="Q573" s="490"/>
      <c r="R573" s="491"/>
      <c r="S573" s="491"/>
    </row>
    <row r="574" spans="6:19" ht="14.25" customHeight="1" x14ac:dyDescent="0.25">
      <c r="F574" s="489"/>
      <c r="G574" s="489"/>
      <c r="H574" s="489"/>
      <c r="I574" s="490"/>
      <c r="J574" s="491"/>
      <c r="K574" s="490"/>
      <c r="L574" s="491"/>
      <c r="M574" s="490"/>
      <c r="N574" s="491"/>
      <c r="O574" s="490"/>
      <c r="P574" s="491"/>
      <c r="Q574" s="490"/>
      <c r="R574" s="491"/>
      <c r="S574" s="491"/>
    </row>
    <row r="575" spans="6:19" ht="14.25" customHeight="1" x14ac:dyDescent="0.25">
      <c r="F575" s="489"/>
      <c r="G575" s="489"/>
      <c r="H575" s="489"/>
      <c r="I575" s="490"/>
      <c r="J575" s="491"/>
      <c r="K575" s="490"/>
      <c r="L575" s="491"/>
      <c r="M575" s="490"/>
      <c r="N575" s="491"/>
      <c r="O575" s="490"/>
      <c r="P575" s="491"/>
      <c r="Q575" s="490"/>
      <c r="R575" s="491"/>
      <c r="S575" s="491"/>
    </row>
    <row r="576" spans="6:19" ht="14.25" customHeight="1" x14ac:dyDescent="0.25">
      <c r="F576" s="489"/>
      <c r="G576" s="489"/>
      <c r="H576" s="489"/>
      <c r="I576" s="490"/>
      <c r="J576" s="491"/>
      <c r="K576" s="490"/>
      <c r="L576" s="491"/>
      <c r="M576" s="490"/>
      <c r="N576" s="491"/>
      <c r="O576" s="490"/>
      <c r="P576" s="491"/>
      <c r="Q576" s="490"/>
      <c r="R576" s="491"/>
      <c r="S576" s="491"/>
    </row>
    <row r="577" spans="6:19" ht="14.25" customHeight="1" x14ac:dyDescent="0.25">
      <c r="F577" s="489"/>
      <c r="G577" s="489"/>
      <c r="H577" s="489"/>
      <c r="I577" s="490"/>
      <c r="J577" s="491"/>
      <c r="K577" s="490"/>
      <c r="L577" s="491"/>
      <c r="M577" s="490"/>
      <c r="N577" s="491"/>
      <c r="O577" s="490"/>
      <c r="P577" s="491"/>
      <c r="Q577" s="490"/>
      <c r="R577" s="491"/>
      <c r="S577" s="491"/>
    </row>
    <row r="578" spans="6:19" ht="14.25" customHeight="1" x14ac:dyDescent="0.25">
      <c r="F578" s="489"/>
      <c r="G578" s="489"/>
      <c r="H578" s="489"/>
      <c r="I578" s="490"/>
      <c r="J578" s="491"/>
      <c r="K578" s="490"/>
      <c r="L578" s="491"/>
      <c r="M578" s="490"/>
      <c r="N578" s="491"/>
      <c r="O578" s="490"/>
      <c r="P578" s="491"/>
      <c r="Q578" s="490"/>
      <c r="R578" s="491"/>
      <c r="S578" s="491"/>
    </row>
    <row r="579" spans="6:19" ht="14.25" customHeight="1" x14ac:dyDescent="0.25">
      <c r="F579" s="489"/>
      <c r="G579" s="489"/>
      <c r="H579" s="489"/>
      <c r="I579" s="490"/>
      <c r="J579" s="491"/>
      <c r="K579" s="490"/>
      <c r="L579" s="491"/>
      <c r="M579" s="490"/>
      <c r="N579" s="491"/>
      <c r="O579" s="490"/>
      <c r="P579" s="491"/>
      <c r="Q579" s="490"/>
      <c r="R579" s="491"/>
      <c r="S579" s="491"/>
    </row>
    <row r="580" spans="6:19" ht="14.25" customHeight="1" x14ac:dyDescent="0.25">
      <c r="F580" s="489"/>
      <c r="G580" s="489"/>
      <c r="H580" s="489"/>
      <c r="I580" s="490"/>
      <c r="J580" s="491"/>
      <c r="K580" s="490"/>
      <c r="L580" s="491"/>
      <c r="M580" s="490"/>
      <c r="N580" s="491"/>
      <c r="O580" s="490"/>
      <c r="P580" s="491"/>
      <c r="Q580" s="490"/>
      <c r="R580" s="491"/>
      <c r="S580" s="491"/>
    </row>
    <row r="581" spans="6:19" ht="14.25" customHeight="1" x14ac:dyDescent="0.25">
      <c r="F581" s="489"/>
      <c r="G581" s="489"/>
      <c r="H581" s="489"/>
      <c r="I581" s="490"/>
      <c r="J581" s="491"/>
      <c r="K581" s="490"/>
      <c r="L581" s="491"/>
      <c r="M581" s="490"/>
      <c r="N581" s="491"/>
      <c r="O581" s="490"/>
      <c r="P581" s="491"/>
      <c r="Q581" s="490"/>
      <c r="R581" s="491"/>
      <c r="S581" s="491"/>
    </row>
    <row r="582" spans="6:19" ht="14.25" customHeight="1" x14ac:dyDescent="0.25">
      <c r="F582" s="489"/>
      <c r="G582" s="489"/>
      <c r="H582" s="489"/>
      <c r="I582" s="490"/>
      <c r="J582" s="491"/>
      <c r="K582" s="490"/>
      <c r="L582" s="491"/>
      <c r="M582" s="490"/>
      <c r="N582" s="491"/>
      <c r="O582" s="490"/>
      <c r="P582" s="491"/>
      <c r="Q582" s="490"/>
      <c r="R582" s="491"/>
      <c r="S582" s="491"/>
    </row>
  </sheetData>
  <mergeCells count="4">
    <mergeCell ref="A1:W1"/>
    <mergeCell ref="F2:G2"/>
    <mergeCell ref="A3:A5"/>
    <mergeCell ref="A6:A8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9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37" sqref="O37"/>
    </sheetView>
  </sheetViews>
  <sheetFormatPr defaultColWidth="14.44140625" defaultRowHeight="15" customHeight="1" x14ac:dyDescent="0.3"/>
  <cols>
    <col min="1" max="1" width="14.77734375" bestFit="1" customWidth="1"/>
    <col min="2" max="2" width="68.6640625" bestFit="1" customWidth="1"/>
    <col min="3" max="3" width="26.44140625" style="392" customWidth="1"/>
    <col min="4" max="4" width="14.33203125" customWidth="1"/>
    <col min="5" max="5" width="9.44140625" style="20" customWidth="1"/>
    <col min="6" max="6" width="11.21875" style="20" bestFit="1" customWidth="1"/>
    <col min="7" max="7" width="14.77734375" style="59" bestFit="1" customWidth="1"/>
    <col min="8" max="8" width="9.5546875" style="18" bestFit="1" customWidth="1"/>
    <col min="9" max="9" width="13.77734375" style="18" customWidth="1"/>
    <col min="10" max="10" width="7.88671875" style="18" bestFit="1" customWidth="1"/>
    <col min="11" max="11" width="14.21875" style="162" customWidth="1"/>
    <col min="12" max="12" width="10.6640625" style="18" bestFit="1" customWidth="1"/>
    <col min="13" max="13" width="7.44140625" style="18" bestFit="1" customWidth="1"/>
    <col min="14" max="14" width="13.77734375" style="162" customWidth="1"/>
    <col min="15" max="15" width="16.77734375" style="60" bestFit="1" customWidth="1"/>
    <col min="16" max="16" width="13.5546875" bestFit="1" customWidth="1"/>
    <col min="17" max="17" width="8.44140625" bestFit="1" customWidth="1"/>
  </cols>
  <sheetData>
    <row r="1" spans="1:17" ht="48" customHeight="1" thickBot="1" x14ac:dyDescent="0.35">
      <c r="A1" s="590" t="s">
        <v>98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2"/>
    </row>
    <row r="2" spans="1:17" ht="25.5" customHeight="1" thickBot="1" x14ac:dyDescent="0.35">
      <c r="A2" s="170" t="s">
        <v>21</v>
      </c>
      <c r="B2" s="351" t="s">
        <v>20</v>
      </c>
      <c r="C2" s="396" t="s">
        <v>19</v>
      </c>
      <c r="D2" s="171" t="s">
        <v>18</v>
      </c>
      <c r="E2" s="500" t="s">
        <v>17</v>
      </c>
      <c r="F2" s="500" t="s">
        <v>16</v>
      </c>
      <c r="G2" s="172" t="s">
        <v>15</v>
      </c>
      <c r="H2" s="171" t="s">
        <v>14</v>
      </c>
      <c r="I2" s="171" t="s">
        <v>11</v>
      </c>
      <c r="J2" s="171" t="s">
        <v>10</v>
      </c>
      <c r="K2" s="173" t="s">
        <v>13</v>
      </c>
      <c r="L2" s="171" t="s">
        <v>11</v>
      </c>
      <c r="M2" s="171" t="s">
        <v>10</v>
      </c>
      <c r="N2" s="173" t="s">
        <v>12</v>
      </c>
      <c r="O2" s="445" t="s">
        <v>86</v>
      </c>
      <c r="P2" s="176" t="s">
        <v>87</v>
      </c>
      <c r="Q2" s="174" t="s">
        <v>10</v>
      </c>
    </row>
    <row r="3" spans="1:17" s="397" customFormat="1" ht="14.4" x14ac:dyDescent="0.3">
      <c r="A3" s="521" t="str">
        <f>'PELE DE VIDRO'!B3</f>
        <v>J05 - LOTE 1</v>
      </c>
      <c r="B3" s="522" t="s">
        <v>100</v>
      </c>
      <c r="C3" s="523" t="str">
        <f>'PELE DE VIDRO'!D3</f>
        <v>Pav. Tipo do 2º ao 14</v>
      </c>
      <c r="D3" s="524">
        <f>SUM('PELE DE VIDRO'!E3:E5)/3</f>
        <v>108</v>
      </c>
      <c r="E3" s="525">
        <f>'PELE DE VIDRO'!F3*3</f>
        <v>2.59998</v>
      </c>
      <c r="F3" s="561">
        <f>'PELE DE VIDRO'!G3</f>
        <v>2.8</v>
      </c>
      <c r="G3" s="526">
        <f t="shared" ref="G3" si="0">SUM(E3*F3*D3)</f>
        <v>786.23395199999993</v>
      </c>
      <c r="H3" s="527">
        <f>SUM(D3)</f>
        <v>108</v>
      </c>
      <c r="I3" s="528">
        <f>H3-D3</f>
        <v>0</v>
      </c>
      <c r="J3" s="529">
        <f>H3/H3</f>
        <v>1</v>
      </c>
      <c r="K3" s="530">
        <f>SUM('PELE DE VIDRO'!S3:S5)/3</f>
        <v>64.666666666666671</v>
      </c>
      <c r="L3" s="528">
        <f>H3-K3</f>
        <v>43.333333333333329</v>
      </c>
      <c r="M3" s="558">
        <f>K3/D3</f>
        <v>0.59876543209876543</v>
      </c>
      <c r="N3" s="530">
        <f>SUM('PELE DE VIDRO'!U3:U5)/3</f>
        <v>47</v>
      </c>
      <c r="O3" s="531">
        <f>SUM(E3*F3*N3)</f>
        <v>342.15736799999996</v>
      </c>
      <c r="P3" s="532">
        <f>G3-O3</f>
        <v>444.07658399999997</v>
      </c>
      <c r="Q3" s="555">
        <f>SUM(O3/G3)</f>
        <v>0.43518518518518517</v>
      </c>
    </row>
    <row r="4" spans="1:17" s="397" customFormat="1" ht="14.4" x14ac:dyDescent="0.3">
      <c r="A4" s="516" t="str">
        <f>'PELE DE VIDRO'!B6</f>
        <v>J05 - LOTE 2</v>
      </c>
      <c r="B4" s="516" t="s">
        <v>101</v>
      </c>
      <c r="C4" s="401" t="str">
        <f>'PELE DE VIDRO'!D6</f>
        <v>Pav. Tipo do 2º ao 14</v>
      </c>
      <c r="D4" s="410">
        <f>SUM('PELE DE VIDRO'!E6:E8)/3</f>
        <v>108</v>
      </c>
      <c r="E4" s="517">
        <f>'PELE DE VIDRO'!F6*3</f>
        <v>2.59998</v>
      </c>
      <c r="F4" s="517">
        <f>'PELE DE VIDRO'!G6</f>
        <v>2.8</v>
      </c>
      <c r="G4" s="496">
        <f>SUM(E4*F4*D4)</f>
        <v>786.23395199999993</v>
      </c>
      <c r="H4" s="533">
        <f>D4</f>
        <v>108</v>
      </c>
      <c r="I4" s="534">
        <f>D4-H4</f>
        <v>0</v>
      </c>
      <c r="J4" s="535">
        <f>H4/H4</f>
        <v>1</v>
      </c>
      <c r="K4" s="536">
        <f>SUM('PELE DE VIDRO'!S6:S8)/3</f>
        <v>0</v>
      </c>
      <c r="L4" s="534">
        <f>H4-K4</f>
        <v>108</v>
      </c>
      <c r="M4" s="559">
        <f>K4/D4</f>
        <v>0</v>
      </c>
      <c r="N4" s="536">
        <f>SUM('PELE DE VIDRO'!U6:U8)/3</f>
        <v>0</v>
      </c>
      <c r="O4" s="537">
        <f>SUM(E4*F4*N4)</f>
        <v>0</v>
      </c>
      <c r="P4" s="538">
        <f>G4-O4</f>
        <v>786.23395199999993</v>
      </c>
      <c r="Q4" s="556">
        <f>O4/G4</f>
        <v>0</v>
      </c>
    </row>
    <row r="5" spans="1:17" s="397" customFormat="1" ht="14.25" customHeight="1" x14ac:dyDescent="0.3">
      <c r="A5" s="436"/>
      <c r="B5" s="436"/>
      <c r="C5" s="401"/>
      <c r="D5" s="410"/>
      <c r="E5" s="517"/>
      <c r="F5" s="503"/>
      <c r="G5" s="496"/>
      <c r="H5" s="167"/>
      <c r="I5" s="196"/>
      <c r="J5" s="166"/>
      <c r="K5" s="168"/>
      <c r="L5" s="196"/>
      <c r="M5" s="560"/>
      <c r="N5" s="168"/>
      <c r="O5" s="444"/>
      <c r="P5" s="165"/>
      <c r="Q5" s="557"/>
    </row>
    <row r="6" spans="1:17" s="397" customFormat="1" ht="14.25" customHeight="1" x14ac:dyDescent="0.3">
      <c r="A6" s="436"/>
      <c r="B6" s="410"/>
      <c r="C6" s="400"/>
      <c r="D6" s="493"/>
      <c r="E6" s="517"/>
      <c r="F6" s="401"/>
      <c r="G6" s="496"/>
      <c r="H6" s="167"/>
      <c r="I6" s="196"/>
      <c r="J6" s="166"/>
      <c r="K6" s="168"/>
      <c r="L6" s="196"/>
      <c r="M6" s="560"/>
      <c r="N6" s="168"/>
      <c r="O6" s="444"/>
      <c r="P6" s="165"/>
      <c r="Q6" s="557"/>
    </row>
    <row r="7" spans="1:17" s="397" customFormat="1" ht="14.4" x14ac:dyDescent="0.3">
      <c r="A7" s="436"/>
      <c r="B7" s="410"/>
      <c r="C7" s="400"/>
      <c r="D7" s="493"/>
      <c r="E7" s="517"/>
      <c r="F7" s="401"/>
      <c r="G7" s="496"/>
      <c r="H7" s="167"/>
      <c r="I7" s="196"/>
      <c r="J7" s="166"/>
      <c r="K7" s="168"/>
      <c r="L7" s="196"/>
      <c r="M7" s="560"/>
      <c r="N7" s="168"/>
      <c r="O7" s="444"/>
      <c r="P7" s="165"/>
      <c r="Q7" s="557"/>
    </row>
    <row r="8" spans="1:17" s="397" customFormat="1" ht="14.4" x14ac:dyDescent="0.3">
      <c r="A8" s="436"/>
      <c r="B8" s="410"/>
      <c r="C8" s="400"/>
      <c r="D8" s="493"/>
      <c r="E8" s="517"/>
      <c r="F8" s="401"/>
      <c r="G8" s="496"/>
      <c r="H8" s="167"/>
      <c r="I8" s="196"/>
      <c r="J8" s="166"/>
      <c r="K8" s="168"/>
      <c r="L8" s="196"/>
      <c r="M8" s="560"/>
      <c r="N8" s="168"/>
      <c r="O8" s="444"/>
      <c r="P8" s="165"/>
      <c r="Q8" s="557"/>
    </row>
    <row r="9" spans="1:17" s="397" customFormat="1" ht="14.4" x14ac:dyDescent="0.3">
      <c r="A9" s="436"/>
      <c r="B9" s="410"/>
      <c r="C9" s="400"/>
      <c r="D9" s="493"/>
      <c r="E9" s="517"/>
      <c r="F9" s="401"/>
      <c r="G9" s="496"/>
      <c r="H9" s="167"/>
      <c r="I9" s="196"/>
      <c r="J9" s="166"/>
      <c r="K9" s="168"/>
      <c r="L9" s="196"/>
      <c r="M9" s="560"/>
      <c r="N9" s="168"/>
      <c r="O9" s="444"/>
      <c r="P9" s="165"/>
      <c r="Q9" s="557"/>
    </row>
    <row r="10" spans="1:17" s="397" customFormat="1" ht="14.4" x14ac:dyDescent="0.3">
      <c r="A10" s="436"/>
      <c r="B10" s="410"/>
      <c r="C10" s="400"/>
      <c r="D10" s="493"/>
      <c r="E10" s="517"/>
      <c r="F10" s="401"/>
      <c r="G10" s="496"/>
      <c r="H10" s="167"/>
      <c r="I10" s="196"/>
      <c r="J10" s="166"/>
      <c r="K10" s="168"/>
      <c r="L10" s="196"/>
      <c r="M10" s="560"/>
      <c r="N10" s="168"/>
      <c r="O10" s="444"/>
      <c r="P10" s="165"/>
      <c r="Q10" s="557"/>
    </row>
    <row r="11" spans="1:17" s="397" customFormat="1" ht="14.4" x14ac:dyDescent="0.3">
      <c r="A11" s="436"/>
      <c r="B11" s="410"/>
      <c r="C11" s="400"/>
      <c r="D11" s="493"/>
      <c r="E11" s="517"/>
      <c r="F11" s="401"/>
      <c r="G11" s="496"/>
      <c r="H11" s="167"/>
      <c r="I11" s="196"/>
      <c r="J11" s="166"/>
      <c r="K11" s="168"/>
      <c r="L11" s="196"/>
      <c r="M11" s="560"/>
      <c r="N11" s="168"/>
      <c r="O11" s="444"/>
      <c r="P11" s="165"/>
      <c r="Q11" s="557"/>
    </row>
    <row r="12" spans="1:17" s="397" customFormat="1" ht="14.4" x14ac:dyDescent="0.3">
      <c r="A12" s="436"/>
      <c r="B12" s="410"/>
      <c r="C12" s="400"/>
      <c r="D12" s="493"/>
      <c r="E12" s="517"/>
      <c r="F12" s="401"/>
      <c r="G12" s="496"/>
      <c r="H12" s="167"/>
      <c r="I12" s="196"/>
      <c r="J12" s="166"/>
      <c r="K12" s="168"/>
      <c r="L12" s="196"/>
      <c r="M12" s="560"/>
      <c r="N12" s="168"/>
      <c r="O12" s="444"/>
      <c r="P12" s="165"/>
      <c r="Q12" s="557"/>
    </row>
    <row r="13" spans="1:17" s="397" customFormat="1" ht="14.4" x14ac:dyDescent="0.3">
      <c r="A13" s="436"/>
      <c r="B13" s="410"/>
      <c r="C13" s="400"/>
      <c r="D13" s="493"/>
      <c r="E13" s="517"/>
      <c r="F13" s="401"/>
      <c r="G13" s="496"/>
      <c r="H13" s="167"/>
      <c r="I13" s="196"/>
      <c r="J13" s="166"/>
      <c r="K13" s="168"/>
      <c r="L13" s="196"/>
      <c r="M13" s="560"/>
      <c r="N13" s="168"/>
      <c r="O13" s="444"/>
      <c r="P13" s="165"/>
      <c r="Q13" s="557"/>
    </row>
    <row r="14" spans="1:17" s="397" customFormat="1" ht="14.4" x14ac:dyDescent="0.3">
      <c r="A14" s="436"/>
      <c r="B14" s="410"/>
      <c r="C14" s="400"/>
      <c r="D14" s="493"/>
      <c r="E14" s="517"/>
      <c r="F14" s="401"/>
      <c r="G14" s="496"/>
      <c r="H14" s="167"/>
      <c r="I14" s="196"/>
      <c r="J14" s="166"/>
      <c r="K14" s="168"/>
      <c r="L14" s="196"/>
      <c r="M14" s="560"/>
      <c r="N14" s="168"/>
      <c r="O14" s="444"/>
      <c r="P14" s="165"/>
      <c r="Q14" s="557"/>
    </row>
    <row r="15" spans="1:17" s="397" customFormat="1" ht="14.4" x14ac:dyDescent="0.3">
      <c r="A15" s="436"/>
      <c r="B15" s="410"/>
      <c r="C15" s="400"/>
      <c r="D15" s="493"/>
      <c r="E15" s="517"/>
      <c r="F15" s="401"/>
      <c r="G15" s="496"/>
      <c r="H15" s="167"/>
      <c r="I15" s="196"/>
      <c r="J15" s="166"/>
      <c r="K15" s="168"/>
      <c r="L15" s="196"/>
      <c r="M15" s="560"/>
      <c r="N15" s="168"/>
      <c r="O15" s="444"/>
      <c r="P15" s="165"/>
      <c r="Q15" s="557"/>
    </row>
    <row r="16" spans="1:17" s="397" customFormat="1" ht="14.4" x14ac:dyDescent="0.3">
      <c r="A16" s="436"/>
      <c r="B16" s="410"/>
      <c r="C16" s="400"/>
      <c r="D16" s="493"/>
      <c r="E16" s="517"/>
      <c r="F16" s="401"/>
      <c r="G16" s="496"/>
      <c r="H16" s="167"/>
      <c r="I16" s="196"/>
      <c r="J16" s="166"/>
      <c r="K16" s="168"/>
      <c r="L16" s="196"/>
      <c r="M16" s="560"/>
      <c r="N16" s="168"/>
      <c r="O16" s="444"/>
      <c r="P16" s="165"/>
      <c r="Q16" s="557"/>
    </row>
    <row r="17" spans="1:17" s="397" customFormat="1" ht="14.4" x14ac:dyDescent="0.3">
      <c r="A17" s="436"/>
      <c r="B17" s="410"/>
      <c r="C17" s="400"/>
      <c r="D17" s="493"/>
      <c r="E17" s="517"/>
      <c r="F17" s="401"/>
      <c r="G17" s="496"/>
      <c r="H17" s="167"/>
      <c r="I17" s="196"/>
      <c r="J17" s="166"/>
      <c r="K17" s="168"/>
      <c r="L17" s="196"/>
      <c r="M17" s="560"/>
      <c r="N17" s="168"/>
      <c r="O17" s="444"/>
      <c r="P17" s="165"/>
      <c r="Q17" s="557"/>
    </row>
    <row r="18" spans="1:17" s="397" customFormat="1" ht="14.4" x14ac:dyDescent="0.3">
      <c r="A18" s="436"/>
      <c r="B18" s="410"/>
      <c r="C18" s="400"/>
      <c r="D18" s="493"/>
      <c r="E18" s="517"/>
      <c r="F18" s="401"/>
      <c r="G18" s="496"/>
      <c r="H18" s="167"/>
      <c r="I18" s="196"/>
      <c r="J18" s="166"/>
      <c r="K18" s="168"/>
      <c r="L18" s="196"/>
      <c r="M18" s="560"/>
      <c r="N18" s="168"/>
      <c r="O18" s="444"/>
      <c r="P18" s="165"/>
      <c r="Q18" s="557"/>
    </row>
    <row r="19" spans="1:17" s="397" customFormat="1" ht="14.4" x14ac:dyDescent="0.3">
      <c r="A19" s="436"/>
      <c r="B19" s="438"/>
      <c r="C19" s="439"/>
      <c r="D19" s="494"/>
      <c r="E19" s="518"/>
      <c r="F19" s="440"/>
      <c r="G19" s="497"/>
      <c r="H19" s="441"/>
      <c r="I19" s="196"/>
      <c r="J19" s="166"/>
      <c r="K19" s="168"/>
      <c r="L19" s="196"/>
      <c r="M19" s="166"/>
      <c r="N19" s="168"/>
      <c r="O19" s="444"/>
      <c r="P19" s="165"/>
      <c r="Q19" s="557"/>
    </row>
    <row r="20" spans="1:17" s="397" customFormat="1" ht="14.4" x14ac:dyDescent="0.3">
      <c r="A20" s="436"/>
      <c r="B20" s="442"/>
      <c r="C20" s="443"/>
      <c r="D20" s="495"/>
      <c r="E20" s="519"/>
      <c r="F20" s="501"/>
      <c r="G20" s="498"/>
      <c r="H20" s="167"/>
      <c r="I20" s="196"/>
      <c r="J20" s="166"/>
      <c r="K20" s="168"/>
      <c r="L20" s="196"/>
      <c r="M20" s="166"/>
      <c r="N20" s="168"/>
      <c r="O20" s="444"/>
      <c r="P20" s="165"/>
      <c r="Q20" s="557"/>
    </row>
    <row r="21" spans="1:17" s="397" customFormat="1" ht="14.4" x14ac:dyDescent="0.3">
      <c r="A21" s="436"/>
      <c r="B21" s="442"/>
      <c r="C21" s="443"/>
      <c r="D21" s="495"/>
      <c r="E21" s="519"/>
      <c r="F21" s="501"/>
      <c r="G21" s="498"/>
      <c r="H21" s="167"/>
      <c r="I21" s="196"/>
      <c r="J21" s="166"/>
      <c r="K21" s="168"/>
      <c r="L21" s="196"/>
      <c r="M21" s="166"/>
      <c r="N21" s="168"/>
      <c r="O21" s="444"/>
      <c r="P21" s="165"/>
      <c r="Q21" s="175"/>
    </row>
    <row r="22" spans="1:17" s="398" customFormat="1" ht="14.4" x14ac:dyDescent="0.3">
      <c r="A22" s="436"/>
      <c r="B22" s="442"/>
      <c r="C22" s="443"/>
      <c r="D22" s="495"/>
      <c r="E22" s="520"/>
      <c r="F22" s="502"/>
      <c r="G22" s="498"/>
      <c r="H22" s="178"/>
      <c r="I22" s="197"/>
      <c r="J22" s="179"/>
      <c r="K22" s="168"/>
      <c r="L22" s="196"/>
      <c r="M22" s="166"/>
      <c r="N22" s="168"/>
      <c r="O22" s="444"/>
      <c r="P22" s="181"/>
      <c r="Q22" s="180"/>
    </row>
    <row r="23" spans="1:17" s="397" customFormat="1" ht="14.4" x14ac:dyDescent="0.3">
      <c r="A23" s="436"/>
      <c r="B23" s="436"/>
      <c r="C23" s="454"/>
      <c r="D23" s="410"/>
      <c r="E23" s="517"/>
      <c r="F23" s="503"/>
      <c r="G23" s="499"/>
      <c r="H23" s="167"/>
      <c r="I23" s="196"/>
      <c r="J23" s="166"/>
      <c r="K23" s="168"/>
      <c r="L23" s="196"/>
      <c r="M23" s="166"/>
      <c r="N23" s="168"/>
      <c r="O23" s="444"/>
      <c r="P23" s="165"/>
      <c r="Q23" s="175"/>
    </row>
    <row r="24" spans="1:17" s="397" customFormat="1" ht="14.4" x14ac:dyDescent="0.3">
      <c r="A24" s="436"/>
      <c r="B24" s="436"/>
      <c r="C24" s="400"/>
      <c r="D24" s="410"/>
      <c r="E24" s="517"/>
      <c r="F24" s="503"/>
      <c r="G24" s="499"/>
      <c r="H24" s="167"/>
      <c r="I24" s="196"/>
      <c r="J24" s="166"/>
      <c r="K24" s="168"/>
      <c r="L24" s="196"/>
      <c r="M24" s="166"/>
      <c r="N24" s="168"/>
      <c r="O24" s="444"/>
      <c r="P24" s="165"/>
      <c r="Q24" s="175"/>
    </row>
    <row r="25" spans="1:17" s="397" customFormat="1" ht="14.4" x14ac:dyDescent="0.3">
      <c r="A25" s="436"/>
      <c r="B25" s="436"/>
      <c r="C25" s="400"/>
      <c r="D25" s="410"/>
      <c r="E25" s="517"/>
      <c r="F25" s="503"/>
      <c r="G25" s="499"/>
      <c r="H25" s="167"/>
      <c r="I25" s="196"/>
      <c r="J25" s="166"/>
      <c r="K25" s="168"/>
      <c r="L25" s="196"/>
      <c r="M25" s="166"/>
      <c r="N25" s="168"/>
      <c r="O25" s="444"/>
      <c r="P25" s="165"/>
      <c r="Q25" s="175"/>
    </row>
    <row r="26" spans="1:17" s="397" customFormat="1" ht="14.4" x14ac:dyDescent="0.3">
      <c r="A26" s="436"/>
      <c r="B26" s="436"/>
      <c r="C26" s="400"/>
      <c r="D26" s="410"/>
      <c r="E26" s="517"/>
      <c r="F26" s="503"/>
      <c r="G26" s="499"/>
      <c r="H26" s="167"/>
      <c r="I26" s="196"/>
      <c r="J26" s="166"/>
      <c r="K26" s="168"/>
      <c r="L26" s="196"/>
      <c r="M26" s="166"/>
      <c r="N26" s="168"/>
      <c r="O26" s="444"/>
      <c r="P26" s="165"/>
      <c r="Q26" s="175"/>
    </row>
    <row r="27" spans="1:17" s="397" customFormat="1" ht="14.4" x14ac:dyDescent="0.3">
      <c r="A27" s="436"/>
      <c r="B27" s="436"/>
      <c r="C27" s="400"/>
      <c r="D27" s="410"/>
      <c r="E27" s="517"/>
      <c r="F27" s="503"/>
      <c r="G27" s="499"/>
      <c r="H27" s="167"/>
      <c r="I27" s="196"/>
      <c r="J27" s="166"/>
      <c r="K27" s="168"/>
      <c r="L27" s="196"/>
      <c r="M27" s="166"/>
      <c r="N27" s="168"/>
      <c r="O27" s="444"/>
      <c r="P27" s="165"/>
      <c r="Q27" s="175"/>
    </row>
    <row r="28" spans="1:17" s="397" customFormat="1" ht="14.4" x14ac:dyDescent="0.3">
      <c r="A28" s="436"/>
      <c r="B28" s="436"/>
      <c r="C28" s="400"/>
      <c r="D28" s="410"/>
      <c r="E28" s="517"/>
      <c r="F28" s="503"/>
      <c r="G28" s="499"/>
      <c r="H28" s="167"/>
      <c r="I28" s="196"/>
      <c r="J28" s="166"/>
      <c r="K28" s="168"/>
      <c r="L28" s="196"/>
      <c r="M28" s="166"/>
      <c r="N28" s="168"/>
      <c r="O28" s="444"/>
      <c r="P28" s="165"/>
      <c r="Q28" s="175"/>
    </row>
    <row r="29" spans="1:17" s="397" customFormat="1" ht="14.4" x14ac:dyDescent="0.3">
      <c r="A29" s="436"/>
      <c r="B29" s="436"/>
      <c r="C29" s="400"/>
      <c r="D29" s="410"/>
      <c r="E29" s="517"/>
      <c r="F29" s="503"/>
      <c r="G29" s="499"/>
      <c r="H29" s="167"/>
      <c r="I29" s="196"/>
      <c r="J29" s="166"/>
      <c r="K29" s="168"/>
      <c r="L29" s="196"/>
      <c r="M29" s="166"/>
      <c r="N29" s="168"/>
      <c r="O29" s="444"/>
      <c r="P29" s="165"/>
      <c r="Q29" s="175"/>
    </row>
    <row r="30" spans="1:17" s="397" customFormat="1" ht="14.4" x14ac:dyDescent="0.3">
      <c r="A30" s="436"/>
      <c r="B30" s="436"/>
      <c r="C30" s="400"/>
      <c r="D30" s="410"/>
      <c r="E30" s="517"/>
      <c r="F30" s="503"/>
      <c r="G30" s="499"/>
      <c r="H30" s="167"/>
      <c r="I30" s="196"/>
      <c r="J30" s="166"/>
      <c r="K30" s="168"/>
      <c r="L30" s="196"/>
      <c r="M30" s="166"/>
      <c r="N30" s="168"/>
      <c r="O30" s="444"/>
      <c r="P30" s="165"/>
      <c r="Q30" s="175"/>
    </row>
    <row r="31" spans="1:17" s="397" customFormat="1" ht="14.4" x14ac:dyDescent="0.3">
      <c r="A31" s="436"/>
      <c r="B31" s="436"/>
      <c r="C31" s="400"/>
      <c r="D31" s="410"/>
      <c r="E31" s="517"/>
      <c r="F31" s="503"/>
      <c r="G31" s="499"/>
      <c r="H31" s="167"/>
      <c r="I31" s="196"/>
      <c r="J31" s="166"/>
      <c r="K31" s="168"/>
      <c r="L31" s="196"/>
      <c r="M31" s="166"/>
      <c r="N31" s="168"/>
      <c r="O31" s="444"/>
      <c r="P31" s="165"/>
      <c r="Q31" s="175"/>
    </row>
    <row r="32" spans="1:17" s="397" customFormat="1" ht="14.4" x14ac:dyDescent="0.3">
      <c r="A32" s="436"/>
      <c r="B32" s="436"/>
      <c r="C32" s="400"/>
      <c r="D32" s="410"/>
      <c r="E32" s="517"/>
      <c r="F32" s="503"/>
      <c r="G32" s="499"/>
      <c r="H32" s="167"/>
      <c r="I32" s="196"/>
      <c r="J32" s="166"/>
      <c r="K32" s="168"/>
      <c r="L32" s="196"/>
      <c r="M32" s="166"/>
      <c r="N32" s="168"/>
      <c r="O32" s="444"/>
      <c r="P32" s="165"/>
      <c r="Q32" s="175"/>
    </row>
    <row r="33" spans="1:17" s="397" customFormat="1" ht="14.4" x14ac:dyDescent="0.3">
      <c r="A33" s="436"/>
      <c r="B33" s="436"/>
      <c r="C33" s="400"/>
      <c r="D33" s="410"/>
      <c r="E33" s="517"/>
      <c r="F33" s="503"/>
      <c r="G33" s="499"/>
      <c r="H33" s="167"/>
      <c r="I33" s="196"/>
      <c r="J33" s="166"/>
      <c r="K33" s="168"/>
      <c r="L33" s="196"/>
      <c r="M33" s="166"/>
      <c r="N33" s="168"/>
      <c r="O33" s="444"/>
      <c r="P33" s="165"/>
      <c r="Q33" s="175"/>
    </row>
    <row r="34" spans="1:17" s="397" customFormat="1" ht="14.4" x14ac:dyDescent="0.3">
      <c r="A34" s="437"/>
      <c r="B34" s="400"/>
      <c r="C34" s="399"/>
      <c r="D34" s="401"/>
      <c r="E34" s="517"/>
      <c r="F34" s="401"/>
      <c r="G34" s="455"/>
      <c r="H34" s="167"/>
      <c r="I34" s="196"/>
      <c r="J34" s="166"/>
      <c r="K34" s="168"/>
      <c r="L34" s="196"/>
      <c r="M34" s="166"/>
      <c r="N34" s="168"/>
      <c r="O34" s="133"/>
      <c r="P34" s="165"/>
      <c r="Q34" s="175"/>
    </row>
    <row r="35" spans="1:17" s="397" customFormat="1" thickBot="1" x14ac:dyDescent="0.35">
      <c r="A35" s="437"/>
      <c r="B35" s="399"/>
      <c r="C35" s="399"/>
      <c r="D35" s="402"/>
      <c r="E35" s="403"/>
      <c r="F35" s="403"/>
      <c r="G35" s="164"/>
      <c r="H35" s="167"/>
      <c r="I35" s="196"/>
      <c r="J35" s="166"/>
      <c r="K35" s="168"/>
      <c r="L35" s="196"/>
      <c r="M35" s="166"/>
      <c r="N35" s="168"/>
      <c r="O35" s="133"/>
      <c r="P35" s="165"/>
      <c r="Q35" s="175"/>
    </row>
    <row r="36" spans="1:17" s="397" customFormat="1" ht="14.25" customHeight="1" thickBot="1" x14ac:dyDescent="0.35">
      <c r="A36" s="593" t="s">
        <v>9</v>
      </c>
      <c r="B36" s="594"/>
      <c r="C36" s="594"/>
      <c r="D36" s="404">
        <f>SUM(D3:D35)</f>
        <v>216</v>
      </c>
      <c r="E36" s="405"/>
      <c r="F36" s="405"/>
      <c r="G36" s="406">
        <f>SUM(G3:G35)</f>
        <v>1572.4679039999999</v>
      </c>
      <c r="H36" s="407">
        <f>SUM(H3:H35)</f>
        <v>216</v>
      </c>
      <c r="I36" s="198">
        <f>D36-H36</f>
        <v>0</v>
      </c>
      <c r="J36" s="554">
        <f>H36/D36</f>
        <v>1</v>
      </c>
      <c r="K36" s="408">
        <f>SUM(K3:K35)</f>
        <v>64.666666666666671</v>
      </c>
      <c r="L36" s="199">
        <f>SUM(L3:L35)</f>
        <v>151.33333333333331</v>
      </c>
      <c r="M36" s="554">
        <f>K36/D36</f>
        <v>0.29938271604938271</v>
      </c>
      <c r="N36" s="408">
        <f>SUM(N3:N35)</f>
        <v>47</v>
      </c>
      <c r="O36" s="409">
        <f>SUM(O3:O35)</f>
        <v>342.15736799999996</v>
      </c>
      <c r="P36" s="169">
        <f>SUM(P3:P35)</f>
        <v>1230.310536</v>
      </c>
      <c r="Q36" s="553">
        <f>O36/G36</f>
        <v>0.21759259259259259</v>
      </c>
    </row>
    <row r="37" spans="1:17" ht="14.25" customHeight="1" x14ac:dyDescent="0.3">
      <c r="E37" s="17"/>
      <c r="F37" s="17"/>
      <c r="G37" s="41"/>
    </row>
    <row r="38" spans="1:17" ht="14.25" customHeight="1" x14ac:dyDescent="0.3">
      <c r="E38" s="17"/>
      <c r="F38" s="17"/>
      <c r="G38" s="41"/>
    </row>
    <row r="39" spans="1:17" ht="14.25" customHeight="1" x14ac:dyDescent="0.3">
      <c r="E39" s="17"/>
      <c r="F39" s="17"/>
      <c r="G39" s="41"/>
    </row>
    <row r="40" spans="1:17" ht="14.25" customHeight="1" x14ac:dyDescent="0.3">
      <c r="E40" s="17"/>
      <c r="F40" s="17"/>
      <c r="G40" s="41"/>
    </row>
    <row r="41" spans="1:17" ht="14.25" customHeight="1" x14ac:dyDescent="0.3">
      <c r="E41" s="17"/>
      <c r="F41" s="17"/>
      <c r="G41" s="41"/>
    </row>
    <row r="42" spans="1:17" ht="14.25" customHeight="1" x14ac:dyDescent="0.3">
      <c r="E42" s="17"/>
      <c r="F42" s="17"/>
      <c r="G42" s="41"/>
    </row>
    <row r="43" spans="1:17" ht="14.25" customHeight="1" x14ac:dyDescent="0.3">
      <c r="E43" s="17"/>
      <c r="F43" s="17"/>
      <c r="G43" s="41"/>
    </row>
    <row r="44" spans="1:17" ht="14.25" customHeight="1" x14ac:dyDescent="0.3">
      <c r="E44" s="17"/>
      <c r="F44" s="17"/>
      <c r="G44" s="41"/>
    </row>
    <row r="45" spans="1:17" ht="14.25" customHeight="1" x14ac:dyDescent="0.3">
      <c r="E45" s="17"/>
      <c r="F45" s="17"/>
      <c r="G45" s="41"/>
    </row>
    <row r="46" spans="1:17" ht="14.25" customHeight="1" x14ac:dyDescent="0.3">
      <c r="E46" s="17"/>
      <c r="F46" s="17"/>
      <c r="G46" s="41"/>
    </row>
    <row r="47" spans="1:17" ht="14.25" customHeight="1" x14ac:dyDescent="0.3">
      <c r="E47" s="17"/>
      <c r="F47" s="17"/>
      <c r="G47" s="41"/>
    </row>
    <row r="48" spans="1:17" ht="14.25" customHeight="1" x14ac:dyDescent="0.3">
      <c r="E48" s="17"/>
      <c r="F48" s="17"/>
      <c r="G48" s="41"/>
    </row>
    <row r="49" spans="5:7" ht="14.25" customHeight="1" x14ac:dyDescent="0.3">
      <c r="E49" s="17"/>
      <c r="F49" s="17"/>
      <c r="G49" s="41"/>
    </row>
    <row r="50" spans="5:7" ht="14.25" customHeight="1" x14ac:dyDescent="0.3">
      <c r="E50" s="17"/>
      <c r="F50" s="17"/>
      <c r="G50" s="41"/>
    </row>
    <row r="51" spans="5:7" ht="14.25" customHeight="1" x14ac:dyDescent="0.3">
      <c r="E51" s="17"/>
      <c r="F51" s="17"/>
      <c r="G51" s="41"/>
    </row>
    <row r="52" spans="5:7" ht="14.25" customHeight="1" x14ac:dyDescent="0.3">
      <c r="E52" s="17"/>
      <c r="F52" s="17"/>
      <c r="G52" s="41"/>
    </row>
    <row r="53" spans="5:7" ht="14.25" customHeight="1" x14ac:dyDescent="0.3">
      <c r="E53" s="17"/>
      <c r="F53" s="17"/>
      <c r="G53" s="41"/>
    </row>
    <row r="54" spans="5:7" ht="14.25" customHeight="1" x14ac:dyDescent="0.3">
      <c r="E54" s="17"/>
      <c r="F54" s="17"/>
      <c r="G54" s="41"/>
    </row>
    <row r="55" spans="5:7" ht="14.25" customHeight="1" x14ac:dyDescent="0.3">
      <c r="E55" s="17"/>
      <c r="F55" s="17"/>
      <c r="G55" s="41"/>
    </row>
    <row r="56" spans="5:7" ht="14.25" customHeight="1" x14ac:dyDescent="0.3">
      <c r="E56" s="17"/>
      <c r="F56" s="17"/>
      <c r="G56" s="41"/>
    </row>
    <row r="57" spans="5:7" ht="14.25" customHeight="1" x14ac:dyDescent="0.3">
      <c r="E57" s="17"/>
      <c r="F57" s="17"/>
      <c r="G57" s="41"/>
    </row>
    <row r="58" spans="5:7" ht="14.25" customHeight="1" x14ac:dyDescent="0.3">
      <c r="E58" s="17"/>
      <c r="F58" s="17"/>
      <c r="G58" s="41"/>
    </row>
    <row r="59" spans="5:7" ht="14.25" customHeight="1" x14ac:dyDescent="0.3">
      <c r="E59" s="17"/>
      <c r="F59" s="17"/>
      <c r="G59" s="41"/>
    </row>
    <row r="60" spans="5:7" ht="14.25" customHeight="1" x14ac:dyDescent="0.3">
      <c r="E60" s="17"/>
      <c r="F60" s="17"/>
      <c r="G60" s="41"/>
    </row>
    <row r="61" spans="5:7" ht="14.25" customHeight="1" x14ac:dyDescent="0.3">
      <c r="E61" s="17"/>
      <c r="F61" s="17"/>
      <c r="G61" s="41"/>
    </row>
    <row r="62" spans="5:7" ht="14.25" customHeight="1" x14ac:dyDescent="0.3">
      <c r="E62" s="17"/>
      <c r="F62" s="17"/>
      <c r="G62" s="41"/>
    </row>
    <row r="63" spans="5:7" ht="14.25" customHeight="1" x14ac:dyDescent="0.3">
      <c r="E63" s="17"/>
      <c r="F63" s="17"/>
      <c r="G63" s="41"/>
    </row>
    <row r="64" spans="5:7" ht="14.25" customHeight="1" x14ac:dyDescent="0.3">
      <c r="E64" s="17"/>
      <c r="F64" s="17"/>
      <c r="G64" s="41"/>
    </row>
    <row r="65" spans="5:7" ht="14.25" customHeight="1" x14ac:dyDescent="0.3">
      <c r="E65" s="17"/>
      <c r="F65" s="17"/>
      <c r="G65" s="41"/>
    </row>
    <row r="66" spans="5:7" ht="14.25" customHeight="1" x14ac:dyDescent="0.3">
      <c r="E66" s="17"/>
      <c r="F66" s="17"/>
      <c r="G66" s="41"/>
    </row>
    <row r="67" spans="5:7" ht="14.25" customHeight="1" x14ac:dyDescent="0.3">
      <c r="E67" s="17"/>
      <c r="F67" s="17"/>
      <c r="G67" s="41"/>
    </row>
    <row r="68" spans="5:7" ht="14.25" customHeight="1" x14ac:dyDescent="0.3">
      <c r="E68" s="17"/>
      <c r="F68" s="17"/>
      <c r="G68" s="41"/>
    </row>
    <row r="69" spans="5:7" ht="14.25" customHeight="1" x14ac:dyDescent="0.3">
      <c r="E69" s="17"/>
      <c r="F69" s="17"/>
      <c r="G69" s="41"/>
    </row>
    <row r="70" spans="5:7" ht="14.25" customHeight="1" x14ac:dyDescent="0.3">
      <c r="E70" s="17"/>
      <c r="F70" s="17"/>
      <c r="G70" s="41"/>
    </row>
    <row r="71" spans="5:7" ht="14.25" customHeight="1" x14ac:dyDescent="0.3">
      <c r="E71" s="17"/>
      <c r="F71" s="17"/>
      <c r="G71" s="41"/>
    </row>
    <row r="72" spans="5:7" ht="14.25" customHeight="1" x14ac:dyDescent="0.3">
      <c r="E72" s="17"/>
      <c r="F72" s="17"/>
      <c r="G72" s="41"/>
    </row>
    <row r="73" spans="5:7" ht="14.25" customHeight="1" x14ac:dyDescent="0.3">
      <c r="E73" s="17"/>
      <c r="F73" s="17"/>
      <c r="G73" s="41"/>
    </row>
    <row r="74" spans="5:7" ht="14.25" customHeight="1" x14ac:dyDescent="0.3">
      <c r="E74" s="17"/>
      <c r="F74" s="17"/>
      <c r="G74" s="41"/>
    </row>
    <row r="75" spans="5:7" ht="14.25" customHeight="1" x14ac:dyDescent="0.3">
      <c r="E75" s="17"/>
      <c r="F75" s="17"/>
      <c r="G75" s="41"/>
    </row>
    <row r="76" spans="5:7" ht="14.25" customHeight="1" x14ac:dyDescent="0.3">
      <c r="E76" s="17"/>
      <c r="F76" s="17"/>
      <c r="G76" s="41"/>
    </row>
    <row r="77" spans="5:7" ht="14.25" customHeight="1" x14ac:dyDescent="0.3">
      <c r="E77" s="17"/>
      <c r="F77" s="17"/>
      <c r="G77" s="41"/>
    </row>
    <row r="78" spans="5:7" ht="14.25" customHeight="1" x14ac:dyDescent="0.3">
      <c r="E78" s="17"/>
      <c r="F78" s="17"/>
      <c r="G78" s="41"/>
    </row>
    <row r="79" spans="5:7" ht="14.25" customHeight="1" x14ac:dyDescent="0.3">
      <c r="E79" s="17"/>
      <c r="F79" s="17"/>
      <c r="G79" s="41"/>
    </row>
    <row r="80" spans="5:7" ht="14.25" customHeight="1" x14ac:dyDescent="0.3">
      <c r="E80" s="17"/>
      <c r="F80" s="17"/>
      <c r="G80" s="41"/>
    </row>
    <row r="81" spans="5:7" ht="14.25" customHeight="1" x14ac:dyDescent="0.3">
      <c r="E81" s="17"/>
      <c r="F81" s="17"/>
      <c r="G81" s="41"/>
    </row>
    <row r="82" spans="5:7" ht="14.25" customHeight="1" x14ac:dyDescent="0.3">
      <c r="E82" s="17"/>
      <c r="F82" s="17"/>
      <c r="G82" s="41"/>
    </row>
    <row r="83" spans="5:7" ht="14.25" customHeight="1" x14ac:dyDescent="0.3">
      <c r="E83" s="17"/>
      <c r="F83" s="17"/>
      <c r="G83" s="41"/>
    </row>
    <row r="84" spans="5:7" ht="14.25" customHeight="1" x14ac:dyDescent="0.3">
      <c r="E84" s="17"/>
      <c r="F84" s="17"/>
      <c r="G84" s="41"/>
    </row>
    <row r="85" spans="5:7" ht="14.25" customHeight="1" x14ac:dyDescent="0.3">
      <c r="E85" s="17"/>
      <c r="F85" s="17"/>
      <c r="G85" s="41"/>
    </row>
    <row r="86" spans="5:7" ht="14.25" customHeight="1" x14ac:dyDescent="0.3">
      <c r="E86" s="17"/>
      <c r="F86" s="17"/>
      <c r="G86" s="41"/>
    </row>
    <row r="87" spans="5:7" ht="14.25" customHeight="1" x14ac:dyDescent="0.3">
      <c r="E87" s="17"/>
      <c r="F87" s="17"/>
      <c r="G87" s="41"/>
    </row>
    <row r="88" spans="5:7" ht="14.25" customHeight="1" x14ac:dyDescent="0.3">
      <c r="E88" s="17"/>
      <c r="F88" s="17"/>
      <c r="G88" s="41"/>
    </row>
    <row r="89" spans="5:7" ht="14.25" customHeight="1" x14ac:dyDescent="0.3">
      <c r="E89" s="17"/>
      <c r="F89" s="17"/>
      <c r="G89" s="41"/>
    </row>
    <row r="90" spans="5:7" ht="14.25" customHeight="1" x14ac:dyDescent="0.3">
      <c r="E90" s="17"/>
      <c r="F90" s="17"/>
      <c r="G90" s="41"/>
    </row>
    <row r="91" spans="5:7" ht="14.25" customHeight="1" x14ac:dyDescent="0.3">
      <c r="E91" s="17"/>
      <c r="F91" s="17"/>
      <c r="G91" s="41"/>
    </row>
    <row r="92" spans="5:7" ht="14.25" customHeight="1" x14ac:dyDescent="0.3">
      <c r="E92" s="17"/>
      <c r="F92" s="17"/>
      <c r="G92" s="41"/>
    </row>
    <row r="93" spans="5:7" ht="14.25" customHeight="1" x14ac:dyDescent="0.3">
      <c r="E93" s="17"/>
      <c r="F93" s="17"/>
      <c r="G93" s="41"/>
    </row>
    <row r="94" spans="5:7" ht="14.25" customHeight="1" x14ac:dyDescent="0.3">
      <c r="E94" s="17"/>
      <c r="F94" s="17"/>
      <c r="G94" s="41"/>
    </row>
    <row r="95" spans="5:7" ht="14.25" customHeight="1" x14ac:dyDescent="0.3">
      <c r="E95" s="17"/>
      <c r="F95" s="17"/>
      <c r="G95" s="41"/>
    </row>
    <row r="96" spans="5:7" ht="14.25" customHeight="1" x14ac:dyDescent="0.3">
      <c r="E96" s="17"/>
      <c r="F96" s="17"/>
      <c r="G96" s="41"/>
    </row>
    <row r="97" spans="5:7" ht="14.25" customHeight="1" x14ac:dyDescent="0.3">
      <c r="E97" s="17"/>
      <c r="F97" s="17"/>
      <c r="G97" s="41"/>
    </row>
    <row r="98" spans="5:7" ht="14.25" customHeight="1" x14ac:dyDescent="0.3">
      <c r="E98" s="17"/>
      <c r="F98" s="17"/>
      <c r="G98" s="41"/>
    </row>
    <row r="99" spans="5:7" ht="14.25" customHeight="1" x14ac:dyDescent="0.3">
      <c r="E99" s="17"/>
      <c r="F99" s="17"/>
      <c r="G99" s="41"/>
    </row>
    <row r="100" spans="5:7" ht="14.25" customHeight="1" x14ac:dyDescent="0.3">
      <c r="E100" s="17"/>
      <c r="F100" s="17"/>
      <c r="G100" s="41"/>
    </row>
    <row r="101" spans="5:7" ht="14.25" customHeight="1" x14ac:dyDescent="0.3">
      <c r="E101" s="17"/>
      <c r="F101" s="17"/>
      <c r="G101" s="41"/>
    </row>
    <row r="102" spans="5:7" ht="14.25" customHeight="1" x14ac:dyDescent="0.3">
      <c r="E102" s="17"/>
      <c r="F102" s="17"/>
      <c r="G102" s="41"/>
    </row>
    <row r="103" spans="5:7" ht="14.25" customHeight="1" x14ac:dyDescent="0.3">
      <c r="E103" s="17"/>
      <c r="F103" s="17"/>
      <c r="G103" s="41"/>
    </row>
    <row r="104" spans="5:7" ht="14.25" customHeight="1" x14ac:dyDescent="0.3">
      <c r="E104" s="17"/>
      <c r="F104" s="17"/>
      <c r="G104" s="41"/>
    </row>
    <row r="105" spans="5:7" ht="14.25" customHeight="1" x14ac:dyDescent="0.3">
      <c r="E105" s="17"/>
      <c r="F105" s="17"/>
      <c r="G105" s="41"/>
    </row>
    <row r="106" spans="5:7" ht="14.25" customHeight="1" x14ac:dyDescent="0.3">
      <c r="E106" s="17"/>
      <c r="F106" s="17"/>
      <c r="G106" s="41"/>
    </row>
    <row r="107" spans="5:7" ht="14.25" customHeight="1" x14ac:dyDescent="0.3">
      <c r="E107" s="17"/>
      <c r="F107" s="17"/>
      <c r="G107" s="41"/>
    </row>
    <row r="108" spans="5:7" ht="14.25" customHeight="1" x14ac:dyDescent="0.3">
      <c r="E108" s="17"/>
      <c r="F108" s="17"/>
      <c r="G108" s="41"/>
    </row>
    <row r="109" spans="5:7" ht="14.25" customHeight="1" x14ac:dyDescent="0.3">
      <c r="E109" s="17"/>
      <c r="F109" s="17"/>
      <c r="G109" s="41"/>
    </row>
    <row r="110" spans="5:7" ht="14.25" customHeight="1" x14ac:dyDescent="0.3">
      <c r="E110" s="17"/>
      <c r="F110" s="17"/>
      <c r="G110" s="41"/>
    </row>
    <row r="111" spans="5:7" ht="14.25" customHeight="1" x14ac:dyDescent="0.3">
      <c r="E111" s="17"/>
      <c r="F111" s="17"/>
      <c r="G111" s="41"/>
    </row>
    <row r="112" spans="5:7" ht="14.25" customHeight="1" x14ac:dyDescent="0.3">
      <c r="E112" s="17"/>
      <c r="F112" s="17"/>
      <c r="G112" s="41"/>
    </row>
    <row r="113" spans="5:7" ht="14.25" customHeight="1" x14ac:dyDescent="0.3">
      <c r="E113" s="17"/>
      <c r="F113" s="17"/>
      <c r="G113" s="41"/>
    </row>
    <row r="114" spans="5:7" ht="14.25" customHeight="1" x14ac:dyDescent="0.3">
      <c r="E114" s="17"/>
      <c r="F114" s="17"/>
      <c r="G114" s="41"/>
    </row>
    <row r="115" spans="5:7" ht="14.25" customHeight="1" x14ac:dyDescent="0.3">
      <c r="E115" s="17"/>
      <c r="F115" s="17"/>
      <c r="G115" s="41"/>
    </row>
    <row r="116" spans="5:7" ht="14.25" customHeight="1" x14ac:dyDescent="0.3">
      <c r="E116" s="17"/>
      <c r="F116" s="17"/>
      <c r="G116" s="41"/>
    </row>
    <row r="117" spans="5:7" ht="14.25" customHeight="1" x14ac:dyDescent="0.3">
      <c r="E117" s="17"/>
      <c r="F117" s="17"/>
      <c r="G117" s="41"/>
    </row>
    <row r="118" spans="5:7" ht="14.25" customHeight="1" x14ac:dyDescent="0.3">
      <c r="E118" s="17"/>
      <c r="F118" s="17"/>
      <c r="G118" s="41"/>
    </row>
    <row r="119" spans="5:7" ht="14.25" customHeight="1" x14ac:dyDescent="0.3">
      <c r="E119" s="17"/>
      <c r="F119" s="17"/>
      <c r="G119" s="41"/>
    </row>
    <row r="120" spans="5:7" ht="14.25" customHeight="1" x14ac:dyDescent="0.3">
      <c r="E120" s="17"/>
      <c r="F120" s="17"/>
      <c r="G120" s="41"/>
    </row>
    <row r="121" spans="5:7" ht="14.25" customHeight="1" x14ac:dyDescent="0.3">
      <c r="E121" s="17"/>
      <c r="F121" s="17"/>
      <c r="G121" s="41"/>
    </row>
    <row r="122" spans="5:7" ht="14.25" customHeight="1" x14ac:dyDescent="0.3">
      <c r="E122" s="17"/>
      <c r="F122" s="17"/>
      <c r="G122" s="41"/>
    </row>
    <row r="123" spans="5:7" ht="14.25" customHeight="1" x14ac:dyDescent="0.3">
      <c r="E123" s="17"/>
      <c r="F123" s="17"/>
      <c r="G123" s="41"/>
    </row>
    <row r="124" spans="5:7" ht="14.25" customHeight="1" x14ac:dyDescent="0.3">
      <c r="E124" s="17"/>
      <c r="F124" s="17"/>
      <c r="G124" s="41"/>
    </row>
    <row r="125" spans="5:7" ht="14.25" customHeight="1" x14ac:dyDescent="0.3">
      <c r="E125" s="17"/>
      <c r="F125" s="17"/>
      <c r="G125" s="41"/>
    </row>
    <row r="126" spans="5:7" ht="14.25" customHeight="1" x14ac:dyDescent="0.3">
      <c r="E126" s="17"/>
      <c r="F126" s="17"/>
      <c r="G126" s="41"/>
    </row>
    <row r="127" spans="5:7" ht="14.25" customHeight="1" x14ac:dyDescent="0.3">
      <c r="E127" s="17"/>
      <c r="F127" s="17"/>
      <c r="G127" s="41"/>
    </row>
    <row r="128" spans="5:7" ht="14.25" customHeight="1" x14ac:dyDescent="0.3">
      <c r="E128" s="17"/>
      <c r="F128" s="17"/>
      <c r="G128" s="41"/>
    </row>
    <row r="129" spans="5:7" ht="14.25" customHeight="1" x14ac:dyDescent="0.3">
      <c r="E129" s="17"/>
      <c r="F129" s="17"/>
      <c r="G129" s="41"/>
    </row>
    <row r="130" spans="5:7" ht="14.25" customHeight="1" x14ac:dyDescent="0.3">
      <c r="E130" s="17"/>
      <c r="F130" s="17"/>
      <c r="G130" s="41"/>
    </row>
    <row r="131" spans="5:7" ht="14.25" customHeight="1" x14ac:dyDescent="0.3">
      <c r="E131" s="17"/>
      <c r="F131" s="17"/>
      <c r="G131" s="41"/>
    </row>
    <row r="132" spans="5:7" ht="14.25" customHeight="1" x14ac:dyDescent="0.3">
      <c r="E132" s="17"/>
      <c r="F132" s="17"/>
      <c r="G132" s="41"/>
    </row>
    <row r="133" spans="5:7" ht="14.25" customHeight="1" x14ac:dyDescent="0.3">
      <c r="E133" s="17"/>
      <c r="F133" s="17"/>
      <c r="G133" s="41"/>
    </row>
    <row r="134" spans="5:7" ht="14.25" customHeight="1" x14ac:dyDescent="0.3">
      <c r="E134" s="17"/>
      <c r="F134" s="17"/>
      <c r="G134" s="41"/>
    </row>
    <row r="135" spans="5:7" ht="14.25" customHeight="1" x14ac:dyDescent="0.3">
      <c r="E135" s="17"/>
      <c r="F135" s="17"/>
      <c r="G135" s="41"/>
    </row>
    <row r="136" spans="5:7" ht="14.25" customHeight="1" x14ac:dyDescent="0.3">
      <c r="E136" s="17"/>
      <c r="F136" s="17"/>
      <c r="G136" s="41"/>
    </row>
    <row r="137" spans="5:7" ht="14.25" customHeight="1" x14ac:dyDescent="0.3">
      <c r="E137" s="17"/>
      <c r="F137" s="17"/>
      <c r="G137" s="41"/>
    </row>
    <row r="138" spans="5:7" ht="14.25" customHeight="1" x14ac:dyDescent="0.3">
      <c r="E138" s="17"/>
      <c r="F138" s="17"/>
      <c r="G138" s="41"/>
    </row>
    <row r="139" spans="5:7" ht="14.25" customHeight="1" x14ac:dyDescent="0.3">
      <c r="E139" s="17"/>
      <c r="F139" s="17"/>
      <c r="G139" s="41"/>
    </row>
    <row r="140" spans="5:7" ht="14.25" customHeight="1" x14ac:dyDescent="0.3">
      <c r="E140" s="17"/>
      <c r="F140" s="17"/>
      <c r="G140" s="41"/>
    </row>
    <row r="141" spans="5:7" ht="14.25" customHeight="1" x14ac:dyDescent="0.3">
      <c r="E141" s="17"/>
      <c r="F141" s="17"/>
      <c r="G141" s="41"/>
    </row>
    <row r="142" spans="5:7" ht="14.25" customHeight="1" x14ac:dyDescent="0.3">
      <c r="E142" s="17"/>
      <c r="F142" s="17"/>
      <c r="G142" s="41"/>
    </row>
    <row r="143" spans="5:7" ht="14.25" customHeight="1" x14ac:dyDescent="0.3">
      <c r="E143" s="17"/>
      <c r="F143" s="17"/>
      <c r="G143" s="41"/>
    </row>
    <row r="144" spans="5:7" ht="14.25" customHeight="1" x14ac:dyDescent="0.3">
      <c r="E144" s="17"/>
      <c r="F144" s="17"/>
      <c r="G144" s="41"/>
    </row>
    <row r="145" spans="5:7" ht="14.25" customHeight="1" x14ac:dyDescent="0.3">
      <c r="E145" s="17"/>
      <c r="F145" s="17"/>
      <c r="G145" s="41"/>
    </row>
    <row r="146" spans="5:7" ht="14.25" customHeight="1" x14ac:dyDescent="0.3">
      <c r="E146" s="17"/>
      <c r="F146" s="17"/>
      <c r="G146" s="41"/>
    </row>
    <row r="147" spans="5:7" ht="14.25" customHeight="1" x14ac:dyDescent="0.3">
      <c r="E147" s="17"/>
      <c r="F147" s="17"/>
      <c r="G147" s="41"/>
    </row>
    <row r="148" spans="5:7" ht="14.25" customHeight="1" x14ac:dyDescent="0.3">
      <c r="E148" s="17"/>
      <c r="F148" s="17"/>
      <c r="G148" s="41"/>
    </row>
    <row r="149" spans="5:7" ht="14.25" customHeight="1" x14ac:dyDescent="0.3">
      <c r="E149" s="17"/>
      <c r="F149" s="17"/>
      <c r="G149" s="41"/>
    </row>
    <row r="150" spans="5:7" ht="14.25" customHeight="1" x14ac:dyDescent="0.3">
      <c r="E150" s="17"/>
      <c r="F150" s="17"/>
      <c r="G150" s="41"/>
    </row>
    <row r="151" spans="5:7" ht="14.25" customHeight="1" x14ac:dyDescent="0.3">
      <c r="E151" s="17"/>
      <c r="F151" s="17"/>
      <c r="G151" s="41"/>
    </row>
    <row r="152" spans="5:7" ht="14.25" customHeight="1" x14ac:dyDescent="0.3">
      <c r="E152" s="17"/>
      <c r="F152" s="17"/>
      <c r="G152" s="41"/>
    </row>
    <row r="153" spans="5:7" ht="14.25" customHeight="1" x14ac:dyDescent="0.3">
      <c r="E153" s="17"/>
      <c r="F153" s="17"/>
      <c r="G153" s="41"/>
    </row>
    <row r="154" spans="5:7" ht="14.25" customHeight="1" x14ac:dyDescent="0.3">
      <c r="E154" s="17"/>
      <c r="F154" s="17"/>
      <c r="G154" s="41"/>
    </row>
    <row r="155" spans="5:7" ht="14.25" customHeight="1" x14ac:dyDescent="0.3">
      <c r="E155" s="17"/>
      <c r="F155" s="17"/>
      <c r="G155" s="41"/>
    </row>
    <row r="156" spans="5:7" ht="14.25" customHeight="1" x14ac:dyDescent="0.3">
      <c r="E156" s="17"/>
      <c r="F156" s="17"/>
      <c r="G156" s="41"/>
    </row>
    <row r="157" spans="5:7" ht="14.25" customHeight="1" x14ac:dyDescent="0.3">
      <c r="E157" s="17"/>
      <c r="F157" s="17"/>
      <c r="G157" s="41"/>
    </row>
    <row r="158" spans="5:7" ht="14.25" customHeight="1" x14ac:dyDescent="0.3">
      <c r="E158" s="17"/>
      <c r="F158" s="17"/>
      <c r="G158" s="41"/>
    </row>
    <row r="159" spans="5:7" ht="14.25" customHeight="1" x14ac:dyDescent="0.3">
      <c r="E159" s="17"/>
      <c r="F159" s="17"/>
      <c r="G159" s="41"/>
    </row>
    <row r="160" spans="5:7" ht="14.25" customHeight="1" x14ac:dyDescent="0.3">
      <c r="E160" s="17"/>
      <c r="F160" s="17"/>
      <c r="G160" s="41"/>
    </row>
    <row r="161" spans="5:7" ht="14.25" customHeight="1" x14ac:dyDescent="0.3">
      <c r="E161" s="17"/>
      <c r="F161" s="17"/>
      <c r="G161" s="41"/>
    </row>
    <row r="162" spans="5:7" ht="14.25" customHeight="1" x14ac:dyDescent="0.3">
      <c r="E162" s="17"/>
      <c r="F162" s="17"/>
      <c r="G162" s="41"/>
    </row>
    <row r="163" spans="5:7" ht="14.25" customHeight="1" x14ac:dyDescent="0.3">
      <c r="E163" s="17"/>
      <c r="F163" s="17"/>
      <c r="G163" s="41"/>
    </row>
    <row r="164" spans="5:7" ht="14.25" customHeight="1" x14ac:dyDescent="0.3">
      <c r="E164" s="17"/>
      <c r="F164" s="17"/>
      <c r="G164" s="41"/>
    </row>
    <row r="165" spans="5:7" ht="14.25" customHeight="1" x14ac:dyDescent="0.3">
      <c r="E165" s="17"/>
      <c r="F165" s="17"/>
      <c r="G165" s="41"/>
    </row>
    <row r="166" spans="5:7" ht="14.25" customHeight="1" x14ac:dyDescent="0.3">
      <c r="E166" s="17"/>
      <c r="F166" s="17"/>
      <c r="G166" s="41"/>
    </row>
    <row r="167" spans="5:7" ht="14.25" customHeight="1" x14ac:dyDescent="0.3">
      <c r="E167" s="17"/>
      <c r="F167" s="17"/>
      <c r="G167" s="41"/>
    </row>
    <row r="168" spans="5:7" ht="14.25" customHeight="1" x14ac:dyDescent="0.3">
      <c r="E168" s="17"/>
      <c r="F168" s="17"/>
      <c r="G168" s="41"/>
    </row>
    <row r="169" spans="5:7" ht="14.25" customHeight="1" x14ac:dyDescent="0.3">
      <c r="E169" s="17"/>
      <c r="F169" s="17"/>
      <c r="G169" s="41"/>
    </row>
    <row r="170" spans="5:7" ht="14.25" customHeight="1" x14ac:dyDescent="0.3">
      <c r="E170" s="17"/>
      <c r="F170" s="17"/>
      <c r="G170" s="41"/>
    </row>
    <row r="171" spans="5:7" ht="14.25" customHeight="1" x14ac:dyDescent="0.3">
      <c r="E171" s="17"/>
      <c r="F171" s="17"/>
      <c r="G171" s="41"/>
    </row>
    <row r="172" spans="5:7" ht="14.25" customHeight="1" x14ac:dyDescent="0.3">
      <c r="E172" s="17"/>
      <c r="F172" s="17"/>
      <c r="G172" s="41"/>
    </row>
    <row r="173" spans="5:7" ht="14.25" customHeight="1" x14ac:dyDescent="0.3">
      <c r="E173" s="17"/>
      <c r="F173" s="17"/>
      <c r="G173" s="41"/>
    </row>
    <row r="174" spans="5:7" ht="14.25" customHeight="1" x14ac:dyDescent="0.3">
      <c r="E174" s="17"/>
      <c r="F174" s="17"/>
      <c r="G174" s="41"/>
    </row>
    <row r="175" spans="5:7" ht="14.25" customHeight="1" x14ac:dyDescent="0.3">
      <c r="E175" s="17"/>
      <c r="F175" s="17"/>
      <c r="G175" s="41"/>
    </row>
    <row r="176" spans="5:7" ht="14.25" customHeight="1" x14ac:dyDescent="0.3">
      <c r="E176" s="17"/>
      <c r="F176" s="17"/>
      <c r="G176" s="41"/>
    </row>
    <row r="177" spans="5:7" ht="14.25" customHeight="1" x14ac:dyDescent="0.3">
      <c r="E177" s="17"/>
      <c r="F177" s="17"/>
      <c r="G177" s="41"/>
    </row>
    <row r="178" spans="5:7" ht="14.25" customHeight="1" x14ac:dyDescent="0.3">
      <c r="E178" s="17"/>
      <c r="F178" s="17"/>
      <c r="G178" s="41"/>
    </row>
    <row r="179" spans="5:7" ht="14.25" customHeight="1" x14ac:dyDescent="0.3">
      <c r="E179" s="17"/>
      <c r="F179" s="17"/>
      <c r="G179" s="41"/>
    </row>
    <row r="180" spans="5:7" ht="14.25" customHeight="1" x14ac:dyDescent="0.3">
      <c r="E180" s="17"/>
      <c r="F180" s="17"/>
      <c r="G180" s="41"/>
    </row>
    <row r="181" spans="5:7" ht="14.25" customHeight="1" x14ac:dyDescent="0.3">
      <c r="E181" s="17"/>
      <c r="F181" s="17"/>
      <c r="G181" s="41"/>
    </row>
    <row r="182" spans="5:7" ht="14.25" customHeight="1" x14ac:dyDescent="0.3">
      <c r="E182" s="17"/>
      <c r="F182" s="17"/>
      <c r="G182" s="41"/>
    </row>
    <row r="183" spans="5:7" ht="14.25" customHeight="1" x14ac:dyDescent="0.3">
      <c r="E183" s="17"/>
      <c r="F183" s="17"/>
      <c r="G183" s="41"/>
    </row>
    <row r="184" spans="5:7" ht="14.25" customHeight="1" x14ac:dyDescent="0.3">
      <c r="E184" s="17"/>
      <c r="F184" s="17"/>
      <c r="G184" s="41"/>
    </row>
    <row r="185" spans="5:7" ht="14.25" customHeight="1" x14ac:dyDescent="0.3">
      <c r="E185" s="17"/>
      <c r="F185" s="17"/>
      <c r="G185" s="41"/>
    </row>
    <row r="186" spans="5:7" ht="14.25" customHeight="1" x14ac:dyDescent="0.3">
      <c r="E186" s="17"/>
      <c r="F186" s="17"/>
      <c r="G186" s="41"/>
    </row>
    <row r="187" spans="5:7" ht="14.25" customHeight="1" x14ac:dyDescent="0.3">
      <c r="E187" s="17"/>
      <c r="F187" s="17"/>
      <c r="G187" s="41"/>
    </row>
    <row r="188" spans="5:7" ht="14.25" customHeight="1" x14ac:dyDescent="0.3">
      <c r="E188" s="17"/>
      <c r="F188" s="17"/>
      <c r="G188" s="41"/>
    </row>
    <row r="189" spans="5:7" ht="14.25" customHeight="1" x14ac:dyDescent="0.3">
      <c r="E189" s="17"/>
      <c r="F189" s="17"/>
      <c r="G189" s="41"/>
    </row>
    <row r="190" spans="5:7" ht="14.25" customHeight="1" x14ac:dyDescent="0.3">
      <c r="E190" s="17"/>
      <c r="F190" s="17"/>
      <c r="G190" s="41"/>
    </row>
    <row r="191" spans="5:7" ht="14.25" customHeight="1" x14ac:dyDescent="0.3">
      <c r="E191" s="17"/>
      <c r="F191" s="17"/>
      <c r="G191" s="41"/>
    </row>
    <row r="192" spans="5:7" ht="14.25" customHeight="1" x14ac:dyDescent="0.3">
      <c r="E192" s="17"/>
      <c r="F192" s="17"/>
      <c r="G192" s="41"/>
    </row>
    <row r="193" spans="5:7" ht="14.25" customHeight="1" x14ac:dyDescent="0.3">
      <c r="E193" s="17"/>
      <c r="F193" s="17"/>
      <c r="G193" s="41"/>
    </row>
    <row r="194" spans="5:7" ht="14.25" customHeight="1" x14ac:dyDescent="0.3">
      <c r="E194" s="17"/>
      <c r="F194" s="17"/>
      <c r="G194" s="41"/>
    </row>
    <row r="195" spans="5:7" ht="14.25" customHeight="1" x14ac:dyDescent="0.3">
      <c r="E195" s="17"/>
      <c r="F195" s="17"/>
      <c r="G195" s="41"/>
    </row>
    <row r="196" spans="5:7" ht="14.25" customHeight="1" x14ac:dyDescent="0.3">
      <c r="E196" s="17"/>
      <c r="F196" s="17"/>
      <c r="G196" s="41"/>
    </row>
    <row r="197" spans="5:7" ht="14.25" customHeight="1" x14ac:dyDescent="0.3">
      <c r="E197" s="17"/>
      <c r="F197" s="17"/>
      <c r="G197" s="41"/>
    </row>
    <row r="198" spans="5:7" ht="14.25" customHeight="1" x14ac:dyDescent="0.3">
      <c r="E198" s="17"/>
      <c r="F198" s="17"/>
      <c r="G198" s="41"/>
    </row>
    <row r="199" spans="5:7" ht="14.25" customHeight="1" x14ac:dyDescent="0.3">
      <c r="E199" s="17"/>
      <c r="F199" s="17"/>
      <c r="G199" s="41"/>
    </row>
    <row r="200" spans="5:7" ht="14.25" customHeight="1" x14ac:dyDescent="0.3">
      <c r="E200" s="17"/>
      <c r="F200" s="17"/>
      <c r="G200" s="41"/>
    </row>
    <row r="201" spans="5:7" ht="14.25" customHeight="1" x14ac:dyDescent="0.3">
      <c r="E201" s="17"/>
      <c r="F201" s="17"/>
      <c r="G201" s="41"/>
    </row>
    <row r="202" spans="5:7" ht="14.25" customHeight="1" x14ac:dyDescent="0.3">
      <c r="E202" s="17"/>
      <c r="F202" s="17"/>
      <c r="G202" s="41"/>
    </row>
    <row r="203" spans="5:7" ht="14.25" customHeight="1" x14ac:dyDescent="0.3">
      <c r="E203" s="17"/>
      <c r="F203" s="17"/>
      <c r="G203" s="41"/>
    </row>
    <row r="204" spans="5:7" ht="14.25" customHeight="1" x14ac:dyDescent="0.3">
      <c r="E204" s="17"/>
      <c r="F204" s="17"/>
      <c r="G204" s="41"/>
    </row>
    <row r="205" spans="5:7" ht="14.25" customHeight="1" x14ac:dyDescent="0.3">
      <c r="E205" s="17"/>
      <c r="F205" s="17"/>
      <c r="G205" s="41"/>
    </row>
    <row r="206" spans="5:7" ht="14.25" customHeight="1" x14ac:dyDescent="0.3">
      <c r="E206" s="17"/>
      <c r="F206" s="17"/>
      <c r="G206" s="41"/>
    </row>
    <row r="207" spans="5:7" ht="14.25" customHeight="1" x14ac:dyDescent="0.3">
      <c r="E207" s="17"/>
      <c r="F207" s="17"/>
      <c r="G207" s="41"/>
    </row>
    <row r="208" spans="5:7" ht="14.25" customHeight="1" x14ac:dyDescent="0.3">
      <c r="E208" s="17"/>
      <c r="F208" s="17"/>
      <c r="G208" s="41"/>
    </row>
    <row r="209" spans="5:7" ht="14.25" customHeight="1" x14ac:dyDescent="0.3">
      <c r="E209" s="17"/>
      <c r="F209" s="17"/>
      <c r="G209" s="41"/>
    </row>
    <row r="210" spans="5:7" ht="14.25" customHeight="1" x14ac:dyDescent="0.3">
      <c r="E210" s="17"/>
      <c r="F210" s="17"/>
      <c r="G210" s="41"/>
    </row>
    <row r="211" spans="5:7" ht="14.25" customHeight="1" x14ac:dyDescent="0.3">
      <c r="E211" s="17"/>
      <c r="F211" s="17"/>
      <c r="G211" s="41"/>
    </row>
    <row r="212" spans="5:7" ht="14.25" customHeight="1" x14ac:dyDescent="0.3">
      <c r="E212" s="17"/>
      <c r="F212" s="17"/>
      <c r="G212" s="41"/>
    </row>
    <row r="213" spans="5:7" ht="14.25" customHeight="1" x14ac:dyDescent="0.3">
      <c r="E213" s="17"/>
      <c r="F213" s="17"/>
      <c r="G213" s="41"/>
    </row>
    <row r="214" spans="5:7" ht="14.25" customHeight="1" x14ac:dyDescent="0.3">
      <c r="E214" s="17"/>
      <c r="F214" s="17"/>
      <c r="G214" s="41"/>
    </row>
    <row r="215" spans="5:7" ht="14.25" customHeight="1" x14ac:dyDescent="0.3">
      <c r="E215" s="17"/>
      <c r="F215" s="17"/>
      <c r="G215" s="41"/>
    </row>
    <row r="216" spans="5:7" ht="14.25" customHeight="1" x14ac:dyDescent="0.3">
      <c r="E216" s="17"/>
      <c r="F216" s="17"/>
      <c r="G216" s="41"/>
    </row>
    <row r="217" spans="5:7" ht="14.25" customHeight="1" x14ac:dyDescent="0.3">
      <c r="E217" s="17"/>
      <c r="F217" s="17"/>
      <c r="G217" s="41"/>
    </row>
    <row r="218" spans="5:7" ht="14.25" customHeight="1" x14ac:dyDescent="0.3">
      <c r="E218" s="17"/>
      <c r="F218" s="17"/>
      <c r="G218" s="41"/>
    </row>
    <row r="219" spans="5:7" ht="14.25" customHeight="1" x14ac:dyDescent="0.3">
      <c r="E219" s="17"/>
      <c r="F219" s="17"/>
      <c r="G219" s="41"/>
    </row>
    <row r="220" spans="5:7" ht="14.25" customHeight="1" x14ac:dyDescent="0.3">
      <c r="E220" s="17"/>
      <c r="F220" s="17"/>
      <c r="G220" s="41"/>
    </row>
    <row r="221" spans="5:7" ht="14.25" customHeight="1" x14ac:dyDescent="0.3">
      <c r="E221" s="17"/>
      <c r="F221" s="17"/>
      <c r="G221" s="41"/>
    </row>
    <row r="222" spans="5:7" ht="14.25" customHeight="1" x14ac:dyDescent="0.3">
      <c r="E222" s="17"/>
      <c r="F222" s="17"/>
      <c r="G222" s="41"/>
    </row>
    <row r="223" spans="5:7" ht="14.25" customHeight="1" x14ac:dyDescent="0.3">
      <c r="E223" s="17"/>
      <c r="F223" s="17"/>
      <c r="G223" s="41"/>
    </row>
    <row r="224" spans="5:7" ht="14.25" customHeight="1" x14ac:dyDescent="0.3">
      <c r="E224" s="17"/>
      <c r="F224" s="17"/>
      <c r="G224" s="41"/>
    </row>
    <row r="225" spans="5:7" ht="14.25" customHeight="1" x14ac:dyDescent="0.3">
      <c r="E225" s="17"/>
      <c r="F225" s="17"/>
      <c r="G225" s="41"/>
    </row>
    <row r="226" spans="5:7" ht="14.25" customHeight="1" x14ac:dyDescent="0.3">
      <c r="E226" s="17"/>
      <c r="F226" s="17"/>
      <c r="G226" s="41"/>
    </row>
    <row r="227" spans="5:7" ht="14.25" customHeight="1" x14ac:dyDescent="0.3">
      <c r="E227" s="17"/>
      <c r="F227" s="17"/>
      <c r="G227" s="41"/>
    </row>
    <row r="228" spans="5:7" ht="14.25" customHeight="1" x14ac:dyDescent="0.3">
      <c r="E228" s="17"/>
      <c r="F228" s="17"/>
      <c r="G228" s="41"/>
    </row>
    <row r="229" spans="5:7" ht="14.25" customHeight="1" x14ac:dyDescent="0.3">
      <c r="E229" s="17"/>
      <c r="F229" s="17"/>
      <c r="G229" s="41"/>
    </row>
    <row r="230" spans="5:7" ht="14.25" customHeight="1" x14ac:dyDescent="0.3">
      <c r="E230" s="17"/>
      <c r="F230" s="17"/>
      <c r="G230" s="41"/>
    </row>
    <row r="231" spans="5:7" ht="14.25" customHeight="1" x14ac:dyDescent="0.3">
      <c r="E231" s="17"/>
      <c r="F231" s="17"/>
      <c r="G231" s="41"/>
    </row>
    <row r="232" spans="5:7" ht="14.25" customHeight="1" x14ac:dyDescent="0.3">
      <c r="E232" s="17"/>
      <c r="F232" s="17"/>
      <c r="G232" s="41"/>
    </row>
    <row r="233" spans="5:7" ht="14.25" customHeight="1" x14ac:dyDescent="0.3">
      <c r="E233" s="17"/>
      <c r="F233" s="17"/>
      <c r="G233" s="41"/>
    </row>
    <row r="234" spans="5:7" ht="14.25" customHeight="1" x14ac:dyDescent="0.3">
      <c r="E234" s="17"/>
      <c r="F234" s="17"/>
      <c r="G234" s="41"/>
    </row>
    <row r="235" spans="5:7" ht="14.25" customHeight="1" x14ac:dyDescent="0.3">
      <c r="E235" s="17"/>
      <c r="F235" s="17"/>
      <c r="G235" s="41"/>
    </row>
    <row r="236" spans="5:7" ht="14.25" customHeight="1" x14ac:dyDescent="0.3">
      <c r="E236" s="17"/>
      <c r="F236" s="17"/>
      <c r="G236" s="41"/>
    </row>
    <row r="237" spans="5:7" ht="14.25" customHeight="1" x14ac:dyDescent="0.3">
      <c r="E237" s="17"/>
      <c r="F237" s="17"/>
      <c r="G237" s="41"/>
    </row>
    <row r="238" spans="5:7" ht="14.25" customHeight="1" x14ac:dyDescent="0.3">
      <c r="E238" s="17"/>
      <c r="F238" s="17"/>
      <c r="G238" s="41"/>
    </row>
    <row r="239" spans="5:7" ht="14.25" customHeight="1" x14ac:dyDescent="0.3">
      <c r="E239" s="17"/>
      <c r="F239" s="17"/>
      <c r="G239" s="41"/>
    </row>
    <row r="240" spans="5:7" ht="14.25" customHeight="1" x14ac:dyDescent="0.3">
      <c r="E240" s="17"/>
      <c r="F240" s="17"/>
      <c r="G240" s="41"/>
    </row>
    <row r="241" spans="5:7" ht="14.25" customHeight="1" x14ac:dyDescent="0.3">
      <c r="E241" s="17"/>
      <c r="F241" s="17"/>
      <c r="G241" s="41"/>
    </row>
    <row r="242" spans="5:7" ht="14.25" customHeight="1" x14ac:dyDescent="0.3">
      <c r="E242" s="17"/>
      <c r="F242" s="17"/>
      <c r="G242" s="41"/>
    </row>
    <row r="243" spans="5:7" ht="14.25" customHeight="1" x14ac:dyDescent="0.3">
      <c r="E243" s="17"/>
      <c r="F243" s="17"/>
      <c r="G243" s="41"/>
    </row>
    <row r="244" spans="5:7" ht="14.25" customHeight="1" x14ac:dyDescent="0.3">
      <c r="E244" s="17"/>
      <c r="F244" s="17"/>
      <c r="G244" s="41"/>
    </row>
    <row r="245" spans="5:7" ht="14.25" customHeight="1" x14ac:dyDescent="0.3">
      <c r="E245" s="17"/>
      <c r="F245" s="17"/>
      <c r="G245" s="41"/>
    </row>
    <row r="246" spans="5:7" ht="14.25" customHeight="1" x14ac:dyDescent="0.3">
      <c r="E246" s="17"/>
      <c r="F246" s="17"/>
      <c r="G246" s="41"/>
    </row>
    <row r="247" spans="5:7" ht="14.25" customHeight="1" x14ac:dyDescent="0.3">
      <c r="E247" s="17"/>
      <c r="F247" s="17"/>
      <c r="G247" s="41"/>
    </row>
    <row r="248" spans="5:7" ht="14.25" customHeight="1" x14ac:dyDescent="0.3">
      <c r="E248" s="17"/>
      <c r="F248" s="17"/>
      <c r="G248" s="41"/>
    </row>
    <row r="249" spans="5:7" ht="14.25" customHeight="1" x14ac:dyDescent="0.3">
      <c r="E249" s="17"/>
      <c r="F249" s="17"/>
      <c r="G249" s="41"/>
    </row>
    <row r="250" spans="5:7" ht="14.25" customHeight="1" x14ac:dyDescent="0.3">
      <c r="E250" s="17"/>
      <c r="F250" s="17"/>
      <c r="G250" s="41"/>
    </row>
    <row r="251" spans="5:7" ht="14.25" customHeight="1" x14ac:dyDescent="0.3">
      <c r="E251" s="17"/>
      <c r="F251" s="17"/>
      <c r="G251" s="41"/>
    </row>
    <row r="252" spans="5:7" ht="14.25" customHeight="1" x14ac:dyDescent="0.3">
      <c r="E252" s="17"/>
      <c r="F252" s="17"/>
      <c r="G252" s="41"/>
    </row>
    <row r="253" spans="5:7" ht="14.25" customHeight="1" x14ac:dyDescent="0.3">
      <c r="E253" s="17"/>
      <c r="F253" s="17"/>
      <c r="G253" s="41"/>
    </row>
    <row r="254" spans="5:7" ht="14.25" customHeight="1" x14ac:dyDescent="0.3">
      <c r="E254" s="17"/>
      <c r="F254" s="17"/>
      <c r="G254" s="41"/>
    </row>
    <row r="255" spans="5:7" ht="14.25" customHeight="1" x14ac:dyDescent="0.3">
      <c r="E255" s="17"/>
      <c r="F255" s="17"/>
      <c r="G255" s="41"/>
    </row>
    <row r="256" spans="5:7" ht="14.25" customHeight="1" x14ac:dyDescent="0.3">
      <c r="E256" s="17"/>
      <c r="F256" s="17"/>
      <c r="G256" s="41"/>
    </row>
    <row r="257" spans="5:7" ht="14.25" customHeight="1" x14ac:dyDescent="0.3">
      <c r="E257" s="17"/>
      <c r="F257" s="17"/>
      <c r="G257" s="41"/>
    </row>
    <row r="258" spans="5:7" ht="14.25" customHeight="1" x14ac:dyDescent="0.3">
      <c r="E258" s="17"/>
      <c r="F258" s="17"/>
      <c r="G258" s="41"/>
    </row>
    <row r="259" spans="5:7" ht="14.25" customHeight="1" x14ac:dyDescent="0.3">
      <c r="E259" s="17"/>
      <c r="F259" s="17"/>
      <c r="G259" s="41"/>
    </row>
    <row r="260" spans="5:7" ht="14.25" customHeight="1" x14ac:dyDescent="0.3">
      <c r="E260" s="17"/>
      <c r="F260" s="17"/>
      <c r="G260" s="41"/>
    </row>
    <row r="261" spans="5:7" ht="14.25" customHeight="1" x14ac:dyDescent="0.3">
      <c r="E261" s="17"/>
      <c r="F261" s="17"/>
      <c r="G261" s="41"/>
    </row>
    <row r="262" spans="5:7" ht="14.25" customHeight="1" x14ac:dyDescent="0.3">
      <c r="E262" s="17"/>
      <c r="F262" s="17"/>
      <c r="G262" s="41"/>
    </row>
    <row r="263" spans="5:7" ht="14.25" customHeight="1" x14ac:dyDescent="0.3">
      <c r="E263" s="17"/>
      <c r="F263" s="17"/>
      <c r="G263" s="41"/>
    </row>
    <row r="264" spans="5:7" ht="14.25" customHeight="1" x14ac:dyDescent="0.3">
      <c r="E264" s="17"/>
      <c r="F264" s="17"/>
      <c r="G264" s="41"/>
    </row>
    <row r="265" spans="5:7" ht="14.25" customHeight="1" x14ac:dyDescent="0.3">
      <c r="E265" s="17"/>
      <c r="F265" s="17"/>
      <c r="G265" s="41"/>
    </row>
    <row r="266" spans="5:7" ht="14.25" customHeight="1" x14ac:dyDescent="0.3">
      <c r="E266" s="17"/>
      <c r="F266" s="17"/>
      <c r="G266" s="41"/>
    </row>
    <row r="267" spans="5:7" ht="14.25" customHeight="1" x14ac:dyDescent="0.3">
      <c r="E267" s="17"/>
      <c r="F267" s="17"/>
      <c r="G267" s="41"/>
    </row>
    <row r="268" spans="5:7" ht="14.25" customHeight="1" x14ac:dyDescent="0.3">
      <c r="E268" s="17"/>
      <c r="F268" s="17"/>
      <c r="G268" s="41"/>
    </row>
    <row r="269" spans="5:7" ht="14.25" customHeight="1" x14ac:dyDescent="0.3">
      <c r="E269" s="17"/>
      <c r="F269" s="17"/>
      <c r="G269" s="41"/>
    </row>
    <row r="270" spans="5:7" ht="14.25" customHeight="1" x14ac:dyDescent="0.3">
      <c r="E270" s="17"/>
      <c r="F270" s="17"/>
      <c r="G270" s="41"/>
    </row>
    <row r="271" spans="5:7" ht="14.25" customHeight="1" x14ac:dyDescent="0.3">
      <c r="E271" s="17"/>
      <c r="F271" s="17"/>
      <c r="G271" s="41"/>
    </row>
    <row r="272" spans="5:7" ht="14.25" customHeight="1" x14ac:dyDescent="0.3">
      <c r="E272" s="17"/>
      <c r="F272" s="17"/>
      <c r="G272" s="41"/>
    </row>
    <row r="273" spans="5:7" ht="14.25" customHeight="1" x14ac:dyDescent="0.3">
      <c r="E273" s="17"/>
      <c r="F273" s="17"/>
      <c r="G273" s="41"/>
    </row>
    <row r="274" spans="5:7" ht="14.25" customHeight="1" x14ac:dyDescent="0.3">
      <c r="E274" s="17"/>
      <c r="F274" s="17"/>
      <c r="G274" s="41"/>
    </row>
    <row r="275" spans="5:7" ht="14.25" customHeight="1" x14ac:dyDescent="0.3">
      <c r="E275" s="17"/>
      <c r="F275" s="17"/>
      <c r="G275" s="41"/>
    </row>
    <row r="276" spans="5:7" ht="14.25" customHeight="1" x14ac:dyDescent="0.3">
      <c r="E276" s="17"/>
      <c r="F276" s="17"/>
      <c r="G276" s="41"/>
    </row>
    <row r="277" spans="5:7" ht="14.25" customHeight="1" x14ac:dyDescent="0.3">
      <c r="E277" s="17"/>
      <c r="F277" s="17"/>
      <c r="G277" s="41"/>
    </row>
    <row r="278" spans="5:7" ht="14.25" customHeight="1" x14ac:dyDescent="0.3">
      <c r="E278" s="17"/>
      <c r="F278" s="17"/>
      <c r="G278" s="41"/>
    </row>
    <row r="279" spans="5:7" ht="14.25" customHeight="1" x14ac:dyDescent="0.3">
      <c r="E279" s="17"/>
      <c r="F279" s="17"/>
      <c r="G279" s="41"/>
    </row>
    <row r="280" spans="5:7" ht="14.25" customHeight="1" x14ac:dyDescent="0.3">
      <c r="E280" s="17"/>
      <c r="F280" s="17"/>
      <c r="G280" s="41"/>
    </row>
    <row r="281" spans="5:7" ht="14.25" customHeight="1" x14ac:dyDescent="0.3">
      <c r="E281" s="17"/>
      <c r="F281" s="17"/>
      <c r="G281" s="41"/>
    </row>
    <row r="282" spans="5:7" ht="14.25" customHeight="1" x14ac:dyDescent="0.3">
      <c r="E282" s="17"/>
      <c r="F282" s="17"/>
      <c r="G282" s="41"/>
    </row>
    <row r="283" spans="5:7" ht="14.25" customHeight="1" x14ac:dyDescent="0.3">
      <c r="E283" s="17"/>
      <c r="F283" s="17"/>
      <c r="G283" s="41"/>
    </row>
    <row r="284" spans="5:7" ht="14.25" customHeight="1" x14ac:dyDescent="0.3">
      <c r="E284" s="17"/>
      <c r="F284" s="17"/>
      <c r="G284" s="41"/>
    </row>
    <row r="285" spans="5:7" ht="14.25" customHeight="1" x14ac:dyDescent="0.3">
      <c r="E285" s="17"/>
      <c r="F285" s="17"/>
      <c r="G285" s="41"/>
    </row>
    <row r="286" spans="5:7" ht="14.25" customHeight="1" x14ac:dyDescent="0.3">
      <c r="E286" s="17"/>
      <c r="F286" s="17"/>
      <c r="G286" s="41"/>
    </row>
    <row r="287" spans="5:7" ht="14.25" customHeight="1" x14ac:dyDescent="0.3">
      <c r="E287" s="17"/>
      <c r="F287" s="17"/>
      <c r="G287" s="41"/>
    </row>
    <row r="288" spans="5:7" ht="14.25" customHeight="1" x14ac:dyDescent="0.3">
      <c r="E288" s="17"/>
      <c r="F288" s="17"/>
      <c r="G288" s="41"/>
    </row>
    <row r="289" spans="5:7" ht="14.25" customHeight="1" x14ac:dyDescent="0.3">
      <c r="E289" s="17"/>
      <c r="F289" s="17"/>
      <c r="G289" s="41"/>
    </row>
    <row r="290" spans="5:7" ht="14.25" customHeight="1" x14ac:dyDescent="0.3">
      <c r="E290" s="17"/>
      <c r="F290" s="17"/>
      <c r="G290" s="41"/>
    </row>
    <row r="291" spans="5:7" ht="14.25" customHeight="1" x14ac:dyDescent="0.3">
      <c r="E291" s="17"/>
      <c r="F291" s="17"/>
      <c r="G291" s="41"/>
    </row>
    <row r="292" spans="5:7" ht="14.25" customHeight="1" x14ac:dyDescent="0.3">
      <c r="E292" s="17"/>
      <c r="F292" s="17"/>
      <c r="G292" s="41"/>
    </row>
    <row r="293" spans="5:7" ht="14.25" customHeight="1" x14ac:dyDescent="0.3">
      <c r="E293" s="17"/>
      <c r="F293" s="17"/>
      <c r="G293" s="41"/>
    </row>
    <row r="294" spans="5:7" ht="14.25" customHeight="1" x14ac:dyDescent="0.3">
      <c r="E294" s="17"/>
      <c r="F294" s="17"/>
      <c r="G294" s="41"/>
    </row>
    <row r="295" spans="5:7" ht="14.25" customHeight="1" x14ac:dyDescent="0.3">
      <c r="E295" s="17"/>
      <c r="F295" s="17"/>
      <c r="G295" s="41"/>
    </row>
    <row r="296" spans="5:7" ht="14.25" customHeight="1" x14ac:dyDescent="0.3">
      <c r="E296" s="17"/>
      <c r="F296" s="17"/>
      <c r="G296" s="41"/>
    </row>
    <row r="297" spans="5:7" ht="14.25" customHeight="1" x14ac:dyDescent="0.3">
      <c r="E297" s="17"/>
      <c r="F297" s="17"/>
      <c r="G297" s="41"/>
    </row>
    <row r="298" spans="5:7" ht="14.25" customHeight="1" x14ac:dyDescent="0.3">
      <c r="E298" s="17"/>
      <c r="F298" s="17"/>
      <c r="G298" s="41"/>
    </row>
    <row r="299" spans="5:7" ht="14.25" customHeight="1" x14ac:dyDescent="0.3">
      <c r="E299" s="17"/>
      <c r="F299" s="17"/>
      <c r="G299" s="41"/>
    </row>
    <row r="300" spans="5:7" ht="14.25" customHeight="1" x14ac:dyDescent="0.3">
      <c r="E300" s="17"/>
      <c r="F300" s="17"/>
      <c r="G300" s="41"/>
    </row>
    <row r="301" spans="5:7" ht="14.25" customHeight="1" x14ac:dyDescent="0.3">
      <c r="E301" s="17"/>
      <c r="F301" s="17"/>
      <c r="G301" s="41"/>
    </row>
    <row r="302" spans="5:7" ht="14.25" customHeight="1" x14ac:dyDescent="0.3">
      <c r="E302" s="17"/>
      <c r="F302" s="17"/>
      <c r="G302" s="41"/>
    </row>
    <row r="303" spans="5:7" ht="14.25" customHeight="1" x14ac:dyDescent="0.3">
      <c r="E303" s="17"/>
      <c r="F303" s="17"/>
      <c r="G303" s="41"/>
    </row>
    <row r="304" spans="5:7" ht="14.25" customHeight="1" x14ac:dyDescent="0.3">
      <c r="E304" s="17"/>
      <c r="F304" s="17"/>
      <c r="G304" s="41"/>
    </row>
    <row r="305" spans="5:7" ht="14.25" customHeight="1" x14ac:dyDescent="0.3">
      <c r="E305" s="17"/>
      <c r="F305" s="17"/>
      <c r="G305" s="41"/>
    </row>
    <row r="306" spans="5:7" ht="14.25" customHeight="1" x14ac:dyDescent="0.3">
      <c r="E306" s="17"/>
      <c r="F306" s="17"/>
      <c r="G306" s="41"/>
    </row>
    <row r="307" spans="5:7" ht="14.25" customHeight="1" x14ac:dyDescent="0.3">
      <c r="E307" s="17"/>
      <c r="F307" s="17"/>
      <c r="G307" s="41"/>
    </row>
    <row r="308" spans="5:7" ht="14.25" customHeight="1" x14ac:dyDescent="0.3">
      <c r="E308" s="17"/>
      <c r="F308" s="17"/>
      <c r="G308" s="41"/>
    </row>
    <row r="309" spans="5:7" ht="14.25" customHeight="1" x14ac:dyDescent="0.3">
      <c r="E309" s="17"/>
      <c r="F309" s="17"/>
      <c r="G309" s="41"/>
    </row>
    <row r="310" spans="5:7" ht="14.25" customHeight="1" x14ac:dyDescent="0.3">
      <c r="E310" s="17"/>
      <c r="F310" s="17"/>
      <c r="G310" s="41"/>
    </row>
    <row r="311" spans="5:7" ht="14.25" customHeight="1" x14ac:dyDescent="0.3">
      <c r="E311" s="17"/>
      <c r="F311" s="17"/>
      <c r="G311" s="41"/>
    </row>
    <row r="312" spans="5:7" ht="14.25" customHeight="1" x14ac:dyDescent="0.3">
      <c r="E312" s="17"/>
      <c r="F312" s="17"/>
      <c r="G312" s="41"/>
    </row>
    <row r="313" spans="5:7" ht="14.25" customHeight="1" x14ac:dyDescent="0.3">
      <c r="E313" s="17"/>
      <c r="F313" s="17"/>
      <c r="G313" s="41"/>
    </row>
    <row r="314" spans="5:7" ht="14.25" customHeight="1" x14ac:dyDescent="0.3">
      <c r="E314" s="17"/>
      <c r="F314" s="17"/>
      <c r="G314" s="41"/>
    </row>
    <row r="315" spans="5:7" ht="14.25" customHeight="1" x14ac:dyDescent="0.3">
      <c r="E315" s="17"/>
      <c r="F315" s="17"/>
      <c r="G315" s="41"/>
    </row>
    <row r="316" spans="5:7" ht="14.25" customHeight="1" x14ac:dyDescent="0.3">
      <c r="E316" s="17"/>
      <c r="F316" s="17"/>
      <c r="G316" s="41"/>
    </row>
    <row r="317" spans="5:7" ht="14.25" customHeight="1" x14ac:dyDescent="0.3">
      <c r="E317" s="17"/>
      <c r="F317" s="17"/>
      <c r="G317" s="41"/>
    </row>
    <row r="318" spans="5:7" ht="14.25" customHeight="1" x14ac:dyDescent="0.3">
      <c r="E318" s="17"/>
      <c r="F318" s="17"/>
      <c r="G318" s="41"/>
    </row>
    <row r="319" spans="5:7" ht="14.25" customHeight="1" x14ac:dyDescent="0.3">
      <c r="E319" s="17"/>
      <c r="F319" s="17"/>
      <c r="G319" s="41"/>
    </row>
    <row r="320" spans="5:7" ht="14.25" customHeight="1" x14ac:dyDescent="0.3">
      <c r="E320" s="17"/>
      <c r="F320" s="17"/>
      <c r="G320" s="41"/>
    </row>
    <row r="321" spans="5:7" ht="14.25" customHeight="1" x14ac:dyDescent="0.3">
      <c r="E321" s="17"/>
      <c r="F321" s="17"/>
      <c r="G321" s="41"/>
    </row>
    <row r="322" spans="5:7" ht="14.25" customHeight="1" x14ac:dyDescent="0.3">
      <c r="E322" s="17"/>
      <c r="F322" s="17"/>
      <c r="G322" s="41"/>
    </row>
    <row r="323" spans="5:7" ht="14.25" customHeight="1" x14ac:dyDescent="0.3">
      <c r="E323" s="17"/>
      <c r="F323" s="17"/>
      <c r="G323" s="41"/>
    </row>
    <row r="324" spans="5:7" ht="14.25" customHeight="1" x14ac:dyDescent="0.3">
      <c r="E324" s="17"/>
      <c r="F324" s="17"/>
      <c r="G324" s="41"/>
    </row>
    <row r="325" spans="5:7" ht="14.25" customHeight="1" x14ac:dyDescent="0.3">
      <c r="E325" s="17"/>
      <c r="F325" s="17"/>
      <c r="G325" s="41"/>
    </row>
    <row r="326" spans="5:7" ht="14.25" customHeight="1" x14ac:dyDescent="0.3">
      <c r="E326" s="17"/>
      <c r="F326" s="17"/>
      <c r="G326" s="41"/>
    </row>
    <row r="327" spans="5:7" ht="14.25" customHeight="1" x14ac:dyDescent="0.3">
      <c r="E327" s="17"/>
      <c r="F327" s="17"/>
      <c r="G327" s="41"/>
    </row>
    <row r="328" spans="5:7" ht="14.25" customHeight="1" x14ac:dyDescent="0.3">
      <c r="E328" s="17"/>
      <c r="F328" s="17"/>
      <c r="G328" s="41"/>
    </row>
    <row r="329" spans="5:7" ht="14.25" customHeight="1" x14ac:dyDescent="0.3">
      <c r="E329" s="17"/>
      <c r="F329" s="17"/>
      <c r="G329" s="41"/>
    </row>
    <row r="330" spans="5:7" ht="14.25" customHeight="1" x14ac:dyDescent="0.3">
      <c r="E330" s="17"/>
      <c r="F330" s="17"/>
      <c r="G330" s="41"/>
    </row>
    <row r="331" spans="5:7" ht="14.25" customHeight="1" x14ac:dyDescent="0.3">
      <c r="E331" s="17"/>
      <c r="F331" s="17"/>
      <c r="G331" s="41"/>
    </row>
    <row r="332" spans="5:7" ht="14.25" customHeight="1" x14ac:dyDescent="0.3">
      <c r="E332" s="17"/>
      <c r="F332" s="17"/>
      <c r="G332" s="41"/>
    </row>
    <row r="333" spans="5:7" ht="14.25" customHeight="1" x14ac:dyDescent="0.3">
      <c r="E333" s="17"/>
      <c r="F333" s="17"/>
      <c r="G333" s="41"/>
    </row>
    <row r="334" spans="5:7" ht="14.25" customHeight="1" x14ac:dyDescent="0.3">
      <c r="E334" s="17"/>
      <c r="F334" s="17"/>
      <c r="G334" s="41"/>
    </row>
    <row r="335" spans="5:7" ht="14.25" customHeight="1" x14ac:dyDescent="0.3">
      <c r="E335" s="17"/>
      <c r="F335" s="17"/>
      <c r="G335" s="41"/>
    </row>
    <row r="336" spans="5:7" ht="14.25" customHeight="1" x14ac:dyDescent="0.3">
      <c r="E336" s="17"/>
      <c r="F336" s="17"/>
      <c r="G336" s="41"/>
    </row>
    <row r="337" spans="5:7" ht="14.25" customHeight="1" x14ac:dyDescent="0.3">
      <c r="E337" s="17"/>
      <c r="F337" s="17"/>
      <c r="G337" s="41"/>
    </row>
    <row r="338" spans="5:7" ht="14.25" customHeight="1" x14ac:dyDescent="0.3">
      <c r="E338" s="17"/>
      <c r="F338" s="17"/>
      <c r="G338" s="41"/>
    </row>
    <row r="339" spans="5:7" ht="14.25" customHeight="1" x14ac:dyDescent="0.3">
      <c r="E339" s="17"/>
      <c r="F339" s="17"/>
      <c r="G339" s="41"/>
    </row>
    <row r="340" spans="5:7" ht="14.25" customHeight="1" x14ac:dyDescent="0.3">
      <c r="E340" s="17"/>
      <c r="F340" s="17"/>
      <c r="G340" s="41"/>
    </row>
    <row r="341" spans="5:7" ht="14.25" customHeight="1" x14ac:dyDescent="0.3">
      <c r="E341" s="17"/>
      <c r="F341" s="17"/>
      <c r="G341" s="41"/>
    </row>
    <row r="342" spans="5:7" ht="14.25" customHeight="1" x14ac:dyDescent="0.3">
      <c r="E342" s="17"/>
      <c r="F342" s="17"/>
      <c r="G342" s="41"/>
    </row>
    <row r="343" spans="5:7" ht="14.25" customHeight="1" x14ac:dyDescent="0.3">
      <c r="E343" s="17"/>
      <c r="F343" s="17"/>
      <c r="G343" s="41"/>
    </row>
    <row r="344" spans="5:7" ht="14.25" customHeight="1" x14ac:dyDescent="0.3">
      <c r="E344" s="17"/>
      <c r="F344" s="17"/>
      <c r="G344" s="41"/>
    </row>
    <row r="345" spans="5:7" ht="14.25" customHeight="1" x14ac:dyDescent="0.3">
      <c r="E345" s="17"/>
      <c r="F345" s="17"/>
      <c r="G345" s="41"/>
    </row>
    <row r="346" spans="5:7" ht="14.25" customHeight="1" x14ac:dyDescent="0.3">
      <c r="E346" s="17"/>
      <c r="F346" s="17"/>
      <c r="G346" s="41"/>
    </row>
    <row r="347" spans="5:7" ht="14.25" customHeight="1" x14ac:dyDescent="0.3">
      <c r="E347" s="17"/>
      <c r="F347" s="17"/>
      <c r="G347" s="41"/>
    </row>
    <row r="348" spans="5:7" ht="14.25" customHeight="1" x14ac:dyDescent="0.3">
      <c r="E348" s="17"/>
      <c r="F348" s="17"/>
      <c r="G348" s="41"/>
    </row>
    <row r="349" spans="5:7" ht="14.25" customHeight="1" x14ac:dyDescent="0.3">
      <c r="E349" s="17"/>
      <c r="F349" s="17"/>
      <c r="G349" s="41"/>
    </row>
    <row r="350" spans="5:7" ht="14.25" customHeight="1" x14ac:dyDescent="0.3">
      <c r="E350" s="17"/>
      <c r="F350" s="17"/>
      <c r="G350" s="41"/>
    </row>
    <row r="351" spans="5:7" ht="14.25" customHeight="1" x14ac:dyDescent="0.3">
      <c r="E351" s="17"/>
      <c r="F351" s="17"/>
      <c r="G351" s="41"/>
    </row>
    <row r="352" spans="5:7" ht="14.25" customHeight="1" x14ac:dyDescent="0.3">
      <c r="E352" s="17"/>
      <c r="F352" s="17"/>
      <c r="G352" s="41"/>
    </row>
    <row r="353" spans="5:7" ht="14.25" customHeight="1" x14ac:dyDescent="0.3">
      <c r="E353" s="17"/>
      <c r="F353" s="17"/>
      <c r="G353" s="41"/>
    </row>
    <row r="354" spans="5:7" ht="14.25" customHeight="1" x14ac:dyDescent="0.3">
      <c r="E354" s="17"/>
      <c r="F354" s="17"/>
      <c r="G354" s="41"/>
    </row>
    <row r="355" spans="5:7" ht="14.25" customHeight="1" x14ac:dyDescent="0.3">
      <c r="E355" s="17"/>
      <c r="F355" s="17"/>
      <c r="G355" s="41"/>
    </row>
    <row r="356" spans="5:7" ht="14.25" customHeight="1" x14ac:dyDescent="0.3">
      <c r="E356" s="17"/>
      <c r="F356" s="17"/>
      <c r="G356" s="41"/>
    </row>
    <row r="357" spans="5:7" ht="14.25" customHeight="1" x14ac:dyDescent="0.3">
      <c r="E357" s="17"/>
      <c r="F357" s="17"/>
      <c r="G357" s="41"/>
    </row>
    <row r="358" spans="5:7" ht="14.25" customHeight="1" x14ac:dyDescent="0.3">
      <c r="E358" s="17"/>
      <c r="F358" s="17"/>
      <c r="G358" s="41"/>
    </row>
    <row r="359" spans="5:7" ht="14.25" customHeight="1" x14ac:dyDescent="0.3">
      <c r="E359" s="17"/>
      <c r="F359" s="17"/>
      <c r="G359" s="41"/>
    </row>
    <row r="360" spans="5:7" ht="14.25" customHeight="1" x14ac:dyDescent="0.3">
      <c r="E360" s="17"/>
      <c r="F360" s="17"/>
      <c r="G360" s="41"/>
    </row>
    <row r="361" spans="5:7" ht="14.25" customHeight="1" x14ac:dyDescent="0.3">
      <c r="E361" s="17"/>
      <c r="F361" s="17"/>
      <c r="G361" s="41"/>
    </row>
    <row r="362" spans="5:7" ht="14.25" customHeight="1" x14ac:dyDescent="0.3">
      <c r="E362" s="17"/>
      <c r="F362" s="17"/>
      <c r="G362" s="41"/>
    </row>
    <row r="363" spans="5:7" ht="14.25" customHeight="1" x14ac:dyDescent="0.3">
      <c r="E363" s="17"/>
      <c r="F363" s="17"/>
      <c r="G363" s="41"/>
    </row>
    <row r="364" spans="5:7" ht="14.25" customHeight="1" x14ac:dyDescent="0.3">
      <c r="E364" s="17"/>
      <c r="F364" s="17"/>
      <c r="G364" s="41"/>
    </row>
    <row r="365" spans="5:7" ht="14.25" customHeight="1" x14ac:dyDescent="0.3">
      <c r="E365" s="17"/>
      <c r="F365" s="17"/>
      <c r="G365" s="41"/>
    </row>
    <row r="366" spans="5:7" ht="14.25" customHeight="1" x14ac:dyDescent="0.3">
      <c r="E366" s="17"/>
      <c r="F366" s="17"/>
      <c r="G366" s="41"/>
    </row>
    <row r="367" spans="5:7" ht="14.25" customHeight="1" x14ac:dyDescent="0.3">
      <c r="E367" s="17"/>
      <c r="F367" s="17"/>
      <c r="G367" s="41"/>
    </row>
    <row r="368" spans="5:7" ht="14.25" customHeight="1" x14ac:dyDescent="0.3">
      <c r="E368" s="17"/>
      <c r="F368" s="17"/>
      <c r="G368" s="41"/>
    </row>
    <row r="369" spans="5:7" ht="14.25" customHeight="1" x14ac:dyDescent="0.3">
      <c r="E369" s="17"/>
      <c r="F369" s="17"/>
      <c r="G369" s="41"/>
    </row>
    <row r="370" spans="5:7" ht="14.25" customHeight="1" x14ac:dyDescent="0.3">
      <c r="E370" s="17"/>
      <c r="F370" s="17"/>
      <c r="G370" s="41"/>
    </row>
    <row r="371" spans="5:7" ht="14.25" customHeight="1" x14ac:dyDescent="0.3">
      <c r="E371" s="17"/>
      <c r="F371" s="17"/>
      <c r="G371" s="41"/>
    </row>
    <row r="372" spans="5:7" ht="14.25" customHeight="1" x14ac:dyDescent="0.3">
      <c r="E372" s="17"/>
      <c r="F372" s="17"/>
      <c r="G372" s="41"/>
    </row>
    <row r="373" spans="5:7" ht="14.25" customHeight="1" x14ac:dyDescent="0.3">
      <c r="E373" s="17"/>
      <c r="F373" s="17"/>
      <c r="G373" s="41"/>
    </row>
    <row r="374" spans="5:7" ht="14.25" customHeight="1" x14ac:dyDescent="0.3">
      <c r="E374" s="17"/>
      <c r="F374" s="17"/>
      <c r="G374" s="41"/>
    </row>
    <row r="375" spans="5:7" ht="14.25" customHeight="1" x14ac:dyDescent="0.3">
      <c r="E375" s="17"/>
      <c r="F375" s="17"/>
      <c r="G375" s="41"/>
    </row>
    <row r="376" spans="5:7" ht="14.25" customHeight="1" x14ac:dyDescent="0.3">
      <c r="E376" s="17"/>
      <c r="F376" s="17"/>
      <c r="G376" s="41"/>
    </row>
    <row r="377" spans="5:7" ht="14.25" customHeight="1" x14ac:dyDescent="0.3">
      <c r="E377" s="17"/>
      <c r="F377" s="17"/>
      <c r="G377" s="41"/>
    </row>
    <row r="378" spans="5:7" ht="14.25" customHeight="1" x14ac:dyDescent="0.3">
      <c r="E378" s="17"/>
      <c r="F378" s="17"/>
      <c r="G378" s="41"/>
    </row>
    <row r="379" spans="5:7" ht="14.25" customHeight="1" x14ac:dyDescent="0.3">
      <c r="E379" s="17"/>
      <c r="F379" s="17"/>
      <c r="G379" s="41"/>
    </row>
    <row r="380" spans="5:7" ht="14.25" customHeight="1" x14ac:dyDescent="0.3">
      <c r="E380" s="17"/>
      <c r="F380" s="17"/>
      <c r="G380" s="41"/>
    </row>
    <row r="381" spans="5:7" ht="14.25" customHeight="1" x14ac:dyDescent="0.3">
      <c r="E381" s="17"/>
      <c r="F381" s="17"/>
      <c r="G381" s="41"/>
    </row>
    <row r="382" spans="5:7" ht="14.25" customHeight="1" x14ac:dyDescent="0.3">
      <c r="E382" s="17"/>
      <c r="F382" s="17"/>
      <c r="G382" s="41"/>
    </row>
    <row r="383" spans="5:7" ht="14.25" customHeight="1" x14ac:dyDescent="0.3">
      <c r="E383" s="17"/>
      <c r="F383" s="17"/>
      <c r="G383" s="41"/>
    </row>
    <row r="384" spans="5:7" ht="14.25" customHeight="1" x14ac:dyDescent="0.3">
      <c r="E384" s="17"/>
      <c r="F384" s="17"/>
      <c r="G384" s="41"/>
    </row>
    <row r="385" spans="5:7" ht="14.25" customHeight="1" x14ac:dyDescent="0.3">
      <c r="E385" s="17"/>
      <c r="F385" s="17"/>
      <c r="G385" s="41"/>
    </row>
    <row r="386" spans="5:7" ht="14.25" customHeight="1" x14ac:dyDescent="0.3">
      <c r="E386" s="17"/>
      <c r="F386" s="17"/>
      <c r="G386" s="41"/>
    </row>
    <row r="387" spans="5:7" ht="14.25" customHeight="1" x14ac:dyDescent="0.3">
      <c r="E387" s="17"/>
      <c r="F387" s="17"/>
      <c r="G387" s="41"/>
    </row>
    <row r="388" spans="5:7" ht="14.25" customHeight="1" x14ac:dyDescent="0.3">
      <c r="E388" s="17"/>
      <c r="F388" s="17"/>
      <c r="G388" s="41"/>
    </row>
    <row r="389" spans="5:7" ht="14.25" customHeight="1" x14ac:dyDescent="0.3">
      <c r="E389" s="17"/>
      <c r="F389" s="17"/>
      <c r="G389" s="41"/>
    </row>
    <row r="390" spans="5:7" ht="14.25" customHeight="1" x14ac:dyDescent="0.3">
      <c r="E390" s="17"/>
      <c r="F390" s="17"/>
      <c r="G390" s="41"/>
    </row>
    <row r="391" spans="5:7" ht="14.25" customHeight="1" x14ac:dyDescent="0.3">
      <c r="E391" s="17"/>
      <c r="F391" s="17"/>
      <c r="G391" s="41"/>
    </row>
    <row r="392" spans="5:7" ht="14.25" customHeight="1" x14ac:dyDescent="0.3">
      <c r="E392" s="17"/>
      <c r="F392" s="17"/>
      <c r="G392" s="41"/>
    </row>
    <row r="393" spans="5:7" ht="14.25" customHeight="1" x14ac:dyDescent="0.3">
      <c r="E393" s="17"/>
      <c r="F393" s="17"/>
      <c r="G393" s="41"/>
    </row>
    <row r="394" spans="5:7" ht="14.25" customHeight="1" x14ac:dyDescent="0.3">
      <c r="E394" s="17"/>
      <c r="F394" s="17"/>
      <c r="G394" s="41"/>
    </row>
    <row r="395" spans="5:7" ht="14.25" customHeight="1" x14ac:dyDescent="0.3">
      <c r="E395" s="17"/>
      <c r="F395" s="17"/>
      <c r="G395" s="41"/>
    </row>
    <row r="396" spans="5:7" ht="14.25" customHeight="1" x14ac:dyDescent="0.3">
      <c r="E396" s="17"/>
      <c r="F396" s="17"/>
      <c r="G396" s="41"/>
    </row>
    <row r="397" spans="5:7" ht="14.25" customHeight="1" x14ac:dyDescent="0.3">
      <c r="E397" s="17"/>
      <c r="F397" s="17"/>
      <c r="G397" s="41"/>
    </row>
    <row r="398" spans="5:7" ht="14.25" customHeight="1" x14ac:dyDescent="0.3">
      <c r="E398" s="17"/>
      <c r="F398" s="17"/>
      <c r="G398" s="41"/>
    </row>
    <row r="399" spans="5:7" ht="14.25" customHeight="1" x14ac:dyDescent="0.3">
      <c r="E399" s="17"/>
      <c r="F399" s="17"/>
      <c r="G399" s="41"/>
    </row>
    <row r="400" spans="5:7" ht="14.25" customHeight="1" x14ac:dyDescent="0.3">
      <c r="E400" s="17"/>
      <c r="F400" s="17"/>
      <c r="G400" s="41"/>
    </row>
    <row r="401" spans="5:7" ht="14.25" customHeight="1" x14ac:dyDescent="0.3">
      <c r="E401" s="17"/>
      <c r="F401" s="17"/>
      <c r="G401" s="41"/>
    </row>
    <row r="402" spans="5:7" ht="14.25" customHeight="1" x14ac:dyDescent="0.3">
      <c r="E402" s="17"/>
      <c r="F402" s="17"/>
      <c r="G402" s="41"/>
    </row>
    <row r="403" spans="5:7" ht="14.25" customHeight="1" x14ac:dyDescent="0.3">
      <c r="E403" s="17"/>
      <c r="F403" s="17"/>
      <c r="G403" s="41"/>
    </row>
    <row r="404" spans="5:7" ht="14.25" customHeight="1" x14ac:dyDescent="0.3">
      <c r="E404" s="17"/>
      <c r="F404" s="17"/>
      <c r="G404" s="41"/>
    </row>
    <row r="405" spans="5:7" ht="14.25" customHeight="1" x14ac:dyDescent="0.3">
      <c r="E405" s="17"/>
      <c r="F405" s="17"/>
      <c r="G405" s="41"/>
    </row>
    <row r="406" spans="5:7" ht="14.25" customHeight="1" x14ac:dyDescent="0.3">
      <c r="E406" s="17"/>
      <c r="F406" s="17"/>
      <c r="G406" s="41"/>
    </row>
    <row r="407" spans="5:7" ht="14.25" customHeight="1" x14ac:dyDescent="0.3">
      <c r="E407" s="17"/>
      <c r="F407" s="17"/>
      <c r="G407" s="41"/>
    </row>
    <row r="408" spans="5:7" ht="14.25" customHeight="1" x14ac:dyDescent="0.3">
      <c r="E408" s="17"/>
      <c r="F408" s="17"/>
      <c r="G408" s="41"/>
    </row>
    <row r="409" spans="5:7" ht="14.25" customHeight="1" x14ac:dyDescent="0.3">
      <c r="E409" s="17"/>
      <c r="F409" s="17"/>
      <c r="G409" s="41"/>
    </row>
    <row r="410" spans="5:7" ht="14.25" customHeight="1" x14ac:dyDescent="0.3">
      <c r="E410" s="17"/>
      <c r="F410" s="17"/>
      <c r="G410" s="41"/>
    </row>
    <row r="411" spans="5:7" ht="14.25" customHeight="1" x14ac:dyDescent="0.3">
      <c r="E411" s="17"/>
      <c r="F411" s="17"/>
      <c r="G411" s="41"/>
    </row>
    <row r="412" spans="5:7" ht="14.25" customHeight="1" x14ac:dyDescent="0.3">
      <c r="E412" s="17"/>
      <c r="F412" s="17"/>
      <c r="G412" s="41"/>
    </row>
    <row r="413" spans="5:7" ht="14.25" customHeight="1" x14ac:dyDescent="0.3">
      <c r="E413" s="17"/>
      <c r="F413" s="17"/>
      <c r="G413" s="41"/>
    </row>
    <row r="414" spans="5:7" ht="14.25" customHeight="1" x14ac:dyDescent="0.3">
      <c r="E414" s="17"/>
      <c r="F414" s="17"/>
      <c r="G414" s="41"/>
    </row>
    <row r="415" spans="5:7" ht="14.25" customHeight="1" x14ac:dyDescent="0.3">
      <c r="E415" s="17"/>
      <c r="F415" s="17"/>
      <c r="G415" s="41"/>
    </row>
    <row r="416" spans="5:7" ht="14.25" customHeight="1" x14ac:dyDescent="0.3">
      <c r="E416" s="17"/>
      <c r="F416" s="17"/>
      <c r="G416" s="41"/>
    </row>
    <row r="417" spans="5:7" ht="14.25" customHeight="1" x14ac:dyDescent="0.3">
      <c r="E417" s="17"/>
      <c r="F417" s="17"/>
      <c r="G417" s="41"/>
    </row>
    <row r="418" spans="5:7" ht="14.25" customHeight="1" x14ac:dyDescent="0.3">
      <c r="E418" s="17"/>
      <c r="F418" s="17"/>
      <c r="G418" s="41"/>
    </row>
    <row r="419" spans="5:7" ht="14.25" customHeight="1" x14ac:dyDescent="0.3">
      <c r="E419" s="17"/>
      <c r="F419" s="17"/>
      <c r="G419" s="41"/>
    </row>
    <row r="420" spans="5:7" ht="14.25" customHeight="1" x14ac:dyDescent="0.3">
      <c r="E420" s="17"/>
      <c r="F420" s="17"/>
      <c r="G420" s="41"/>
    </row>
    <row r="421" spans="5:7" ht="14.25" customHeight="1" x14ac:dyDescent="0.3">
      <c r="E421" s="17"/>
      <c r="F421" s="17"/>
      <c r="G421" s="41"/>
    </row>
    <row r="422" spans="5:7" ht="14.25" customHeight="1" x14ac:dyDescent="0.3">
      <c r="E422" s="17"/>
      <c r="F422" s="17"/>
      <c r="G422" s="41"/>
    </row>
    <row r="423" spans="5:7" ht="14.25" customHeight="1" x14ac:dyDescent="0.3">
      <c r="E423" s="17"/>
      <c r="F423" s="17"/>
      <c r="G423" s="41"/>
    </row>
    <row r="424" spans="5:7" ht="14.25" customHeight="1" x14ac:dyDescent="0.3">
      <c r="E424" s="17"/>
      <c r="F424" s="17"/>
      <c r="G424" s="41"/>
    </row>
    <row r="425" spans="5:7" ht="14.25" customHeight="1" x14ac:dyDescent="0.3">
      <c r="E425" s="17"/>
      <c r="F425" s="17"/>
      <c r="G425" s="41"/>
    </row>
    <row r="426" spans="5:7" ht="14.25" customHeight="1" x14ac:dyDescent="0.3">
      <c r="E426" s="17"/>
      <c r="F426" s="17"/>
      <c r="G426" s="41"/>
    </row>
    <row r="427" spans="5:7" ht="14.25" customHeight="1" x14ac:dyDescent="0.3">
      <c r="E427" s="17"/>
      <c r="F427" s="17"/>
      <c r="G427" s="41"/>
    </row>
    <row r="428" spans="5:7" ht="14.25" customHeight="1" x14ac:dyDescent="0.3">
      <c r="E428" s="17"/>
      <c r="F428" s="17"/>
      <c r="G428" s="41"/>
    </row>
    <row r="429" spans="5:7" ht="14.25" customHeight="1" x14ac:dyDescent="0.3">
      <c r="E429" s="17"/>
      <c r="F429" s="17"/>
      <c r="G429" s="41"/>
    </row>
    <row r="430" spans="5:7" ht="14.25" customHeight="1" x14ac:dyDescent="0.3">
      <c r="E430" s="17"/>
      <c r="F430" s="17"/>
      <c r="G430" s="41"/>
    </row>
    <row r="431" spans="5:7" ht="14.25" customHeight="1" x14ac:dyDescent="0.3">
      <c r="E431" s="17"/>
      <c r="F431" s="17"/>
      <c r="G431" s="41"/>
    </row>
    <row r="432" spans="5:7" ht="14.25" customHeight="1" x14ac:dyDescent="0.3">
      <c r="E432" s="17"/>
      <c r="F432" s="17"/>
      <c r="G432" s="41"/>
    </row>
    <row r="433" spans="5:7" ht="14.25" customHeight="1" x14ac:dyDescent="0.3">
      <c r="E433" s="17"/>
      <c r="F433" s="17"/>
      <c r="G433" s="41"/>
    </row>
    <row r="434" spans="5:7" ht="14.25" customHeight="1" x14ac:dyDescent="0.3">
      <c r="E434" s="17"/>
      <c r="F434" s="17"/>
      <c r="G434" s="41"/>
    </row>
    <row r="435" spans="5:7" ht="14.25" customHeight="1" x14ac:dyDescent="0.3">
      <c r="E435" s="17"/>
      <c r="F435" s="17"/>
      <c r="G435" s="41"/>
    </row>
    <row r="436" spans="5:7" ht="14.25" customHeight="1" x14ac:dyDescent="0.3">
      <c r="E436" s="17"/>
      <c r="F436" s="17"/>
      <c r="G436" s="41"/>
    </row>
    <row r="437" spans="5:7" ht="14.25" customHeight="1" x14ac:dyDescent="0.3">
      <c r="E437" s="17"/>
      <c r="F437" s="17"/>
      <c r="G437" s="41"/>
    </row>
    <row r="438" spans="5:7" ht="14.25" customHeight="1" x14ac:dyDescent="0.3">
      <c r="E438" s="17"/>
      <c r="F438" s="17"/>
      <c r="G438" s="41"/>
    </row>
    <row r="439" spans="5:7" ht="14.25" customHeight="1" x14ac:dyDescent="0.3">
      <c r="E439" s="17"/>
      <c r="F439" s="17"/>
      <c r="G439" s="41"/>
    </row>
    <row r="440" spans="5:7" ht="14.25" customHeight="1" x14ac:dyDescent="0.3">
      <c r="E440" s="17"/>
      <c r="F440" s="17"/>
      <c r="G440" s="41"/>
    </row>
    <row r="441" spans="5:7" ht="14.25" customHeight="1" x14ac:dyDescent="0.3">
      <c r="E441" s="17"/>
      <c r="F441" s="17"/>
      <c r="G441" s="41"/>
    </row>
    <row r="442" spans="5:7" ht="14.25" customHeight="1" x14ac:dyDescent="0.3">
      <c r="E442" s="17"/>
      <c r="F442" s="17"/>
      <c r="G442" s="41"/>
    </row>
    <row r="443" spans="5:7" ht="14.25" customHeight="1" x14ac:dyDescent="0.3">
      <c r="E443" s="17"/>
      <c r="F443" s="17"/>
      <c r="G443" s="41"/>
    </row>
    <row r="444" spans="5:7" ht="14.25" customHeight="1" x14ac:dyDescent="0.3">
      <c r="E444" s="17"/>
      <c r="F444" s="17"/>
      <c r="G444" s="41"/>
    </row>
    <row r="445" spans="5:7" ht="14.25" customHeight="1" x14ac:dyDescent="0.3">
      <c r="E445" s="17"/>
      <c r="F445" s="17"/>
      <c r="G445" s="41"/>
    </row>
    <row r="446" spans="5:7" ht="14.25" customHeight="1" x14ac:dyDescent="0.3">
      <c r="E446" s="17"/>
      <c r="F446" s="17"/>
      <c r="G446" s="41"/>
    </row>
    <row r="447" spans="5:7" ht="14.25" customHeight="1" x14ac:dyDescent="0.3">
      <c r="E447" s="17"/>
      <c r="F447" s="17"/>
      <c r="G447" s="41"/>
    </row>
    <row r="448" spans="5:7" ht="14.25" customHeight="1" x14ac:dyDescent="0.3">
      <c r="E448" s="17"/>
      <c r="F448" s="17"/>
      <c r="G448" s="41"/>
    </row>
    <row r="449" spans="5:7" ht="14.25" customHeight="1" x14ac:dyDescent="0.3">
      <c r="E449" s="17"/>
      <c r="F449" s="17"/>
      <c r="G449" s="41"/>
    </row>
    <row r="450" spans="5:7" ht="14.25" customHeight="1" x14ac:dyDescent="0.3">
      <c r="E450" s="17"/>
      <c r="F450" s="17"/>
      <c r="G450" s="41"/>
    </row>
    <row r="451" spans="5:7" ht="14.25" customHeight="1" x14ac:dyDescent="0.3">
      <c r="E451" s="17"/>
      <c r="F451" s="17"/>
      <c r="G451" s="41"/>
    </row>
    <row r="452" spans="5:7" ht="14.25" customHeight="1" x14ac:dyDescent="0.3">
      <c r="E452" s="17"/>
      <c r="F452" s="17"/>
      <c r="G452" s="41"/>
    </row>
    <row r="453" spans="5:7" ht="14.25" customHeight="1" x14ac:dyDescent="0.3">
      <c r="E453" s="17"/>
      <c r="F453" s="17"/>
      <c r="G453" s="41"/>
    </row>
    <row r="454" spans="5:7" ht="14.25" customHeight="1" x14ac:dyDescent="0.3">
      <c r="E454" s="17"/>
      <c r="F454" s="17"/>
      <c r="G454" s="41"/>
    </row>
    <row r="455" spans="5:7" ht="14.25" customHeight="1" x14ac:dyDescent="0.3">
      <c r="E455" s="17"/>
      <c r="F455" s="17"/>
      <c r="G455" s="41"/>
    </row>
    <row r="456" spans="5:7" ht="14.25" customHeight="1" x14ac:dyDescent="0.3">
      <c r="E456" s="17"/>
      <c r="F456" s="17"/>
      <c r="G456" s="41"/>
    </row>
    <row r="457" spans="5:7" ht="14.25" customHeight="1" x14ac:dyDescent="0.3">
      <c r="E457" s="17"/>
      <c r="F457" s="17"/>
      <c r="G457" s="41"/>
    </row>
    <row r="458" spans="5:7" ht="14.25" customHeight="1" x14ac:dyDescent="0.3">
      <c r="E458" s="17"/>
      <c r="F458" s="17"/>
      <c r="G458" s="41"/>
    </row>
    <row r="459" spans="5:7" ht="14.25" customHeight="1" x14ac:dyDescent="0.3">
      <c r="E459" s="17"/>
      <c r="F459" s="17"/>
      <c r="G459" s="41"/>
    </row>
    <row r="460" spans="5:7" ht="14.25" customHeight="1" x14ac:dyDescent="0.3">
      <c r="E460" s="17"/>
      <c r="F460" s="17"/>
      <c r="G460" s="41"/>
    </row>
    <row r="461" spans="5:7" ht="14.25" customHeight="1" x14ac:dyDescent="0.3">
      <c r="E461" s="17"/>
      <c r="F461" s="17"/>
      <c r="G461" s="41"/>
    </row>
    <row r="462" spans="5:7" ht="14.25" customHeight="1" x14ac:dyDescent="0.3">
      <c r="E462" s="17"/>
      <c r="F462" s="17"/>
      <c r="G462" s="41"/>
    </row>
    <row r="463" spans="5:7" ht="14.25" customHeight="1" x14ac:dyDescent="0.3">
      <c r="E463" s="17"/>
      <c r="F463" s="17"/>
      <c r="G463" s="41"/>
    </row>
    <row r="464" spans="5:7" ht="14.25" customHeight="1" x14ac:dyDescent="0.3">
      <c r="E464" s="17"/>
      <c r="F464" s="17"/>
      <c r="G464" s="41"/>
    </row>
    <row r="465" spans="5:7" ht="14.25" customHeight="1" x14ac:dyDescent="0.3">
      <c r="E465" s="17"/>
      <c r="F465" s="17"/>
      <c r="G465" s="41"/>
    </row>
    <row r="466" spans="5:7" ht="14.25" customHeight="1" x14ac:dyDescent="0.3">
      <c r="E466" s="17"/>
      <c r="F466" s="17"/>
      <c r="G466" s="41"/>
    </row>
    <row r="467" spans="5:7" ht="14.25" customHeight="1" x14ac:dyDescent="0.3">
      <c r="E467" s="17"/>
      <c r="F467" s="17"/>
      <c r="G467" s="41"/>
    </row>
    <row r="468" spans="5:7" ht="14.25" customHeight="1" x14ac:dyDescent="0.3">
      <c r="E468" s="17"/>
      <c r="F468" s="17"/>
      <c r="G468" s="41"/>
    </row>
    <row r="469" spans="5:7" ht="14.25" customHeight="1" x14ac:dyDescent="0.3">
      <c r="E469" s="17"/>
      <c r="F469" s="17"/>
      <c r="G469" s="41"/>
    </row>
    <row r="470" spans="5:7" ht="14.25" customHeight="1" x14ac:dyDescent="0.3">
      <c r="E470" s="17"/>
      <c r="F470" s="17"/>
      <c r="G470" s="41"/>
    </row>
    <row r="471" spans="5:7" ht="14.25" customHeight="1" x14ac:dyDescent="0.3">
      <c r="E471" s="17"/>
      <c r="F471" s="17"/>
      <c r="G471" s="41"/>
    </row>
    <row r="472" spans="5:7" ht="14.25" customHeight="1" x14ac:dyDescent="0.3">
      <c r="E472" s="17"/>
      <c r="F472" s="17"/>
      <c r="G472" s="41"/>
    </row>
    <row r="473" spans="5:7" ht="14.25" customHeight="1" x14ac:dyDescent="0.3">
      <c r="E473" s="17"/>
      <c r="F473" s="17"/>
      <c r="G473" s="41"/>
    </row>
    <row r="474" spans="5:7" ht="14.25" customHeight="1" x14ac:dyDescent="0.3">
      <c r="E474" s="17"/>
      <c r="F474" s="17"/>
      <c r="G474" s="41"/>
    </row>
    <row r="475" spans="5:7" ht="14.25" customHeight="1" x14ac:dyDescent="0.3">
      <c r="E475" s="17"/>
      <c r="F475" s="17"/>
      <c r="G475" s="41"/>
    </row>
    <row r="476" spans="5:7" ht="14.25" customHeight="1" x14ac:dyDescent="0.3">
      <c r="E476" s="17"/>
      <c r="F476" s="17"/>
      <c r="G476" s="41"/>
    </row>
    <row r="477" spans="5:7" ht="14.25" customHeight="1" x14ac:dyDescent="0.3">
      <c r="E477" s="17"/>
      <c r="F477" s="17"/>
      <c r="G477" s="41"/>
    </row>
    <row r="478" spans="5:7" ht="14.25" customHeight="1" x14ac:dyDescent="0.3">
      <c r="E478" s="17"/>
      <c r="F478" s="17"/>
      <c r="G478" s="41"/>
    </row>
    <row r="479" spans="5:7" ht="14.25" customHeight="1" x14ac:dyDescent="0.3">
      <c r="E479" s="17"/>
      <c r="F479" s="17"/>
      <c r="G479" s="41"/>
    </row>
    <row r="480" spans="5:7" ht="14.25" customHeight="1" x14ac:dyDescent="0.3">
      <c r="E480" s="17"/>
      <c r="F480" s="17"/>
      <c r="G480" s="41"/>
    </row>
    <row r="481" spans="5:7" ht="14.25" customHeight="1" x14ac:dyDescent="0.3">
      <c r="E481" s="17"/>
      <c r="F481" s="17"/>
      <c r="G481" s="41"/>
    </row>
    <row r="482" spans="5:7" ht="14.25" customHeight="1" x14ac:dyDescent="0.3">
      <c r="E482" s="17"/>
      <c r="F482" s="17"/>
      <c r="G482" s="41"/>
    </row>
    <row r="483" spans="5:7" ht="14.25" customHeight="1" x14ac:dyDescent="0.3">
      <c r="E483" s="17"/>
      <c r="F483" s="17"/>
      <c r="G483" s="41"/>
    </row>
    <row r="484" spans="5:7" ht="14.25" customHeight="1" x14ac:dyDescent="0.3">
      <c r="E484" s="17"/>
      <c r="F484" s="17"/>
      <c r="G484" s="41"/>
    </row>
    <row r="485" spans="5:7" ht="14.25" customHeight="1" x14ac:dyDescent="0.3">
      <c r="E485" s="17"/>
      <c r="F485" s="17"/>
      <c r="G485" s="41"/>
    </row>
    <row r="486" spans="5:7" ht="14.25" customHeight="1" x14ac:dyDescent="0.3">
      <c r="E486" s="17"/>
      <c r="F486" s="17"/>
      <c r="G486" s="41"/>
    </row>
    <row r="487" spans="5:7" ht="14.25" customHeight="1" x14ac:dyDescent="0.3">
      <c r="E487" s="17"/>
      <c r="F487" s="17"/>
      <c r="G487" s="41"/>
    </row>
    <row r="488" spans="5:7" ht="14.25" customHeight="1" x14ac:dyDescent="0.3">
      <c r="E488" s="17"/>
      <c r="F488" s="17"/>
      <c r="G488" s="41"/>
    </row>
    <row r="489" spans="5:7" ht="14.25" customHeight="1" x14ac:dyDescent="0.3">
      <c r="E489" s="17"/>
      <c r="F489" s="17"/>
      <c r="G489" s="41"/>
    </row>
    <row r="490" spans="5:7" ht="14.25" customHeight="1" x14ac:dyDescent="0.3">
      <c r="E490" s="17"/>
      <c r="F490" s="17"/>
      <c r="G490" s="41"/>
    </row>
    <row r="491" spans="5:7" ht="14.25" customHeight="1" x14ac:dyDescent="0.3">
      <c r="E491" s="17"/>
      <c r="F491" s="17"/>
      <c r="G491" s="41"/>
    </row>
    <row r="492" spans="5:7" ht="14.25" customHeight="1" x14ac:dyDescent="0.3">
      <c r="E492" s="17"/>
      <c r="F492" s="17"/>
      <c r="G492" s="41"/>
    </row>
    <row r="493" spans="5:7" ht="14.25" customHeight="1" x14ac:dyDescent="0.3">
      <c r="E493" s="17"/>
      <c r="F493" s="17"/>
      <c r="G493" s="41"/>
    </row>
    <row r="494" spans="5:7" ht="14.25" customHeight="1" x14ac:dyDescent="0.3">
      <c r="E494" s="17"/>
      <c r="F494" s="17"/>
      <c r="G494" s="41"/>
    </row>
    <row r="495" spans="5:7" ht="14.25" customHeight="1" x14ac:dyDescent="0.3">
      <c r="E495" s="17"/>
      <c r="F495" s="17"/>
      <c r="G495" s="41"/>
    </row>
    <row r="496" spans="5:7" ht="14.25" customHeight="1" x14ac:dyDescent="0.3">
      <c r="E496" s="17"/>
      <c r="F496" s="17"/>
      <c r="G496" s="41"/>
    </row>
    <row r="497" spans="5:7" ht="14.25" customHeight="1" x14ac:dyDescent="0.3">
      <c r="E497" s="17"/>
      <c r="F497" s="17"/>
      <c r="G497" s="41"/>
    </row>
    <row r="498" spans="5:7" ht="14.25" customHeight="1" x14ac:dyDescent="0.3">
      <c r="E498" s="17"/>
      <c r="F498" s="17"/>
      <c r="G498" s="41"/>
    </row>
    <row r="499" spans="5:7" ht="14.25" customHeight="1" x14ac:dyDescent="0.3">
      <c r="E499" s="17"/>
      <c r="F499" s="17"/>
      <c r="G499" s="41"/>
    </row>
    <row r="500" spans="5:7" ht="14.25" customHeight="1" x14ac:dyDescent="0.3">
      <c r="E500" s="17"/>
      <c r="F500" s="17"/>
      <c r="G500" s="41"/>
    </row>
    <row r="501" spans="5:7" ht="14.25" customHeight="1" x14ac:dyDescent="0.3">
      <c r="E501" s="17"/>
      <c r="F501" s="17"/>
      <c r="G501" s="41"/>
    </row>
    <row r="502" spans="5:7" ht="14.25" customHeight="1" x14ac:dyDescent="0.3">
      <c r="E502" s="17"/>
      <c r="F502" s="17"/>
      <c r="G502" s="41"/>
    </row>
    <row r="503" spans="5:7" ht="14.25" customHeight="1" x14ac:dyDescent="0.3">
      <c r="E503" s="17"/>
      <c r="F503" s="17"/>
      <c r="G503" s="41"/>
    </row>
    <row r="504" spans="5:7" ht="14.25" customHeight="1" x14ac:dyDescent="0.3">
      <c r="E504" s="17"/>
      <c r="F504" s="17"/>
      <c r="G504" s="41"/>
    </row>
    <row r="505" spans="5:7" ht="14.25" customHeight="1" x14ac:dyDescent="0.3">
      <c r="E505" s="17"/>
      <c r="F505" s="17"/>
      <c r="G505" s="41"/>
    </row>
    <row r="506" spans="5:7" ht="14.25" customHeight="1" x14ac:dyDescent="0.3">
      <c r="E506" s="17"/>
      <c r="F506" s="17"/>
      <c r="G506" s="41"/>
    </row>
    <row r="507" spans="5:7" ht="14.25" customHeight="1" x14ac:dyDescent="0.3">
      <c r="E507" s="17"/>
      <c r="F507" s="17"/>
      <c r="G507" s="41"/>
    </row>
    <row r="508" spans="5:7" ht="14.25" customHeight="1" x14ac:dyDescent="0.3">
      <c r="E508" s="17"/>
      <c r="F508" s="17"/>
      <c r="G508" s="41"/>
    </row>
    <row r="509" spans="5:7" ht="14.25" customHeight="1" x14ac:dyDescent="0.3">
      <c r="E509" s="17"/>
      <c r="F509" s="17"/>
      <c r="G509" s="41"/>
    </row>
    <row r="510" spans="5:7" ht="14.25" customHeight="1" x14ac:dyDescent="0.3">
      <c r="E510" s="17"/>
      <c r="F510" s="17"/>
      <c r="G510" s="41"/>
    </row>
    <row r="511" spans="5:7" ht="14.25" customHeight="1" x14ac:dyDescent="0.3">
      <c r="E511" s="17"/>
      <c r="F511" s="17"/>
      <c r="G511" s="41"/>
    </row>
    <row r="512" spans="5:7" ht="14.25" customHeight="1" x14ac:dyDescent="0.3">
      <c r="E512" s="17"/>
      <c r="F512" s="17"/>
      <c r="G512" s="41"/>
    </row>
    <row r="513" spans="5:7" ht="14.25" customHeight="1" x14ac:dyDescent="0.3">
      <c r="E513" s="17"/>
      <c r="F513" s="17"/>
      <c r="G513" s="41"/>
    </row>
    <row r="514" spans="5:7" ht="14.25" customHeight="1" x14ac:dyDescent="0.3">
      <c r="E514" s="17"/>
      <c r="F514" s="17"/>
      <c r="G514" s="41"/>
    </row>
    <row r="515" spans="5:7" ht="14.25" customHeight="1" x14ac:dyDescent="0.3">
      <c r="E515" s="17"/>
      <c r="F515" s="17"/>
      <c r="G515" s="41"/>
    </row>
    <row r="516" spans="5:7" ht="14.25" customHeight="1" x14ac:dyDescent="0.3">
      <c r="E516" s="17"/>
      <c r="F516" s="17"/>
      <c r="G516" s="41"/>
    </row>
    <row r="517" spans="5:7" ht="14.25" customHeight="1" x14ac:dyDescent="0.3">
      <c r="E517" s="17"/>
      <c r="F517" s="17"/>
      <c r="G517" s="41"/>
    </row>
    <row r="518" spans="5:7" ht="14.25" customHeight="1" x14ac:dyDescent="0.3">
      <c r="E518" s="17"/>
      <c r="F518" s="17"/>
      <c r="G518" s="41"/>
    </row>
    <row r="519" spans="5:7" ht="14.25" customHeight="1" x14ac:dyDescent="0.3">
      <c r="E519" s="17"/>
      <c r="F519" s="17"/>
      <c r="G519" s="41"/>
    </row>
    <row r="520" spans="5:7" ht="14.25" customHeight="1" x14ac:dyDescent="0.3">
      <c r="E520" s="17"/>
      <c r="F520" s="17"/>
      <c r="G520" s="41"/>
    </row>
    <row r="521" spans="5:7" ht="14.25" customHeight="1" x14ac:dyDescent="0.3">
      <c r="E521" s="17"/>
      <c r="F521" s="17"/>
      <c r="G521" s="41"/>
    </row>
    <row r="522" spans="5:7" ht="14.25" customHeight="1" x14ac:dyDescent="0.3">
      <c r="E522" s="17"/>
      <c r="F522" s="17"/>
      <c r="G522" s="41"/>
    </row>
    <row r="523" spans="5:7" ht="14.25" customHeight="1" x14ac:dyDescent="0.3">
      <c r="E523" s="17"/>
      <c r="F523" s="17"/>
      <c r="G523" s="41"/>
    </row>
    <row r="524" spans="5:7" ht="14.25" customHeight="1" x14ac:dyDescent="0.3">
      <c r="E524" s="17"/>
      <c r="F524" s="17"/>
      <c r="G524" s="41"/>
    </row>
    <row r="525" spans="5:7" ht="14.25" customHeight="1" x14ac:dyDescent="0.3">
      <c r="E525" s="17"/>
      <c r="F525" s="17"/>
      <c r="G525" s="41"/>
    </row>
    <row r="526" spans="5:7" ht="14.25" customHeight="1" x14ac:dyDescent="0.3">
      <c r="E526" s="17"/>
      <c r="F526" s="17"/>
      <c r="G526" s="41"/>
    </row>
    <row r="527" spans="5:7" ht="14.25" customHeight="1" x14ac:dyDescent="0.3">
      <c r="E527" s="17"/>
      <c r="F527" s="17"/>
      <c r="G527" s="41"/>
    </row>
    <row r="528" spans="5:7" ht="14.25" customHeight="1" x14ac:dyDescent="0.3">
      <c r="E528" s="17"/>
      <c r="F528" s="17"/>
      <c r="G528" s="41"/>
    </row>
    <row r="529" spans="5:7" ht="14.25" customHeight="1" x14ac:dyDescent="0.3">
      <c r="E529" s="17"/>
      <c r="F529" s="17"/>
      <c r="G529" s="41"/>
    </row>
    <row r="530" spans="5:7" ht="14.25" customHeight="1" x14ac:dyDescent="0.3">
      <c r="E530" s="17"/>
      <c r="F530" s="17"/>
      <c r="G530" s="41"/>
    </row>
    <row r="531" spans="5:7" ht="14.25" customHeight="1" x14ac:dyDescent="0.3">
      <c r="E531" s="17"/>
      <c r="F531" s="17"/>
      <c r="G531" s="41"/>
    </row>
    <row r="532" spans="5:7" ht="14.25" customHeight="1" x14ac:dyDescent="0.3">
      <c r="E532" s="17"/>
      <c r="F532" s="17"/>
      <c r="G532" s="41"/>
    </row>
    <row r="533" spans="5:7" ht="14.25" customHeight="1" x14ac:dyDescent="0.3">
      <c r="E533" s="17"/>
      <c r="F533" s="17"/>
      <c r="G533" s="41"/>
    </row>
    <row r="534" spans="5:7" ht="14.25" customHeight="1" x14ac:dyDescent="0.3">
      <c r="E534" s="17"/>
      <c r="F534" s="17"/>
      <c r="G534" s="41"/>
    </row>
    <row r="535" spans="5:7" ht="14.25" customHeight="1" x14ac:dyDescent="0.3">
      <c r="E535" s="17"/>
      <c r="F535" s="17"/>
      <c r="G535" s="41"/>
    </row>
    <row r="536" spans="5:7" ht="14.25" customHeight="1" x14ac:dyDescent="0.3">
      <c r="E536" s="17"/>
      <c r="F536" s="17"/>
      <c r="G536" s="41"/>
    </row>
    <row r="537" spans="5:7" ht="14.25" customHeight="1" x14ac:dyDescent="0.3">
      <c r="E537" s="17"/>
      <c r="F537" s="17"/>
      <c r="G537" s="41"/>
    </row>
    <row r="538" spans="5:7" ht="14.25" customHeight="1" x14ac:dyDescent="0.3">
      <c r="E538" s="17"/>
      <c r="F538" s="17"/>
      <c r="G538" s="41"/>
    </row>
    <row r="539" spans="5:7" ht="14.25" customHeight="1" x14ac:dyDescent="0.3">
      <c r="E539" s="17"/>
      <c r="F539" s="17"/>
      <c r="G539" s="41"/>
    </row>
    <row r="540" spans="5:7" ht="14.25" customHeight="1" x14ac:dyDescent="0.3">
      <c r="E540" s="17"/>
      <c r="F540" s="17"/>
      <c r="G540" s="41"/>
    </row>
    <row r="541" spans="5:7" ht="14.25" customHeight="1" x14ac:dyDescent="0.3">
      <c r="E541" s="17"/>
      <c r="F541" s="17"/>
      <c r="G541" s="41"/>
    </row>
    <row r="542" spans="5:7" ht="14.25" customHeight="1" x14ac:dyDescent="0.3">
      <c r="E542" s="17"/>
      <c r="F542" s="17"/>
      <c r="G542" s="41"/>
    </row>
    <row r="543" spans="5:7" ht="14.25" customHeight="1" x14ac:dyDescent="0.3">
      <c r="E543" s="17"/>
      <c r="F543" s="17"/>
      <c r="G543" s="41"/>
    </row>
    <row r="544" spans="5:7" ht="14.25" customHeight="1" x14ac:dyDescent="0.3">
      <c r="E544" s="17"/>
      <c r="F544" s="17"/>
      <c r="G544" s="41"/>
    </row>
    <row r="545" spans="5:7" ht="14.25" customHeight="1" x14ac:dyDescent="0.3">
      <c r="E545" s="17"/>
      <c r="F545" s="17"/>
      <c r="G545" s="41"/>
    </row>
    <row r="546" spans="5:7" ht="14.25" customHeight="1" x14ac:dyDescent="0.3">
      <c r="E546" s="17"/>
      <c r="F546" s="17"/>
      <c r="G546" s="41"/>
    </row>
    <row r="547" spans="5:7" ht="14.25" customHeight="1" x14ac:dyDescent="0.3">
      <c r="E547" s="17"/>
      <c r="F547" s="17"/>
      <c r="G547" s="41"/>
    </row>
    <row r="548" spans="5:7" ht="14.25" customHeight="1" x14ac:dyDescent="0.3">
      <c r="E548" s="17"/>
      <c r="F548" s="17"/>
      <c r="G548" s="41"/>
    </row>
    <row r="549" spans="5:7" ht="14.25" customHeight="1" x14ac:dyDescent="0.3">
      <c r="E549" s="17"/>
      <c r="F549" s="17"/>
      <c r="G549" s="41"/>
    </row>
    <row r="550" spans="5:7" ht="14.25" customHeight="1" x14ac:dyDescent="0.3">
      <c r="E550" s="17"/>
      <c r="F550" s="17"/>
      <c r="G550" s="41"/>
    </row>
    <row r="551" spans="5:7" ht="14.25" customHeight="1" x14ac:dyDescent="0.3">
      <c r="E551" s="17"/>
      <c r="F551" s="17"/>
      <c r="G551" s="41"/>
    </row>
    <row r="552" spans="5:7" ht="14.25" customHeight="1" x14ac:dyDescent="0.3">
      <c r="E552" s="17"/>
      <c r="F552" s="17"/>
      <c r="G552" s="41"/>
    </row>
    <row r="553" spans="5:7" ht="14.25" customHeight="1" x14ac:dyDescent="0.3">
      <c r="E553" s="17"/>
      <c r="F553" s="17"/>
      <c r="G553" s="41"/>
    </row>
    <row r="554" spans="5:7" ht="14.25" customHeight="1" x14ac:dyDescent="0.3">
      <c r="E554" s="17"/>
      <c r="F554" s="17"/>
      <c r="G554" s="41"/>
    </row>
    <row r="555" spans="5:7" ht="14.25" customHeight="1" x14ac:dyDescent="0.3">
      <c r="E555" s="17"/>
      <c r="F555" s="17"/>
      <c r="G555" s="41"/>
    </row>
    <row r="556" spans="5:7" ht="14.25" customHeight="1" x14ac:dyDescent="0.3">
      <c r="E556" s="17"/>
      <c r="F556" s="17"/>
      <c r="G556" s="41"/>
    </row>
    <row r="557" spans="5:7" ht="14.25" customHeight="1" x14ac:dyDescent="0.3">
      <c r="E557" s="17"/>
      <c r="F557" s="17"/>
      <c r="G557" s="41"/>
    </row>
    <row r="558" spans="5:7" ht="14.25" customHeight="1" x14ac:dyDescent="0.3">
      <c r="E558" s="17"/>
      <c r="F558" s="17"/>
      <c r="G558" s="41"/>
    </row>
    <row r="559" spans="5:7" ht="14.25" customHeight="1" x14ac:dyDescent="0.3">
      <c r="E559" s="17"/>
      <c r="F559" s="17"/>
      <c r="G559" s="41"/>
    </row>
    <row r="560" spans="5:7" ht="14.25" customHeight="1" x14ac:dyDescent="0.3">
      <c r="E560" s="17"/>
      <c r="F560" s="17"/>
      <c r="G560" s="41"/>
    </row>
    <row r="561" spans="5:7" ht="14.25" customHeight="1" x14ac:dyDescent="0.3">
      <c r="E561" s="17"/>
      <c r="F561" s="17"/>
      <c r="G561" s="41"/>
    </row>
    <row r="562" spans="5:7" ht="14.25" customHeight="1" x14ac:dyDescent="0.3">
      <c r="E562" s="17"/>
      <c r="F562" s="17"/>
      <c r="G562" s="41"/>
    </row>
    <row r="563" spans="5:7" ht="14.25" customHeight="1" x14ac:dyDescent="0.3">
      <c r="E563" s="17"/>
      <c r="F563" s="17"/>
      <c r="G563" s="41"/>
    </row>
    <row r="564" spans="5:7" ht="14.25" customHeight="1" x14ac:dyDescent="0.3">
      <c r="E564" s="17"/>
      <c r="F564" s="17"/>
      <c r="G564" s="41"/>
    </row>
    <row r="565" spans="5:7" ht="14.25" customHeight="1" x14ac:dyDescent="0.3">
      <c r="E565" s="17"/>
      <c r="F565" s="17"/>
      <c r="G565" s="41"/>
    </row>
    <row r="566" spans="5:7" ht="14.25" customHeight="1" x14ac:dyDescent="0.3">
      <c r="E566" s="17"/>
      <c r="F566" s="17"/>
      <c r="G566" s="41"/>
    </row>
    <row r="567" spans="5:7" ht="14.25" customHeight="1" x14ac:dyDescent="0.3">
      <c r="E567" s="17"/>
      <c r="F567" s="17"/>
      <c r="G567" s="41"/>
    </row>
    <row r="568" spans="5:7" ht="14.25" customHeight="1" x14ac:dyDescent="0.3">
      <c r="E568" s="17"/>
      <c r="F568" s="17"/>
      <c r="G568" s="41"/>
    </row>
    <row r="569" spans="5:7" ht="14.25" customHeight="1" x14ac:dyDescent="0.3">
      <c r="E569" s="17"/>
      <c r="F569" s="17"/>
      <c r="G569" s="41"/>
    </row>
    <row r="570" spans="5:7" ht="14.25" customHeight="1" x14ac:dyDescent="0.3">
      <c r="E570" s="17"/>
      <c r="F570" s="17"/>
      <c r="G570" s="41"/>
    </row>
    <row r="571" spans="5:7" ht="14.25" customHeight="1" x14ac:dyDescent="0.3">
      <c r="E571" s="17"/>
      <c r="F571" s="17"/>
      <c r="G571" s="41"/>
    </row>
    <row r="572" spans="5:7" ht="14.25" customHeight="1" x14ac:dyDescent="0.3">
      <c r="E572" s="17"/>
      <c r="F572" s="17"/>
      <c r="G572" s="41"/>
    </row>
    <row r="573" spans="5:7" ht="14.25" customHeight="1" x14ac:dyDescent="0.3">
      <c r="E573" s="17"/>
      <c r="F573" s="17"/>
      <c r="G573" s="41"/>
    </row>
    <row r="574" spans="5:7" ht="14.25" customHeight="1" x14ac:dyDescent="0.3">
      <c r="E574" s="17"/>
      <c r="F574" s="17"/>
      <c r="G574" s="41"/>
    </row>
    <row r="575" spans="5:7" ht="14.25" customHeight="1" x14ac:dyDescent="0.3">
      <c r="E575" s="17"/>
      <c r="F575" s="17"/>
      <c r="G575" s="41"/>
    </row>
    <row r="576" spans="5:7" ht="14.25" customHeight="1" x14ac:dyDescent="0.3">
      <c r="E576" s="17"/>
      <c r="F576" s="17"/>
      <c r="G576" s="41"/>
    </row>
    <row r="577" spans="5:7" ht="14.25" customHeight="1" x14ac:dyDescent="0.3">
      <c r="E577" s="17"/>
      <c r="F577" s="17"/>
      <c r="G577" s="41"/>
    </row>
    <row r="578" spans="5:7" ht="14.25" customHeight="1" x14ac:dyDescent="0.3">
      <c r="E578" s="17"/>
      <c r="F578" s="17"/>
      <c r="G578" s="41"/>
    </row>
    <row r="579" spans="5:7" ht="14.25" customHeight="1" x14ac:dyDescent="0.3">
      <c r="E579" s="17"/>
      <c r="F579" s="17"/>
      <c r="G579" s="41"/>
    </row>
    <row r="580" spans="5:7" ht="14.25" customHeight="1" x14ac:dyDescent="0.3">
      <c r="E580" s="17"/>
      <c r="F580" s="17"/>
      <c r="G580" s="41"/>
    </row>
    <row r="581" spans="5:7" ht="14.25" customHeight="1" x14ac:dyDescent="0.3">
      <c r="E581" s="17"/>
      <c r="F581" s="17"/>
      <c r="G581" s="41"/>
    </row>
    <row r="582" spans="5:7" ht="14.25" customHeight="1" x14ac:dyDescent="0.3">
      <c r="E582" s="17"/>
      <c r="F582" s="17"/>
      <c r="G582" s="41"/>
    </row>
    <row r="583" spans="5:7" ht="14.25" customHeight="1" x14ac:dyDescent="0.3">
      <c r="E583" s="17"/>
      <c r="F583" s="17"/>
      <c r="G583" s="41"/>
    </row>
    <row r="584" spans="5:7" ht="14.25" customHeight="1" x14ac:dyDescent="0.3">
      <c r="E584" s="17"/>
      <c r="F584" s="17"/>
      <c r="G584" s="41"/>
    </row>
    <row r="585" spans="5:7" ht="14.25" customHeight="1" x14ac:dyDescent="0.3">
      <c r="E585" s="17"/>
      <c r="F585" s="17"/>
      <c r="G585" s="41"/>
    </row>
    <row r="586" spans="5:7" ht="14.25" customHeight="1" x14ac:dyDescent="0.3">
      <c r="E586" s="17"/>
      <c r="F586" s="17"/>
      <c r="G586" s="41"/>
    </row>
    <row r="587" spans="5:7" ht="14.25" customHeight="1" x14ac:dyDescent="0.3">
      <c r="E587" s="17"/>
      <c r="F587" s="17"/>
      <c r="G587" s="41"/>
    </row>
    <row r="588" spans="5:7" ht="14.25" customHeight="1" x14ac:dyDescent="0.3">
      <c r="E588" s="17"/>
      <c r="F588" s="17"/>
      <c r="G588" s="41"/>
    </row>
    <row r="589" spans="5:7" ht="14.25" customHeight="1" x14ac:dyDescent="0.3">
      <c r="E589" s="17"/>
      <c r="F589" s="17"/>
      <c r="G589" s="41"/>
    </row>
    <row r="590" spans="5:7" ht="14.25" customHeight="1" x14ac:dyDescent="0.3">
      <c r="E590" s="17"/>
      <c r="F590" s="17"/>
      <c r="G590" s="41"/>
    </row>
    <row r="591" spans="5:7" ht="14.25" customHeight="1" x14ac:dyDescent="0.3">
      <c r="E591" s="17"/>
      <c r="F591" s="17"/>
      <c r="G591" s="41"/>
    </row>
    <row r="592" spans="5:7" ht="14.25" customHeight="1" x14ac:dyDescent="0.3">
      <c r="E592" s="17"/>
      <c r="F592" s="17"/>
      <c r="G592" s="41"/>
    </row>
    <row r="593" spans="5:7" ht="14.25" customHeight="1" x14ac:dyDescent="0.3">
      <c r="E593" s="17"/>
      <c r="F593" s="17"/>
      <c r="G593" s="41"/>
    </row>
    <row r="594" spans="5:7" ht="14.25" customHeight="1" x14ac:dyDescent="0.3">
      <c r="E594" s="17"/>
      <c r="F594" s="17"/>
      <c r="G594" s="41"/>
    </row>
    <row r="595" spans="5:7" ht="14.25" customHeight="1" x14ac:dyDescent="0.3">
      <c r="E595" s="17"/>
      <c r="F595" s="17"/>
      <c r="G595" s="41"/>
    </row>
    <row r="596" spans="5:7" ht="14.25" customHeight="1" x14ac:dyDescent="0.3">
      <c r="E596" s="17"/>
      <c r="F596" s="17"/>
      <c r="G596" s="41"/>
    </row>
    <row r="597" spans="5:7" ht="14.25" customHeight="1" x14ac:dyDescent="0.3">
      <c r="E597" s="17"/>
      <c r="F597" s="17"/>
      <c r="G597" s="41"/>
    </row>
    <row r="598" spans="5:7" ht="14.25" customHeight="1" x14ac:dyDescent="0.3">
      <c r="E598" s="17"/>
      <c r="F598" s="17"/>
      <c r="G598" s="41"/>
    </row>
    <row r="599" spans="5:7" ht="14.25" customHeight="1" x14ac:dyDescent="0.3">
      <c r="E599" s="17"/>
      <c r="F599" s="17"/>
      <c r="G599" s="41"/>
    </row>
    <row r="600" spans="5:7" ht="14.25" customHeight="1" x14ac:dyDescent="0.3">
      <c r="E600" s="17"/>
      <c r="F600" s="17"/>
      <c r="G600" s="41"/>
    </row>
    <row r="601" spans="5:7" ht="14.25" customHeight="1" x14ac:dyDescent="0.3">
      <c r="E601" s="17"/>
      <c r="F601" s="17"/>
      <c r="G601" s="41"/>
    </row>
    <row r="602" spans="5:7" ht="14.25" customHeight="1" x14ac:dyDescent="0.3">
      <c r="E602" s="17"/>
      <c r="F602" s="17"/>
      <c r="G602" s="41"/>
    </row>
    <row r="603" spans="5:7" ht="14.25" customHeight="1" x14ac:dyDescent="0.3">
      <c r="E603" s="17"/>
      <c r="F603" s="17"/>
      <c r="G603" s="41"/>
    </row>
    <row r="604" spans="5:7" ht="14.25" customHeight="1" x14ac:dyDescent="0.3">
      <c r="E604" s="17"/>
      <c r="F604" s="17"/>
      <c r="G604" s="41"/>
    </row>
    <row r="605" spans="5:7" ht="14.25" customHeight="1" x14ac:dyDescent="0.3">
      <c r="E605" s="17"/>
      <c r="F605" s="17"/>
      <c r="G605" s="41"/>
    </row>
    <row r="606" spans="5:7" ht="14.25" customHeight="1" x14ac:dyDescent="0.3">
      <c r="E606" s="17"/>
      <c r="F606" s="17"/>
      <c r="G606" s="41"/>
    </row>
    <row r="607" spans="5:7" ht="14.25" customHeight="1" x14ac:dyDescent="0.3">
      <c r="E607" s="17"/>
      <c r="F607" s="17"/>
      <c r="G607" s="41"/>
    </row>
    <row r="608" spans="5:7" ht="14.25" customHeight="1" x14ac:dyDescent="0.3">
      <c r="E608" s="17"/>
      <c r="F608" s="17"/>
      <c r="G608" s="41"/>
    </row>
    <row r="609" spans="5:7" ht="14.25" customHeight="1" x14ac:dyDescent="0.3">
      <c r="E609" s="17"/>
      <c r="F609" s="17"/>
      <c r="G609" s="41"/>
    </row>
    <row r="610" spans="5:7" ht="14.25" customHeight="1" x14ac:dyDescent="0.3">
      <c r="E610" s="17"/>
      <c r="F610" s="17"/>
      <c r="G610" s="41"/>
    </row>
    <row r="611" spans="5:7" ht="14.25" customHeight="1" x14ac:dyDescent="0.3">
      <c r="E611" s="17"/>
      <c r="F611" s="17"/>
      <c r="G611" s="41"/>
    </row>
    <row r="612" spans="5:7" ht="14.25" customHeight="1" x14ac:dyDescent="0.3">
      <c r="E612" s="17"/>
      <c r="F612" s="17"/>
      <c r="G612" s="41"/>
    </row>
    <row r="613" spans="5:7" ht="14.25" customHeight="1" x14ac:dyDescent="0.3">
      <c r="E613" s="17"/>
      <c r="F613" s="17"/>
      <c r="G613" s="41"/>
    </row>
    <row r="614" spans="5:7" ht="14.25" customHeight="1" x14ac:dyDescent="0.3">
      <c r="E614" s="17"/>
      <c r="F614" s="17"/>
      <c r="G614" s="41"/>
    </row>
    <row r="615" spans="5:7" ht="14.25" customHeight="1" x14ac:dyDescent="0.3">
      <c r="E615" s="17"/>
      <c r="F615" s="17"/>
      <c r="G615" s="41"/>
    </row>
    <row r="616" spans="5:7" ht="14.25" customHeight="1" x14ac:dyDescent="0.3">
      <c r="E616" s="17"/>
      <c r="F616" s="17"/>
      <c r="G616" s="41"/>
    </row>
    <row r="617" spans="5:7" ht="14.25" customHeight="1" x14ac:dyDescent="0.3">
      <c r="E617" s="17"/>
      <c r="F617" s="17"/>
      <c r="G617" s="41"/>
    </row>
    <row r="618" spans="5:7" ht="14.25" customHeight="1" x14ac:dyDescent="0.3">
      <c r="E618" s="17"/>
      <c r="F618" s="17"/>
      <c r="G618" s="41"/>
    </row>
    <row r="619" spans="5:7" ht="14.25" customHeight="1" x14ac:dyDescent="0.3">
      <c r="E619" s="17"/>
      <c r="F619" s="17"/>
      <c r="G619" s="41"/>
    </row>
    <row r="620" spans="5:7" ht="14.25" customHeight="1" x14ac:dyDescent="0.3">
      <c r="E620" s="17"/>
      <c r="F620" s="17"/>
      <c r="G620" s="41"/>
    </row>
    <row r="621" spans="5:7" ht="14.25" customHeight="1" x14ac:dyDescent="0.3">
      <c r="E621" s="17"/>
      <c r="F621" s="17"/>
      <c r="G621" s="41"/>
    </row>
    <row r="622" spans="5:7" ht="14.25" customHeight="1" x14ac:dyDescent="0.3">
      <c r="E622" s="17"/>
      <c r="F622" s="17"/>
      <c r="G622" s="41"/>
    </row>
    <row r="623" spans="5:7" ht="14.25" customHeight="1" x14ac:dyDescent="0.3">
      <c r="E623" s="17"/>
      <c r="F623" s="17"/>
      <c r="G623" s="41"/>
    </row>
    <row r="624" spans="5:7" ht="14.25" customHeight="1" x14ac:dyDescent="0.3">
      <c r="E624" s="17"/>
      <c r="F624" s="17"/>
      <c r="G624" s="41"/>
    </row>
    <row r="625" spans="5:7" ht="14.25" customHeight="1" x14ac:dyDescent="0.3">
      <c r="E625" s="17"/>
      <c r="F625" s="17"/>
      <c r="G625" s="41"/>
    </row>
    <row r="626" spans="5:7" ht="14.25" customHeight="1" x14ac:dyDescent="0.3">
      <c r="E626" s="17"/>
      <c r="F626" s="17"/>
      <c r="G626" s="41"/>
    </row>
    <row r="627" spans="5:7" ht="14.25" customHeight="1" x14ac:dyDescent="0.3">
      <c r="E627" s="17"/>
      <c r="F627" s="17"/>
      <c r="G627" s="41"/>
    </row>
    <row r="628" spans="5:7" ht="14.25" customHeight="1" x14ac:dyDescent="0.3">
      <c r="E628" s="17"/>
      <c r="F628" s="17"/>
      <c r="G628" s="41"/>
    </row>
    <row r="629" spans="5:7" ht="14.25" customHeight="1" x14ac:dyDescent="0.3">
      <c r="E629" s="17"/>
      <c r="F629" s="17"/>
      <c r="G629" s="41"/>
    </row>
    <row r="630" spans="5:7" ht="14.25" customHeight="1" x14ac:dyDescent="0.3">
      <c r="E630" s="17"/>
      <c r="F630" s="17"/>
      <c r="G630" s="41"/>
    </row>
    <row r="631" spans="5:7" ht="14.25" customHeight="1" x14ac:dyDescent="0.3">
      <c r="E631" s="17"/>
      <c r="F631" s="17"/>
      <c r="G631" s="41"/>
    </row>
    <row r="632" spans="5:7" ht="14.25" customHeight="1" x14ac:dyDescent="0.3">
      <c r="E632" s="17"/>
      <c r="F632" s="17"/>
      <c r="G632" s="41"/>
    </row>
    <row r="633" spans="5:7" ht="14.25" customHeight="1" x14ac:dyDescent="0.3">
      <c r="E633" s="17"/>
      <c r="F633" s="17"/>
      <c r="G633" s="41"/>
    </row>
    <row r="634" spans="5:7" ht="14.25" customHeight="1" x14ac:dyDescent="0.3">
      <c r="E634" s="17"/>
      <c r="F634" s="17"/>
      <c r="G634" s="41"/>
    </row>
    <row r="635" spans="5:7" ht="14.25" customHeight="1" x14ac:dyDescent="0.3">
      <c r="E635" s="17"/>
      <c r="F635" s="17"/>
      <c r="G635" s="41"/>
    </row>
    <row r="636" spans="5:7" ht="14.25" customHeight="1" x14ac:dyDescent="0.3">
      <c r="E636" s="17"/>
      <c r="F636" s="17"/>
      <c r="G636" s="41"/>
    </row>
    <row r="637" spans="5:7" ht="14.25" customHeight="1" x14ac:dyDescent="0.3">
      <c r="E637" s="17"/>
      <c r="F637" s="17"/>
      <c r="G637" s="41"/>
    </row>
    <row r="638" spans="5:7" ht="14.25" customHeight="1" x14ac:dyDescent="0.3">
      <c r="E638" s="17"/>
      <c r="F638" s="17"/>
      <c r="G638" s="41"/>
    </row>
    <row r="639" spans="5:7" ht="14.25" customHeight="1" x14ac:dyDescent="0.3">
      <c r="E639" s="17"/>
      <c r="F639" s="17"/>
      <c r="G639" s="41"/>
    </row>
    <row r="640" spans="5:7" ht="14.25" customHeight="1" x14ac:dyDescent="0.3">
      <c r="E640" s="17"/>
      <c r="F640" s="17"/>
      <c r="G640" s="41"/>
    </row>
    <row r="641" spans="5:7" ht="14.25" customHeight="1" x14ac:dyDescent="0.3">
      <c r="E641" s="17"/>
      <c r="F641" s="17"/>
      <c r="G641" s="41"/>
    </row>
    <row r="642" spans="5:7" ht="14.25" customHeight="1" x14ac:dyDescent="0.3">
      <c r="E642" s="17"/>
      <c r="F642" s="17"/>
      <c r="G642" s="41"/>
    </row>
    <row r="643" spans="5:7" ht="14.25" customHeight="1" x14ac:dyDescent="0.3">
      <c r="E643" s="17"/>
      <c r="F643" s="17"/>
      <c r="G643" s="41"/>
    </row>
    <row r="644" spans="5:7" ht="14.25" customHeight="1" x14ac:dyDescent="0.3">
      <c r="E644" s="17"/>
      <c r="F644" s="17"/>
      <c r="G644" s="41"/>
    </row>
    <row r="645" spans="5:7" ht="14.25" customHeight="1" x14ac:dyDescent="0.3">
      <c r="E645" s="17"/>
      <c r="F645" s="17"/>
      <c r="G645" s="41"/>
    </row>
    <row r="646" spans="5:7" ht="14.25" customHeight="1" x14ac:dyDescent="0.3">
      <c r="E646" s="17"/>
      <c r="F646" s="17"/>
      <c r="G646" s="41"/>
    </row>
    <row r="647" spans="5:7" ht="14.25" customHeight="1" x14ac:dyDescent="0.3">
      <c r="E647" s="17"/>
      <c r="F647" s="17"/>
      <c r="G647" s="41"/>
    </row>
    <row r="648" spans="5:7" ht="14.25" customHeight="1" x14ac:dyDescent="0.3">
      <c r="E648" s="17"/>
      <c r="F648" s="17"/>
      <c r="G648" s="41"/>
    </row>
    <row r="649" spans="5:7" ht="14.25" customHeight="1" x14ac:dyDescent="0.3">
      <c r="E649" s="17"/>
      <c r="F649" s="17"/>
      <c r="G649" s="41"/>
    </row>
    <row r="650" spans="5:7" ht="14.25" customHeight="1" x14ac:dyDescent="0.3">
      <c r="E650" s="17"/>
      <c r="F650" s="17"/>
      <c r="G650" s="41"/>
    </row>
    <row r="651" spans="5:7" ht="14.25" customHeight="1" x14ac:dyDescent="0.3">
      <c r="E651" s="17"/>
      <c r="F651" s="17"/>
      <c r="G651" s="41"/>
    </row>
    <row r="652" spans="5:7" ht="14.25" customHeight="1" x14ac:dyDescent="0.3">
      <c r="E652" s="17"/>
      <c r="F652" s="17"/>
      <c r="G652" s="41"/>
    </row>
    <row r="653" spans="5:7" ht="14.25" customHeight="1" x14ac:dyDescent="0.3">
      <c r="E653" s="17"/>
      <c r="F653" s="17"/>
      <c r="G653" s="41"/>
    </row>
    <row r="654" spans="5:7" ht="14.25" customHeight="1" x14ac:dyDescent="0.3">
      <c r="E654" s="17"/>
      <c r="F654" s="17"/>
      <c r="G654" s="41"/>
    </row>
    <row r="655" spans="5:7" ht="14.25" customHeight="1" x14ac:dyDescent="0.3">
      <c r="E655" s="17"/>
      <c r="F655" s="17"/>
      <c r="G655" s="41"/>
    </row>
    <row r="656" spans="5:7" ht="14.25" customHeight="1" x14ac:dyDescent="0.3">
      <c r="E656" s="17"/>
      <c r="F656" s="17"/>
      <c r="G656" s="41"/>
    </row>
    <row r="657" spans="5:7" ht="14.25" customHeight="1" x14ac:dyDescent="0.3">
      <c r="E657" s="17"/>
      <c r="F657" s="17"/>
      <c r="G657" s="41"/>
    </row>
    <row r="658" spans="5:7" ht="14.25" customHeight="1" x14ac:dyDescent="0.3">
      <c r="E658" s="17"/>
      <c r="F658" s="17"/>
      <c r="G658" s="41"/>
    </row>
    <row r="659" spans="5:7" ht="14.25" customHeight="1" x14ac:dyDescent="0.3">
      <c r="E659" s="17"/>
      <c r="F659" s="17"/>
      <c r="G659" s="41"/>
    </row>
    <row r="660" spans="5:7" ht="14.25" customHeight="1" x14ac:dyDescent="0.3">
      <c r="E660" s="17"/>
      <c r="F660" s="17"/>
      <c r="G660" s="41"/>
    </row>
    <row r="661" spans="5:7" ht="14.25" customHeight="1" x14ac:dyDescent="0.3">
      <c r="E661" s="17"/>
      <c r="F661" s="17"/>
      <c r="G661" s="41"/>
    </row>
    <row r="662" spans="5:7" ht="14.25" customHeight="1" x14ac:dyDescent="0.3">
      <c r="E662" s="17"/>
      <c r="F662" s="17"/>
      <c r="G662" s="41"/>
    </row>
    <row r="663" spans="5:7" ht="14.25" customHeight="1" x14ac:dyDescent="0.3">
      <c r="E663" s="17"/>
      <c r="F663" s="17"/>
      <c r="G663" s="41"/>
    </row>
    <row r="664" spans="5:7" ht="14.25" customHeight="1" x14ac:dyDescent="0.3">
      <c r="E664" s="17"/>
      <c r="F664" s="17"/>
      <c r="G664" s="41"/>
    </row>
    <row r="665" spans="5:7" ht="14.25" customHeight="1" x14ac:dyDescent="0.3">
      <c r="E665" s="17"/>
      <c r="F665" s="17"/>
      <c r="G665" s="41"/>
    </row>
    <row r="666" spans="5:7" ht="14.25" customHeight="1" x14ac:dyDescent="0.3">
      <c r="E666" s="17"/>
      <c r="F666" s="17"/>
      <c r="G666" s="41"/>
    </row>
    <row r="667" spans="5:7" ht="14.25" customHeight="1" x14ac:dyDescent="0.3">
      <c r="E667" s="17"/>
      <c r="F667" s="17"/>
      <c r="G667" s="41"/>
    </row>
    <row r="668" spans="5:7" ht="14.25" customHeight="1" x14ac:dyDescent="0.3">
      <c r="E668" s="17"/>
      <c r="F668" s="17"/>
      <c r="G668" s="41"/>
    </row>
    <row r="669" spans="5:7" ht="14.25" customHeight="1" x14ac:dyDescent="0.3">
      <c r="E669" s="17"/>
      <c r="F669" s="17"/>
      <c r="G669" s="41"/>
    </row>
    <row r="670" spans="5:7" ht="14.25" customHeight="1" x14ac:dyDescent="0.3">
      <c r="E670" s="17"/>
      <c r="F670" s="17"/>
      <c r="G670" s="41"/>
    </row>
    <row r="671" spans="5:7" ht="14.25" customHeight="1" x14ac:dyDescent="0.3">
      <c r="E671" s="17"/>
      <c r="F671" s="17"/>
      <c r="G671" s="41"/>
    </row>
    <row r="672" spans="5:7" ht="14.25" customHeight="1" x14ac:dyDescent="0.3">
      <c r="E672" s="17"/>
      <c r="F672" s="17"/>
      <c r="G672" s="41"/>
    </row>
    <row r="673" spans="5:7" ht="14.25" customHeight="1" x14ac:dyDescent="0.3">
      <c r="E673" s="17"/>
      <c r="F673" s="17"/>
      <c r="G673" s="41"/>
    </row>
    <row r="674" spans="5:7" ht="14.25" customHeight="1" x14ac:dyDescent="0.3">
      <c r="E674" s="17"/>
      <c r="F674" s="17"/>
      <c r="G674" s="41"/>
    </row>
    <row r="675" spans="5:7" ht="14.25" customHeight="1" x14ac:dyDescent="0.3">
      <c r="E675" s="17"/>
      <c r="F675" s="17"/>
      <c r="G675" s="41"/>
    </row>
    <row r="676" spans="5:7" ht="14.25" customHeight="1" x14ac:dyDescent="0.3">
      <c r="E676" s="17"/>
      <c r="F676" s="17"/>
      <c r="G676" s="41"/>
    </row>
    <row r="677" spans="5:7" ht="14.25" customHeight="1" x14ac:dyDescent="0.3">
      <c r="E677" s="17"/>
      <c r="F677" s="17"/>
      <c r="G677" s="41"/>
    </row>
    <row r="678" spans="5:7" ht="14.25" customHeight="1" x14ac:dyDescent="0.3">
      <c r="E678" s="17"/>
      <c r="F678" s="17"/>
      <c r="G678" s="41"/>
    </row>
    <row r="679" spans="5:7" ht="14.25" customHeight="1" x14ac:dyDescent="0.3">
      <c r="E679" s="17"/>
      <c r="F679" s="17"/>
      <c r="G679" s="41"/>
    </row>
    <row r="680" spans="5:7" ht="14.25" customHeight="1" x14ac:dyDescent="0.3">
      <c r="E680" s="17"/>
      <c r="F680" s="17"/>
      <c r="G680" s="41"/>
    </row>
    <row r="681" spans="5:7" ht="14.25" customHeight="1" x14ac:dyDescent="0.3">
      <c r="E681" s="17"/>
      <c r="F681" s="17"/>
      <c r="G681" s="41"/>
    </row>
    <row r="682" spans="5:7" ht="14.25" customHeight="1" x14ac:dyDescent="0.3">
      <c r="E682" s="17"/>
      <c r="F682" s="17"/>
      <c r="G682" s="41"/>
    </row>
    <row r="683" spans="5:7" ht="14.25" customHeight="1" x14ac:dyDescent="0.3">
      <c r="E683" s="17"/>
      <c r="F683" s="17"/>
      <c r="G683" s="41"/>
    </row>
    <row r="684" spans="5:7" ht="14.25" customHeight="1" x14ac:dyDescent="0.3">
      <c r="E684" s="17"/>
      <c r="F684" s="17"/>
      <c r="G684" s="41"/>
    </row>
    <row r="685" spans="5:7" ht="14.25" customHeight="1" x14ac:dyDescent="0.3">
      <c r="E685" s="17"/>
      <c r="F685" s="17"/>
      <c r="G685" s="41"/>
    </row>
    <row r="686" spans="5:7" ht="14.25" customHeight="1" x14ac:dyDescent="0.3">
      <c r="E686" s="17"/>
      <c r="F686" s="17"/>
      <c r="G686" s="41"/>
    </row>
    <row r="687" spans="5:7" ht="14.25" customHeight="1" x14ac:dyDescent="0.3">
      <c r="E687" s="17"/>
      <c r="F687" s="17"/>
      <c r="G687" s="41"/>
    </row>
    <row r="688" spans="5:7" ht="14.25" customHeight="1" x14ac:dyDescent="0.3">
      <c r="E688" s="17"/>
      <c r="F688" s="17"/>
      <c r="G688" s="41"/>
    </row>
    <row r="689" spans="5:7" ht="14.25" customHeight="1" x14ac:dyDescent="0.3">
      <c r="E689" s="17"/>
      <c r="F689" s="17"/>
      <c r="G689" s="41"/>
    </row>
    <row r="690" spans="5:7" ht="14.25" customHeight="1" x14ac:dyDescent="0.3">
      <c r="E690" s="17"/>
      <c r="F690" s="17"/>
      <c r="G690" s="41"/>
    </row>
    <row r="691" spans="5:7" ht="14.25" customHeight="1" x14ac:dyDescent="0.3">
      <c r="E691" s="17"/>
      <c r="F691" s="17"/>
      <c r="G691" s="41"/>
    </row>
    <row r="692" spans="5:7" ht="14.25" customHeight="1" x14ac:dyDescent="0.3">
      <c r="E692" s="17"/>
      <c r="F692" s="17"/>
      <c r="G692" s="41"/>
    </row>
    <row r="693" spans="5:7" ht="14.25" customHeight="1" x14ac:dyDescent="0.3">
      <c r="E693" s="17"/>
      <c r="F693" s="17"/>
      <c r="G693" s="41"/>
    </row>
    <row r="694" spans="5:7" ht="14.25" customHeight="1" x14ac:dyDescent="0.3">
      <c r="E694" s="17"/>
      <c r="F694" s="17"/>
      <c r="G694" s="41"/>
    </row>
    <row r="695" spans="5:7" ht="14.25" customHeight="1" x14ac:dyDescent="0.3">
      <c r="E695" s="17"/>
      <c r="F695" s="17"/>
      <c r="G695" s="41"/>
    </row>
    <row r="696" spans="5:7" ht="14.25" customHeight="1" x14ac:dyDescent="0.3">
      <c r="E696" s="17"/>
      <c r="F696" s="17"/>
      <c r="G696" s="41"/>
    </row>
    <row r="697" spans="5:7" ht="14.25" customHeight="1" x14ac:dyDescent="0.3">
      <c r="E697" s="17"/>
      <c r="F697" s="17"/>
      <c r="G697" s="41"/>
    </row>
    <row r="698" spans="5:7" ht="14.25" customHeight="1" x14ac:dyDescent="0.3">
      <c r="E698" s="17"/>
      <c r="F698" s="17"/>
      <c r="G698" s="41"/>
    </row>
    <row r="699" spans="5:7" ht="14.25" customHeight="1" x14ac:dyDescent="0.3">
      <c r="E699" s="17"/>
      <c r="F699" s="17"/>
      <c r="G699" s="41"/>
    </row>
  </sheetData>
  <autoFilter ref="A2:Q36"/>
  <mergeCells count="2">
    <mergeCell ref="A1:Q1"/>
    <mergeCell ref="A36:C36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topLeftCell="A25" zoomScale="90" zoomScaleNormal="90" workbookViewId="0">
      <selection activeCell="I5" sqref="I5"/>
    </sheetView>
  </sheetViews>
  <sheetFormatPr defaultRowHeight="14.4" x14ac:dyDescent="0.3"/>
  <cols>
    <col min="1" max="1" width="13" customWidth="1"/>
    <col min="2" max="2" width="61.88671875" bestFit="1" customWidth="1"/>
    <col min="3" max="3" width="23.6640625" style="392" bestFit="1" customWidth="1"/>
    <col min="4" max="4" width="16.44140625" customWidth="1"/>
    <col min="5" max="5" width="13" style="40" customWidth="1"/>
    <col min="6" max="6" width="9.21875" style="18" customWidth="1"/>
    <col min="7" max="7" width="13.21875" customWidth="1"/>
    <col min="8" max="8" width="12.33203125" bestFit="1" customWidth="1"/>
    <col min="9" max="9" width="14.77734375" customWidth="1"/>
    <col min="10" max="10" width="15.77734375" customWidth="1"/>
    <col min="11" max="11" width="13.109375" customWidth="1"/>
  </cols>
  <sheetData>
    <row r="1" spans="1:11" ht="43.95" customHeight="1" x14ac:dyDescent="0.3">
      <c r="A1" s="603" t="s">
        <v>103</v>
      </c>
      <c r="B1" s="604"/>
      <c r="C1" s="604"/>
      <c r="D1" s="604"/>
      <c r="E1" s="604"/>
      <c r="F1" s="604"/>
      <c r="G1" s="604"/>
      <c r="H1" s="604"/>
      <c r="I1" s="604"/>
      <c r="J1" s="604"/>
      <c r="K1" s="605"/>
    </row>
    <row r="2" spans="1:11" ht="28.8" x14ac:dyDescent="0.3">
      <c r="A2" s="606" t="s">
        <v>70</v>
      </c>
      <c r="B2" s="608">
        <f>SUM(E5:E35)</f>
        <v>1572.48</v>
      </c>
      <c r="C2" s="610" t="s">
        <v>71</v>
      </c>
      <c r="D2" s="612">
        <v>140000</v>
      </c>
      <c r="E2" s="446" t="s">
        <v>72</v>
      </c>
      <c r="F2" s="366">
        <v>152.88</v>
      </c>
      <c r="G2" s="353" t="s">
        <v>73</v>
      </c>
      <c r="H2" s="598">
        <v>12930.46</v>
      </c>
      <c r="I2" s="598"/>
      <c r="J2" s="610" t="s">
        <v>74</v>
      </c>
      <c r="K2" s="614" t="s">
        <v>104</v>
      </c>
    </row>
    <row r="3" spans="1:11" ht="43.2" x14ac:dyDescent="0.3">
      <c r="A3" s="607"/>
      <c r="B3" s="609"/>
      <c r="C3" s="611"/>
      <c r="D3" s="613">
        <v>1043756.4248</v>
      </c>
      <c r="E3" s="447" t="s">
        <v>75</v>
      </c>
      <c r="F3" s="394">
        <f>SUM(F5:F36)-(F2)</f>
        <v>189.27736799999997</v>
      </c>
      <c r="G3" s="354" t="s">
        <v>76</v>
      </c>
      <c r="H3" s="599">
        <f>SUM(J5:J36)-(H2)</f>
        <v>16009.132200854696</v>
      </c>
      <c r="I3" s="599"/>
      <c r="J3" s="611"/>
      <c r="K3" s="615"/>
    </row>
    <row r="4" spans="1:11" ht="29.4" thickBot="1" x14ac:dyDescent="0.35">
      <c r="A4" s="355" t="s">
        <v>21</v>
      </c>
      <c r="B4" s="356" t="s">
        <v>20</v>
      </c>
      <c r="C4" s="357" t="s">
        <v>19</v>
      </c>
      <c r="D4" s="356" t="s">
        <v>18</v>
      </c>
      <c r="E4" s="448" t="s">
        <v>77</v>
      </c>
      <c r="F4" s="357" t="s">
        <v>78</v>
      </c>
      <c r="G4" s="357" t="s">
        <v>79</v>
      </c>
      <c r="H4" s="357" t="s">
        <v>80</v>
      </c>
      <c r="I4" s="357" t="s">
        <v>81</v>
      </c>
      <c r="J4" s="357" t="s">
        <v>82</v>
      </c>
      <c r="K4" s="358" t="s">
        <v>83</v>
      </c>
    </row>
    <row r="5" spans="1:11" s="377" customFormat="1" ht="13.8" x14ac:dyDescent="0.3">
      <c r="A5" s="548" t="str">
        <f>'CONTROLE DE OBRA BURJ LAVIE'!A3</f>
        <v>J05 - LOTE 1</v>
      </c>
      <c r="B5" s="539" t="str">
        <f>'CONTROLE DE OBRA BURJ LAVIE'!B3</f>
        <v>Fachada pele de vidro entre vãos c/ 3 modulos em parte fixas e moveis lote 1</v>
      </c>
      <c r="C5" s="540" t="str">
        <f>'CONTROLE DE OBRA BURJ LAVIE'!C3</f>
        <v>Pav. Tipo do 2º ao 14</v>
      </c>
      <c r="D5" s="541">
        <f>'PELE DE VIDRO'!U3</f>
        <v>47</v>
      </c>
      <c r="E5" s="542">
        <f>SUM('PELE DE VIDRO'!H3:H5)</f>
        <v>786.2399999999999</v>
      </c>
      <c r="F5" s="393">
        <f>'CONTROLE DE OBRA BURJ LAVIE'!O3</f>
        <v>342.15736799999996</v>
      </c>
      <c r="G5" s="373">
        <f>E5-F5</f>
        <v>444.08263199999993</v>
      </c>
      <c r="H5" s="374">
        <f>E5/$B$2*$D$2</f>
        <v>69999.999999999985</v>
      </c>
      <c r="I5" s="375">
        <f>F5/$B$2*$D$2</f>
        <v>30462.728632478629</v>
      </c>
      <c r="J5" s="375">
        <f>(F5/$B$2*$D$2)*(95%)</f>
        <v>28939.592200854695</v>
      </c>
      <c r="K5" s="376">
        <f>H5-J5</f>
        <v>41060.407799145294</v>
      </c>
    </row>
    <row r="6" spans="1:11" s="377" customFormat="1" ht="13.8" x14ac:dyDescent="0.3">
      <c r="A6" s="549" t="str">
        <f>'CONTROLE DE OBRA BURJ LAVIE'!A4</f>
        <v>J05 - LOTE 2</v>
      </c>
      <c r="B6" s="183" t="str">
        <f>'CONTROLE DE OBRA BURJ LAVIE'!B4</f>
        <v>Fachada pele de vidro entre vãos c/ 3 modulos em parte fixas e moveis lote 2</v>
      </c>
      <c r="C6" s="183" t="str">
        <f>'CONTROLE DE OBRA BURJ LAVIE'!C4</f>
        <v>Pav. Tipo do 2º ao 14</v>
      </c>
      <c r="D6" s="183">
        <f>'PELE DE VIDRO'!U6</f>
        <v>0</v>
      </c>
      <c r="E6" s="547">
        <f>SUM('PELE DE VIDRO'!H4:H6)</f>
        <v>786.24</v>
      </c>
      <c r="F6" s="546">
        <f>'CONTROLE DE OBRA BURJ LAVIE'!O4</f>
        <v>0</v>
      </c>
      <c r="G6" s="378">
        <f>E6-F6</f>
        <v>786.24</v>
      </c>
      <c r="H6" s="379">
        <f>E6/$B$2*$D$2</f>
        <v>70000</v>
      </c>
      <c r="I6" s="380">
        <f t="shared" ref="H6:I32" si="0">F6/$B$2*$D$2</f>
        <v>0</v>
      </c>
      <c r="J6" s="380">
        <f>(F6/$B$2*$D$2)*(95%)</f>
        <v>0</v>
      </c>
      <c r="K6" s="381">
        <f t="shared" ref="K6:K35" si="1">H6-J6</f>
        <v>70000</v>
      </c>
    </row>
    <row r="7" spans="1:11" s="377" customFormat="1" ht="13.8" x14ac:dyDescent="0.3">
      <c r="A7" s="549"/>
      <c r="B7" s="183"/>
      <c r="C7" s="182"/>
      <c r="D7" s="183"/>
      <c r="E7" s="547"/>
      <c r="F7" s="546">
        <f>'CONTROLE DE OBRA BURJ LAVIE'!O5</f>
        <v>0</v>
      </c>
      <c r="G7" s="378">
        <f>E7-F7</f>
        <v>0</v>
      </c>
      <c r="H7" s="379">
        <f>E7/$B$2*$D$2</f>
        <v>0</v>
      </c>
      <c r="I7" s="380">
        <f t="shared" si="0"/>
        <v>0</v>
      </c>
      <c r="J7" s="380">
        <f>(F7/$B$2*$D$2)*(95%)</f>
        <v>0</v>
      </c>
      <c r="K7" s="381">
        <f t="shared" si="1"/>
        <v>0</v>
      </c>
    </row>
    <row r="8" spans="1:11" s="377" customFormat="1" ht="13.8" x14ac:dyDescent="0.3">
      <c r="A8" s="550"/>
      <c r="B8" s="543"/>
      <c r="C8" s="544"/>
      <c r="D8" s="545"/>
      <c r="E8" s="449"/>
      <c r="F8" s="393">
        <f>'CONTROLE DE OBRA BURJ LAVIE'!O6</f>
        <v>0</v>
      </c>
      <c r="G8" s="378">
        <f t="shared" ref="G8:G32" si="2">E8-F8</f>
        <v>0</v>
      </c>
      <c r="H8" s="379">
        <f t="shared" si="0"/>
        <v>0</v>
      </c>
      <c r="I8" s="380">
        <f t="shared" si="0"/>
        <v>0</v>
      </c>
      <c r="J8" s="380">
        <f t="shared" ref="J8:J35" si="3">(F8/$B$2*$D$2)*(95%)</f>
        <v>0</v>
      </c>
      <c r="K8" s="381">
        <f t="shared" si="1"/>
        <v>0</v>
      </c>
    </row>
    <row r="9" spans="1:11" s="377" customFormat="1" ht="13.8" x14ac:dyDescent="0.3">
      <c r="A9" s="551"/>
      <c r="B9" s="504"/>
      <c r="C9" s="182"/>
      <c r="D9" s="506"/>
      <c r="E9" s="449"/>
      <c r="F9" s="393">
        <f>'CONTROLE DE OBRA BURJ LAVIE'!O7</f>
        <v>0</v>
      </c>
      <c r="G9" s="378">
        <f>E9-F9</f>
        <v>0</v>
      </c>
      <c r="H9" s="379">
        <f t="shared" si="0"/>
        <v>0</v>
      </c>
      <c r="I9" s="380">
        <f t="shared" si="0"/>
        <v>0</v>
      </c>
      <c r="J9" s="380">
        <f t="shared" si="3"/>
        <v>0</v>
      </c>
      <c r="K9" s="381">
        <f t="shared" si="1"/>
        <v>0</v>
      </c>
    </row>
    <row r="10" spans="1:11" s="377" customFormat="1" ht="13.8" x14ac:dyDescent="0.3">
      <c r="A10" s="551"/>
      <c r="B10" s="504"/>
      <c r="C10" s="182"/>
      <c r="D10" s="506"/>
      <c r="E10" s="449"/>
      <c r="F10" s="393">
        <f>'CONTROLE DE OBRA BURJ LAVIE'!O8</f>
        <v>0</v>
      </c>
      <c r="G10" s="378">
        <f>E10-F10</f>
        <v>0</v>
      </c>
      <c r="H10" s="379">
        <f t="shared" si="0"/>
        <v>0</v>
      </c>
      <c r="I10" s="380">
        <f t="shared" si="0"/>
        <v>0</v>
      </c>
      <c r="J10" s="380">
        <f t="shared" si="3"/>
        <v>0</v>
      </c>
      <c r="K10" s="381">
        <f t="shared" si="1"/>
        <v>0</v>
      </c>
    </row>
    <row r="11" spans="1:11" s="377" customFormat="1" ht="13.8" x14ac:dyDescent="0.3">
      <c r="A11" s="551"/>
      <c r="B11" s="504"/>
      <c r="C11" s="182"/>
      <c r="D11" s="506"/>
      <c r="E11" s="449"/>
      <c r="F11" s="393">
        <f>'CONTROLE DE OBRA BURJ LAVIE'!O9</f>
        <v>0</v>
      </c>
      <c r="G11" s="378">
        <f>E11-F11</f>
        <v>0</v>
      </c>
      <c r="H11" s="379">
        <f t="shared" si="0"/>
        <v>0</v>
      </c>
      <c r="I11" s="380">
        <f t="shared" si="0"/>
        <v>0</v>
      </c>
      <c r="J11" s="380">
        <f t="shared" si="3"/>
        <v>0</v>
      </c>
      <c r="K11" s="381">
        <f t="shared" si="1"/>
        <v>0</v>
      </c>
    </row>
    <row r="12" spans="1:11" s="377" customFormat="1" ht="13.8" x14ac:dyDescent="0.3">
      <c r="A12" s="551"/>
      <c r="B12" s="504"/>
      <c r="C12" s="182"/>
      <c r="D12" s="506"/>
      <c r="E12" s="449"/>
      <c r="F12" s="393">
        <f>'CONTROLE DE OBRA BURJ LAVIE'!O10</f>
        <v>0</v>
      </c>
      <c r="G12" s="378">
        <f>E12-F12</f>
        <v>0</v>
      </c>
      <c r="H12" s="379">
        <f t="shared" si="0"/>
        <v>0</v>
      </c>
      <c r="I12" s="380">
        <f t="shared" si="0"/>
        <v>0</v>
      </c>
      <c r="J12" s="380">
        <f t="shared" si="3"/>
        <v>0</v>
      </c>
      <c r="K12" s="381">
        <f t="shared" si="1"/>
        <v>0</v>
      </c>
    </row>
    <row r="13" spans="1:11" s="377" customFormat="1" ht="13.8" x14ac:dyDescent="0.3">
      <c r="A13" s="551"/>
      <c r="B13" s="504"/>
      <c r="C13" s="182"/>
      <c r="D13" s="506"/>
      <c r="E13" s="449"/>
      <c r="F13" s="393">
        <f>'CONTROLE DE OBRA BURJ LAVIE'!O11</f>
        <v>0</v>
      </c>
      <c r="G13" s="378">
        <f t="shared" si="2"/>
        <v>0</v>
      </c>
      <c r="H13" s="379">
        <f t="shared" si="0"/>
        <v>0</v>
      </c>
      <c r="I13" s="380">
        <f t="shared" si="0"/>
        <v>0</v>
      </c>
      <c r="J13" s="380">
        <f t="shared" si="3"/>
        <v>0</v>
      </c>
      <c r="K13" s="381">
        <f t="shared" si="1"/>
        <v>0</v>
      </c>
    </row>
    <row r="14" spans="1:11" s="377" customFormat="1" ht="13.8" x14ac:dyDescent="0.3">
      <c r="A14" s="551"/>
      <c r="B14" s="504"/>
      <c r="C14" s="182"/>
      <c r="D14" s="506"/>
      <c r="E14" s="449"/>
      <c r="F14" s="393">
        <f>'CONTROLE DE OBRA BURJ LAVIE'!O12</f>
        <v>0</v>
      </c>
      <c r="G14" s="378">
        <f t="shared" si="2"/>
        <v>0</v>
      </c>
      <c r="H14" s="379">
        <f t="shared" si="0"/>
        <v>0</v>
      </c>
      <c r="I14" s="380">
        <f t="shared" si="0"/>
        <v>0</v>
      </c>
      <c r="J14" s="380">
        <f t="shared" si="3"/>
        <v>0</v>
      </c>
      <c r="K14" s="381">
        <f t="shared" si="1"/>
        <v>0</v>
      </c>
    </row>
    <row r="15" spans="1:11" s="377" customFormat="1" ht="13.8" x14ac:dyDescent="0.3">
      <c r="A15" s="551"/>
      <c r="B15" s="504"/>
      <c r="C15" s="182"/>
      <c r="D15" s="506"/>
      <c r="E15" s="449"/>
      <c r="F15" s="393">
        <f>'CONTROLE DE OBRA BURJ LAVIE'!O13</f>
        <v>0</v>
      </c>
      <c r="G15" s="378">
        <f t="shared" si="2"/>
        <v>0</v>
      </c>
      <c r="H15" s="379">
        <f t="shared" si="0"/>
        <v>0</v>
      </c>
      <c r="I15" s="380">
        <f t="shared" si="0"/>
        <v>0</v>
      </c>
      <c r="J15" s="380">
        <f t="shared" si="3"/>
        <v>0</v>
      </c>
      <c r="K15" s="381">
        <f t="shared" si="1"/>
        <v>0</v>
      </c>
    </row>
    <row r="16" spans="1:11" s="377" customFormat="1" ht="13.8" x14ac:dyDescent="0.3">
      <c r="A16" s="551"/>
      <c r="B16" s="504"/>
      <c r="C16" s="182"/>
      <c r="D16" s="506"/>
      <c r="E16" s="449"/>
      <c r="F16" s="393">
        <f>'CONTROLE DE OBRA BURJ LAVIE'!O14</f>
        <v>0</v>
      </c>
      <c r="G16" s="378">
        <f t="shared" si="2"/>
        <v>0</v>
      </c>
      <c r="H16" s="379">
        <f t="shared" si="0"/>
        <v>0</v>
      </c>
      <c r="I16" s="380">
        <f t="shared" si="0"/>
        <v>0</v>
      </c>
      <c r="J16" s="380">
        <f t="shared" si="3"/>
        <v>0</v>
      </c>
      <c r="K16" s="381">
        <f t="shared" si="1"/>
        <v>0</v>
      </c>
    </row>
    <row r="17" spans="1:11" s="377" customFormat="1" ht="13.8" x14ac:dyDescent="0.3">
      <c r="A17" s="551"/>
      <c r="B17" s="504"/>
      <c r="C17" s="182"/>
      <c r="D17" s="506"/>
      <c r="E17" s="449"/>
      <c r="F17" s="393">
        <f>'CONTROLE DE OBRA BURJ LAVIE'!O15</f>
        <v>0</v>
      </c>
      <c r="G17" s="378">
        <f t="shared" si="2"/>
        <v>0</v>
      </c>
      <c r="H17" s="379">
        <f t="shared" si="0"/>
        <v>0</v>
      </c>
      <c r="I17" s="380">
        <f t="shared" si="0"/>
        <v>0</v>
      </c>
      <c r="J17" s="380">
        <f t="shared" si="3"/>
        <v>0</v>
      </c>
      <c r="K17" s="381">
        <f t="shared" si="1"/>
        <v>0</v>
      </c>
    </row>
    <row r="18" spans="1:11" s="377" customFormat="1" ht="13.8" x14ac:dyDescent="0.3">
      <c r="A18" s="551"/>
      <c r="B18" s="504"/>
      <c r="C18" s="182"/>
      <c r="D18" s="506"/>
      <c r="E18" s="449"/>
      <c r="F18" s="393">
        <f>'CONTROLE DE OBRA BURJ LAVIE'!O16</f>
        <v>0</v>
      </c>
      <c r="G18" s="378">
        <f t="shared" si="2"/>
        <v>0</v>
      </c>
      <c r="H18" s="379">
        <f t="shared" si="0"/>
        <v>0</v>
      </c>
      <c r="I18" s="380">
        <f t="shared" si="0"/>
        <v>0</v>
      </c>
      <c r="J18" s="380">
        <f t="shared" si="3"/>
        <v>0</v>
      </c>
      <c r="K18" s="381">
        <f t="shared" si="1"/>
        <v>0</v>
      </c>
    </row>
    <row r="19" spans="1:11" s="377" customFormat="1" ht="13.8" x14ac:dyDescent="0.3">
      <c r="A19" s="551"/>
      <c r="B19" s="504"/>
      <c r="C19" s="182"/>
      <c r="D19" s="506"/>
      <c r="E19" s="449"/>
      <c r="F19" s="393">
        <f>'CONTROLE DE OBRA BURJ LAVIE'!O17</f>
        <v>0</v>
      </c>
      <c r="G19" s="378">
        <f t="shared" si="2"/>
        <v>0</v>
      </c>
      <c r="H19" s="379">
        <f t="shared" si="0"/>
        <v>0</v>
      </c>
      <c r="I19" s="380">
        <f t="shared" si="0"/>
        <v>0</v>
      </c>
      <c r="J19" s="380">
        <f t="shared" si="3"/>
        <v>0</v>
      </c>
      <c r="K19" s="381">
        <f t="shared" si="1"/>
        <v>0</v>
      </c>
    </row>
    <row r="20" spans="1:11" s="377" customFormat="1" ht="13.8" x14ac:dyDescent="0.3">
      <c r="A20" s="551"/>
      <c r="B20" s="504"/>
      <c r="C20" s="182"/>
      <c r="D20" s="506"/>
      <c r="E20" s="449"/>
      <c r="F20" s="393">
        <f>'CONTROLE DE OBRA BURJ LAVIE'!O18</f>
        <v>0</v>
      </c>
      <c r="G20" s="378">
        <f t="shared" si="2"/>
        <v>0</v>
      </c>
      <c r="H20" s="379">
        <f t="shared" si="0"/>
        <v>0</v>
      </c>
      <c r="I20" s="380">
        <f t="shared" si="0"/>
        <v>0</v>
      </c>
      <c r="J20" s="380">
        <f t="shared" si="3"/>
        <v>0</v>
      </c>
      <c r="K20" s="381">
        <f t="shared" si="1"/>
        <v>0</v>
      </c>
    </row>
    <row r="21" spans="1:11" s="377" customFormat="1" ht="13.8" x14ac:dyDescent="0.3">
      <c r="A21" s="551"/>
      <c r="B21" s="504"/>
      <c r="C21" s="182"/>
      <c r="D21" s="506"/>
      <c r="E21" s="449"/>
      <c r="F21" s="393">
        <f>'CONTROLE DE OBRA BURJ LAVIE'!O19</f>
        <v>0</v>
      </c>
      <c r="G21" s="378">
        <f t="shared" si="2"/>
        <v>0</v>
      </c>
      <c r="H21" s="379">
        <f t="shared" si="0"/>
        <v>0</v>
      </c>
      <c r="I21" s="380">
        <f t="shared" si="0"/>
        <v>0</v>
      </c>
      <c r="J21" s="380">
        <f t="shared" si="3"/>
        <v>0</v>
      </c>
      <c r="K21" s="381">
        <f t="shared" si="1"/>
        <v>0</v>
      </c>
    </row>
    <row r="22" spans="1:11" s="377" customFormat="1" ht="13.8" x14ac:dyDescent="0.3">
      <c r="A22" s="551"/>
      <c r="B22" s="504"/>
      <c r="C22" s="182"/>
      <c r="D22" s="506"/>
      <c r="E22" s="449"/>
      <c r="F22" s="393">
        <f>'CONTROLE DE OBRA BURJ LAVIE'!O20</f>
        <v>0</v>
      </c>
      <c r="G22" s="378">
        <f t="shared" si="2"/>
        <v>0</v>
      </c>
      <c r="H22" s="379">
        <f t="shared" si="0"/>
        <v>0</v>
      </c>
      <c r="I22" s="380">
        <f t="shared" si="0"/>
        <v>0</v>
      </c>
      <c r="J22" s="380">
        <f t="shared" si="3"/>
        <v>0</v>
      </c>
      <c r="K22" s="381">
        <f t="shared" si="1"/>
        <v>0</v>
      </c>
    </row>
    <row r="23" spans="1:11" s="377" customFormat="1" ht="13.8" x14ac:dyDescent="0.3">
      <c r="A23" s="551"/>
      <c r="B23" s="504"/>
      <c r="C23" s="182"/>
      <c r="D23" s="506"/>
      <c r="E23" s="449"/>
      <c r="F23" s="393">
        <f>'CONTROLE DE OBRA BURJ LAVIE'!O21</f>
        <v>0</v>
      </c>
      <c r="G23" s="378">
        <f t="shared" si="2"/>
        <v>0</v>
      </c>
      <c r="H23" s="379">
        <f t="shared" si="0"/>
        <v>0</v>
      </c>
      <c r="I23" s="380">
        <f t="shared" si="0"/>
        <v>0</v>
      </c>
      <c r="J23" s="380">
        <f t="shared" si="3"/>
        <v>0</v>
      </c>
      <c r="K23" s="381">
        <f t="shared" si="1"/>
        <v>0</v>
      </c>
    </row>
    <row r="24" spans="1:11" s="377" customFormat="1" ht="13.8" x14ac:dyDescent="0.3">
      <c r="A24" s="551"/>
      <c r="B24" s="504"/>
      <c r="C24" s="182"/>
      <c r="D24" s="506"/>
      <c r="E24" s="449"/>
      <c r="F24" s="393">
        <f>'CONTROLE DE OBRA BURJ LAVIE'!O22</f>
        <v>0</v>
      </c>
      <c r="G24" s="378">
        <f t="shared" si="2"/>
        <v>0</v>
      </c>
      <c r="H24" s="379">
        <f t="shared" si="0"/>
        <v>0</v>
      </c>
      <c r="I24" s="380">
        <f t="shared" si="0"/>
        <v>0</v>
      </c>
      <c r="J24" s="380">
        <f t="shared" si="3"/>
        <v>0</v>
      </c>
      <c r="K24" s="381">
        <f t="shared" si="1"/>
        <v>0</v>
      </c>
    </row>
    <row r="25" spans="1:11" s="377" customFormat="1" ht="13.8" x14ac:dyDescent="0.3">
      <c r="A25" s="551"/>
      <c r="B25" s="183"/>
      <c r="C25" s="182"/>
      <c r="D25" s="506"/>
      <c r="E25" s="449"/>
      <c r="F25" s="393">
        <f>'CONTROLE DE OBRA BURJ LAVIE'!O23</f>
        <v>0</v>
      </c>
      <c r="G25" s="378">
        <f t="shared" si="2"/>
        <v>0</v>
      </c>
      <c r="H25" s="379">
        <f t="shared" si="0"/>
        <v>0</v>
      </c>
      <c r="I25" s="380">
        <f t="shared" si="0"/>
        <v>0</v>
      </c>
      <c r="J25" s="380">
        <f t="shared" si="3"/>
        <v>0</v>
      </c>
      <c r="K25" s="381">
        <f t="shared" si="1"/>
        <v>0</v>
      </c>
    </row>
    <row r="26" spans="1:11" s="377" customFormat="1" ht="13.8" x14ac:dyDescent="0.3">
      <c r="A26" s="551"/>
      <c r="B26" s="183"/>
      <c r="C26" s="182"/>
      <c r="D26" s="507"/>
      <c r="E26" s="413"/>
      <c r="F26" s="393">
        <f>'CONTROLE DE OBRA BURJ LAVIE'!O24</f>
        <v>0</v>
      </c>
      <c r="G26" s="378">
        <f t="shared" si="2"/>
        <v>0</v>
      </c>
      <c r="H26" s="379">
        <f t="shared" si="0"/>
        <v>0</v>
      </c>
      <c r="I26" s="380">
        <f t="shared" si="0"/>
        <v>0</v>
      </c>
      <c r="J26" s="380">
        <f t="shared" si="3"/>
        <v>0</v>
      </c>
      <c r="K26" s="381">
        <f t="shared" si="1"/>
        <v>0</v>
      </c>
    </row>
    <row r="27" spans="1:11" s="377" customFormat="1" ht="13.8" x14ac:dyDescent="0.3">
      <c r="A27" s="551"/>
      <c r="B27" s="183"/>
      <c r="C27" s="182"/>
      <c r="D27" s="507"/>
      <c r="E27" s="413"/>
      <c r="F27" s="393">
        <f>'CONTROLE DE OBRA BURJ LAVIE'!O25</f>
        <v>0</v>
      </c>
      <c r="G27" s="378">
        <f t="shared" si="2"/>
        <v>0</v>
      </c>
      <c r="H27" s="379">
        <f t="shared" si="0"/>
        <v>0</v>
      </c>
      <c r="I27" s="380">
        <f t="shared" si="0"/>
        <v>0</v>
      </c>
      <c r="J27" s="380">
        <f t="shared" si="3"/>
        <v>0</v>
      </c>
      <c r="K27" s="381">
        <f t="shared" si="1"/>
        <v>0</v>
      </c>
    </row>
    <row r="28" spans="1:11" s="377" customFormat="1" ht="13.8" x14ac:dyDescent="0.3">
      <c r="A28" s="551"/>
      <c r="B28" s="183"/>
      <c r="C28" s="182"/>
      <c r="D28" s="507"/>
      <c r="E28" s="413"/>
      <c r="F28" s="393">
        <f>'CONTROLE DE OBRA BURJ LAVIE'!O26</f>
        <v>0</v>
      </c>
      <c r="G28" s="378">
        <f t="shared" si="2"/>
        <v>0</v>
      </c>
      <c r="H28" s="379">
        <f t="shared" si="0"/>
        <v>0</v>
      </c>
      <c r="I28" s="380">
        <f t="shared" si="0"/>
        <v>0</v>
      </c>
      <c r="J28" s="380">
        <f t="shared" si="3"/>
        <v>0</v>
      </c>
      <c r="K28" s="381">
        <f t="shared" si="1"/>
        <v>0</v>
      </c>
    </row>
    <row r="29" spans="1:11" s="377" customFormat="1" ht="13.8" x14ac:dyDescent="0.3">
      <c r="A29" s="551"/>
      <c r="B29" s="183"/>
      <c r="C29" s="182"/>
      <c r="D29" s="507"/>
      <c r="E29" s="413"/>
      <c r="F29" s="393">
        <f>'CONTROLE DE OBRA BURJ LAVIE'!O27</f>
        <v>0</v>
      </c>
      <c r="G29" s="378">
        <f t="shared" si="2"/>
        <v>0</v>
      </c>
      <c r="H29" s="379">
        <f t="shared" si="0"/>
        <v>0</v>
      </c>
      <c r="I29" s="380">
        <f t="shared" si="0"/>
        <v>0</v>
      </c>
      <c r="J29" s="380">
        <f t="shared" si="3"/>
        <v>0</v>
      </c>
      <c r="K29" s="381">
        <f t="shared" si="1"/>
        <v>0</v>
      </c>
    </row>
    <row r="30" spans="1:11" s="377" customFormat="1" ht="13.8" x14ac:dyDescent="0.3">
      <c r="A30" s="551"/>
      <c r="B30" s="183"/>
      <c r="C30" s="182"/>
      <c r="D30" s="507"/>
      <c r="E30" s="413"/>
      <c r="F30" s="393">
        <f>'CONTROLE DE OBRA BURJ LAVIE'!O28</f>
        <v>0</v>
      </c>
      <c r="G30" s="378">
        <f t="shared" si="2"/>
        <v>0</v>
      </c>
      <c r="H30" s="379">
        <f t="shared" si="0"/>
        <v>0</v>
      </c>
      <c r="I30" s="380">
        <f t="shared" si="0"/>
        <v>0</v>
      </c>
      <c r="J30" s="380">
        <f t="shared" si="3"/>
        <v>0</v>
      </c>
      <c r="K30" s="381">
        <f t="shared" si="1"/>
        <v>0</v>
      </c>
    </row>
    <row r="31" spans="1:11" s="377" customFormat="1" ht="13.8" x14ac:dyDescent="0.3">
      <c r="A31" s="551"/>
      <c r="B31" s="183"/>
      <c r="C31" s="182"/>
      <c r="D31" s="507"/>
      <c r="E31" s="413"/>
      <c r="F31" s="393">
        <f>'CONTROLE DE OBRA BURJ LAVIE'!O29</f>
        <v>0</v>
      </c>
      <c r="G31" s="378">
        <f t="shared" si="2"/>
        <v>0</v>
      </c>
      <c r="H31" s="379">
        <f t="shared" si="0"/>
        <v>0</v>
      </c>
      <c r="I31" s="380">
        <f t="shared" si="0"/>
        <v>0</v>
      </c>
      <c r="J31" s="380">
        <f t="shared" si="3"/>
        <v>0</v>
      </c>
      <c r="K31" s="381">
        <f t="shared" si="1"/>
        <v>0</v>
      </c>
    </row>
    <row r="32" spans="1:11" s="377" customFormat="1" ht="13.8" x14ac:dyDescent="0.3">
      <c r="A32" s="551"/>
      <c r="B32" s="183"/>
      <c r="C32" s="182"/>
      <c r="D32" s="507"/>
      <c r="E32" s="413"/>
      <c r="F32" s="393">
        <f>'CONTROLE DE OBRA BURJ LAVIE'!O30</f>
        <v>0</v>
      </c>
      <c r="G32" s="378">
        <f t="shared" si="2"/>
        <v>0</v>
      </c>
      <c r="H32" s="379">
        <f>E32/$B$2*$D$2</f>
        <v>0</v>
      </c>
      <c r="I32" s="380">
        <f t="shared" si="0"/>
        <v>0</v>
      </c>
      <c r="J32" s="380">
        <f t="shared" si="3"/>
        <v>0</v>
      </c>
      <c r="K32" s="381">
        <f t="shared" si="1"/>
        <v>0</v>
      </c>
    </row>
    <row r="33" spans="1:11" s="377" customFormat="1" ht="13.8" x14ac:dyDescent="0.3">
      <c r="A33" s="551"/>
      <c r="B33" s="183"/>
      <c r="C33" s="182"/>
      <c r="D33" s="507"/>
      <c r="E33" s="413"/>
      <c r="F33" s="393">
        <f>'CONTROLE DE OBRA BURJ LAVIE'!O31</f>
        <v>0</v>
      </c>
      <c r="G33" s="378">
        <f>E33-F33</f>
        <v>0</v>
      </c>
      <c r="H33" s="379">
        <f t="shared" ref="H33:H35" si="4">E33/$B$2*$D$2</f>
        <v>0</v>
      </c>
      <c r="I33" s="380">
        <f>F33/$B$2*$D$2</f>
        <v>0</v>
      </c>
      <c r="J33" s="380">
        <f t="shared" si="3"/>
        <v>0</v>
      </c>
      <c r="K33" s="381">
        <f t="shared" si="1"/>
        <v>0</v>
      </c>
    </row>
    <row r="34" spans="1:11" s="377" customFormat="1" ht="13.8" x14ac:dyDescent="0.3">
      <c r="A34" s="551"/>
      <c r="B34" s="183"/>
      <c r="C34" s="182"/>
      <c r="D34" s="507"/>
      <c r="E34" s="413"/>
      <c r="F34" s="393">
        <f>'CONTROLE DE OBRA BURJ LAVIE'!O32</f>
        <v>0</v>
      </c>
      <c r="G34" s="378">
        <f t="shared" ref="G34:G35" si="5">E34-F34</f>
        <v>0</v>
      </c>
      <c r="H34" s="379">
        <f t="shared" si="4"/>
        <v>0</v>
      </c>
      <c r="I34" s="380">
        <f t="shared" ref="I34:I35" si="6">F34/$B$2*$D$2</f>
        <v>0</v>
      </c>
      <c r="J34" s="380">
        <f t="shared" si="3"/>
        <v>0</v>
      </c>
      <c r="K34" s="381">
        <f t="shared" si="1"/>
        <v>0</v>
      </c>
    </row>
    <row r="35" spans="1:11" s="377" customFormat="1" ht="13.8" x14ac:dyDescent="0.3">
      <c r="A35" s="551"/>
      <c r="B35" s="552"/>
      <c r="C35" s="182"/>
      <c r="D35" s="507"/>
      <c r="E35" s="413"/>
      <c r="F35" s="393">
        <f>'CONTROLE DE OBRA BURJ LAVIE'!O33</f>
        <v>0</v>
      </c>
      <c r="G35" s="378">
        <f t="shared" si="5"/>
        <v>0</v>
      </c>
      <c r="H35" s="379">
        <f t="shared" si="4"/>
        <v>0</v>
      </c>
      <c r="I35" s="380">
        <f t="shared" si="6"/>
        <v>0</v>
      </c>
      <c r="J35" s="380">
        <f t="shared" si="3"/>
        <v>0</v>
      </c>
      <c r="K35" s="381">
        <f t="shared" si="1"/>
        <v>0</v>
      </c>
    </row>
    <row r="36" spans="1:11" s="377" customFormat="1" thickBot="1" x14ac:dyDescent="0.35">
      <c r="A36" s="382"/>
      <c r="B36" s="505"/>
      <c r="C36" s="509"/>
      <c r="D36" s="508"/>
      <c r="E36" s="453">
        <f>SUM(E5:E35)</f>
        <v>1572.48</v>
      </c>
      <c r="F36" s="383"/>
      <c r="G36" s="384"/>
      <c r="H36" s="385"/>
      <c r="I36" s="386"/>
      <c r="J36" s="386"/>
      <c r="K36" s="387"/>
    </row>
    <row r="37" spans="1:11" ht="15" thickBot="1" x14ac:dyDescent="0.35">
      <c r="A37" s="279"/>
      <c r="B37" s="279"/>
      <c r="C37" s="389"/>
      <c r="D37" s="279"/>
      <c r="E37" s="450"/>
      <c r="F37" s="367"/>
      <c r="G37" s="279"/>
      <c r="H37" s="279"/>
      <c r="I37" s="279"/>
      <c r="J37" s="279"/>
      <c r="K37" s="279"/>
    </row>
    <row r="38" spans="1:11" ht="18.600000000000001" thickBot="1" x14ac:dyDescent="0.4">
      <c r="A38" s="595" t="s">
        <v>84</v>
      </c>
      <c r="B38" s="596"/>
      <c r="C38" s="596"/>
      <c r="D38" s="596"/>
      <c r="E38" s="596"/>
      <c r="F38" s="596"/>
      <c r="G38" s="596"/>
      <c r="H38" s="596"/>
      <c r="I38" s="596"/>
      <c r="J38" s="596"/>
      <c r="K38" s="597"/>
    </row>
    <row r="39" spans="1:11" x14ac:dyDescent="0.3">
      <c r="A39" s="600" t="s">
        <v>102</v>
      </c>
      <c r="B39" s="601"/>
      <c r="C39" s="601"/>
      <c r="D39" s="601"/>
      <c r="E39" s="601"/>
      <c r="F39" s="601"/>
      <c r="G39" s="601"/>
      <c r="H39" s="601"/>
      <c r="I39" s="601"/>
      <c r="J39" s="601"/>
      <c r="K39" s="602"/>
    </row>
    <row r="40" spans="1:11" x14ac:dyDescent="0.3">
      <c r="A40" s="395"/>
      <c r="B40" s="359"/>
      <c r="C40" s="390"/>
      <c r="D40" s="359"/>
      <c r="E40" s="451"/>
      <c r="F40" s="368"/>
      <c r="G40" s="359"/>
      <c r="H40" s="360"/>
      <c r="I40" s="360"/>
      <c r="J40" s="359"/>
      <c r="K40" s="361"/>
    </row>
    <row r="41" spans="1:11" x14ac:dyDescent="0.3">
      <c r="A41" s="395"/>
      <c r="B41" s="359"/>
      <c r="C41" s="390"/>
      <c r="D41" s="359"/>
      <c r="E41" s="451"/>
      <c r="F41" s="368"/>
      <c r="G41" s="359"/>
      <c r="H41" s="360"/>
      <c r="I41" s="360"/>
      <c r="J41" s="359"/>
      <c r="K41" s="361"/>
    </row>
    <row r="42" spans="1:11" x14ac:dyDescent="0.3">
      <c r="A42" s="362"/>
      <c r="B42" s="359"/>
      <c r="C42" s="390"/>
      <c r="D42" s="359"/>
      <c r="E42" s="451"/>
      <c r="F42" s="368"/>
      <c r="G42" s="359"/>
      <c r="H42" s="359"/>
      <c r="I42" s="359"/>
      <c r="J42" s="359"/>
      <c r="K42" s="361"/>
    </row>
    <row r="43" spans="1:11" x14ac:dyDescent="0.3">
      <c r="A43" s="362"/>
      <c r="B43" s="359"/>
      <c r="C43" s="390"/>
      <c r="D43" s="359"/>
      <c r="E43" s="451"/>
      <c r="F43" s="368"/>
      <c r="G43" s="359"/>
      <c r="H43" s="359"/>
      <c r="I43" s="359"/>
      <c r="J43" s="359"/>
      <c r="K43" s="361"/>
    </row>
    <row r="44" spans="1:11" ht="15" thickBot="1" x14ac:dyDescent="0.35">
      <c r="A44" s="363"/>
      <c r="B44" s="364"/>
      <c r="C44" s="391"/>
      <c r="D44" s="364"/>
      <c r="E44" s="452"/>
      <c r="F44" s="369"/>
      <c r="G44" s="364"/>
      <c r="H44" s="364"/>
      <c r="I44" s="364"/>
      <c r="J44" s="364"/>
      <c r="K44" s="365"/>
    </row>
  </sheetData>
  <mergeCells count="11">
    <mergeCell ref="A38:K38"/>
    <mergeCell ref="H2:I2"/>
    <mergeCell ref="H3:I3"/>
    <mergeCell ref="A39:K39"/>
    <mergeCell ref="A1:K1"/>
    <mergeCell ref="A2:A3"/>
    <mergeCell ref="B2:B3"/>
    <mergeCell ref="C2:C3"/>
    <mergeCell ref="D2:D3"/>
    <mergeCell ref="J2:J3"/>
    <mergeCell ref="K2:K3"/>
  </mergeCells>
  <pageMargins left="0.511811024" right="0.511811024" top="0.78740157499999996" bottom="0.78740157499999996" header="0.31496062000000002" footer="0.31496062000000002"/>
  <pageSetup paperSize="9" scale="65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zoomScale="90" zoomScaleNormal="90" workbookViewId="0">
      <selection activeCell="F3" sqref="F3"/>
    </sheetView>
  </sheetViews>
  <sheetFormatPr defaultRowHeight="14.4" x14ac:dyDescent="0.3"/>
  <cols>
    <col min="1" max="1" width="13" customWidth="1"/>
    <col min="2" max="2" width="65.33203125" customWidth="1"/>
    <col min="3" max="3" width="28.77734375" style="392" bestFit="1" customWidth="1"/>
    <col min="4" max="4" width="16.44140625" customWidth="1"/>
    <col min="5" max="5" width="13" style="40" customWidth="1"/>
    <col min="6" max="6" width="9.21875" style="18" customWidth="1"/>
    <col min="7" max="7" width="13.21875" customWidth="1"/>
    <col min="8" max="8" width="12.33203125" bestFit="1" customWidth="1"/>
    <col min="9" max="9" width="14.77734375" customWidth="1"/>
    <col min="10" max="10" width="15.77734375" customWidth="1"/>
    <col min="11" max="11" width="13.109375" customWidth="1"/>
  </cols>
  <sheetData>
    <row r="1" spans="1:11" ht="43.95" customHeight="1" x14ac:dyDescent="0.3">
      <c r="A1" s="603" t="s">
        <v>103</v>
      </c>
      <c r="B1" s="604"/>
      <c r="C1" s="604"/>
      <c r="D1" s="604"/>
      <c r="E1" s="604"/>
      <c r="F1" s="604"/>
      <c r="G1" s="604"/>
      <c r="H1" s="604"/>
      <c r="I1" s="604"/>
      <c r="J1" s="604"/>
      <c r="K1" s="605"/>
    </row>
    <row r="2" spans="1:11" ht="28.8" x14ac:dyDescent="0.3">
      <c r="A2" s="606" t="s">
        <v>70</v>
      </c>
      <c r="B2" s="608">
        <f>SUM(E5:E35)</f>
        <v>1572.48</v>
      </c>
      <c r="C2" s="610" t="s">
        <v>71</v>
      </c>
      <c r="D2" s="612">
        <v>140000</v>
      </c>
      <c r="E2" s="446" t="s">
        <v>72</v>
      </c>
      <c r="F2" s="366">
        <v>152.88</v>
      </c>
      <c r="G2" s="353" t="s">
        <v>73</v>
      </c>
      <c r="H2" s="598">
        <v>12930.46</v>
      </c>
      <c r="I2" s="598"/>
      <c r="J2" s="610" t="s">
        <v>74</v>
      </c>
      <c r="K2" s="614" t="s">
        <v>104</v>
      </c>
    </row>
    <row r="3" spans="1:11" ht="43.2" x14ac:dyDescent="0.3">
      <c r="A3" s="607"/>
      <c r="B3" s="609"/>
      <c r="C3" s="611"/>
      <c r="D3" s="613">
        <v>1043756.4248</v>
      </c>
      <c r="E3" s="447" t="s">
        <v>75</v>
      </c>
      <c r="F3" s="394">
        <f>SUM(F5:F36)-(F2)</f>
        <v>189.27736799999997</v>
      </c>
      <c r="G3" s="354" t="s">
        <v>76</v>
      </c>
      <c r="H3" s="599">
        <f>SUM(J5:J36)-(H2)</f>
        <v>16009.132200854696</v>
      </c>
      <c r="I3" s="599"/>
      <c r="J3" s="611"/>
      <c r="K3" s="615"/>
    </row>
    <row r="4" spans="1:11" ht="29.4" thickBot="1" x14ac:dyDescent="0.35">
      <c r="A4" s="355" t="s">
        <v>21</v>
      </c>
      <c r="B4" s="356" t="s">
        <v>20</v>
      </c>
      <c r="C4" s="357" t="s">
        <v>19</v>
      </c>
      <c r="D4" s="356" t="s">
        <v>18</v>
      </c>
      <c r="E4" s="448" t="s">
        <v>77</v>
      </c>
      <c r="F4" s="357" t="s">
        <v>78</v>
      </c>
      <c r="G4" s="357" t="s">
        <v>79</v>
      </c>
      <c r="H4" s="357" t="s">
        <v>80</v>
      </c>
      <c r="I4" s="357" t="s">
        <v>81</v>
      </c>
      <c r="J4" s="357" t="s">
        <v>82</v>
      </c>
      <c r="K4" s="358" t="s">
        <v>83</v>
      </c>
    </row>
    <row r="5" spans="1:11" s="377" customFormat="1" ht="13.8" x14ac:dyDescent="0.3">
      <c r="A5" s="548" t="str">
        <f>'CONTROLE DE OBRA BURJ LAVIE'!A3</f>
        <v>J05 - LOTE 1</v>
      </c>
      <c r="B5" s="539" t="str">
        <f>'CONTROLE DE OBRA BURJ LAVIE'!B3</f>
        <v>Fachada pele de vidro entre vãos c/ 3 modulos em parte fixas e moveis lote 1</v>
      </c>
      <c r="C5" s="540" t="str">
        <f>'CONTROLE DE OBRA BURJ LAVIE'!C3</f>
        <v>Pav. Tipo do 2º ao 14</v>
      </c>
      <c r="D5" s="541">
        <f>'PELE DE VIDRO'!U3</f>
        <v>47</v>
      </c>
      <c r="E5" s="542">
        <f>SUM('PELE DE VIDRO'!H3:H5)</f>
        <v>786.2399999999999</v>
      </c>
      <c r="F5" s="393">
        <f>'CONTROLE DE OBRA BURJ LAVIE'!O3</f>
        <v>342.15736799999996</v>
      </c>
      <c r="G5" s="373">
        <f>E5-F5</f>
        <v>444.08263199999993</v>
      </c>
      <c r="H5" s="374">
        <f>E5/$B$2*$D$2</f>
        <v>69999.999999999985</v>
      </c>
      <c r="I5" s="375">
        <f>F5/$B$2*$D$2</f>
        <v>30462.728632478629</v>
      </c>
      <c r="J5" s="375">
        <f>(F5/$B$2*$D$2)*(95%)</f>
        <v>28939.592200854695</v>
      </c>
      <c r="K5" s="376">
        <f>H5-J5</f>
        <v>41060.407799145294</v>
      </c>
    </row>
    <row r="6" spans="1:11" s="377" customFormat="1" ht="13.8" x14ac:dyDescent="0.3">
      <c r="A6" s="549" t="str">
        <f>'CONTROLE DE OBRA BURJ LAVIE'!A4</f>
        <v>J05 - LOTE 2</v>
      </c>
      <c r="B6" s="183" t="str">
        <f>'CONTROLE DE OBRA BURJ LAVIE'!B4</f>
        <v>Fachada pele de vidro entre vãos c/ 3 modulos em parte fixas e moveis lote 2</v>
      </c>
      <c r="C6" s="183" t="str">
        <f>'CONTROLE DE OBRA BURJ LAVIE'!C4</f>
        <v>Pav. Tipo do 2º ao 14</v>
      </c>
      <c r="D6" s="183">
        <f>'PELE DE VIDRO'!U6</f>
        <v>0</v>
      </c>
      <c r="E6" s="547">
        <f>SUM('PELE DE VIDRO'!H4:H6)</f>
        <v>786.24</v>
      </c>
      <c r="F6" s="546">
        <f>'CONTROLE DE OBRA BURJ LAVIE'!O4</f>
        <v>0</v>
      </c>
      <c r="G6" s="378">
        <f>E6-F6</f>
        <v>786.24</v>
      </c>
      <c r="H6" s="379">
        <f>E6/$B$2*$D$2</f>
        <v>70000</v>
      </c>
      <c r="I6" s="380">
        <f t="shared" ref="H6:I32" si="0">F6/$B$2*$D$2</f>
        <v>0</v>
      </c>
      <c r="J6" s="380">
        <f>(F6/$B$2*$D$2)*(95%)</f>
        <v>0</v>
      </c>
      <c r="K6" s="381">
        <f t="shared" ref="K6:K35" si="1">H6-J6</f>
        <v>70000</v>
      </c>
    </row>
    <row r="7" spans="1:11" s="377" customFormat="1" ht="13.8" x14ac:dyDescent="0.3">
      <c r="A7" s="549"/>
      <c r="B7" s="183"/>
      <c r="C7" s="182"/>
      <c r="D7" s="183"/>
      <c r="E7" s="547"/>
      <c r="F7" s="546">
        <f>'CONTROLE DE OBRA BURJ LAVIE'!O5</f>
        <v>0</v>
      </c>
      <c r="G7" s="378">
        <f>E7-F7</f>
        <v>0</v>
      </c>
      <c r="H7" s="379">
        <f>E7/$B$2*$D$2</f>
        <v>0</v>
      </c>
      <c r="I7" s="380">
        <f t="shared" si="0"/>
        <v>0</v>
      </c>
      <c r="J7" s="380">
        <f>(F7/$B$2*$D$2)*(95%)</f>
        <v>0</v>
      </c>
      <c r="K7" s="381">
        <f t="shared" si="1"/>
        <v>0</v>
      </c>
    </row>
    <row r="8" spans="1:11" s="377" customFormat="1" ht="13.8" x14ac:dyDescent="0.3">
      <c r="A8" s="550"/>
      <c r="B8" s="543"/>
      <c r="C8" s="544"/>
      <c r="D8" s="545"/>
      <c r="E8" s="449"/>
      <c r="F8" s="393">
        <f>'CONTROLE DE OBRA BURJ LAVIE'!O6</f>
        <v>0</v>
      </c>
      <c r="G8" s="378">
        <f t="shared" ref="G8:G32" si="2">E8-F8</f>
        <v>0</v>
      </c>
      <c r="H8" s="379">
        <f t="shared" si="0"/>
        <v>0</v>
      </c>
      <c r="I8" s="380">
        <f t="shared" si="0"/>
        <v>0</v>
      </c>
      <c r="J8" s="380">
        <f t="shared" ref="J8:J35" si="3">(F8/$B$2*$D$2)*(95%)</f>
        <v>0</v>
      </c>
      <c r="K8" s="381">
        <f t="shared" si="1"/>
        <v>0</v>
      </c>
    </row>
    <row r="9" spans="1:11" s="377" customFormat="1" ht="13.8" x14ac:dyDescent="0.3">
      <c r="A9" s="551"/>
      <c r="B9" s="504"/>
      <c r="C9" s="182"/>
      <c r="D9" s="506"/>
      <c r="E9" s="449"/>
      <c r="F9" s="393">
        <f>'CONTROLE DE OBRA BURJ LAVIE'!O7</f>
        <v>0</v>
      </c>
      <c r="G9" s="378">
        <f>E9-F9</f>
        <v>0</v>
      </c>
      <c r="H9" s="379">
        <f t="shared" si="0"/>
        <v>0</v>
      </c>
      <c r="I9" s="380">
        <f t="shared" si="0"/>
        <v>0</v>
      </c>
      <c r="J9" s="380">
        <f t="shared" si="3"/>
        <v>0</v>
      </c>
      <c r="K9" s="381">
        <f t="shared" si="1"/>
        <v>0</v>
      </c>
    </row>
    <row r="10" spans="1:11" s="377" customFormat="1" ht="13.8" x14ac:dyDescent="0.3">
      <c r="A10" s="551"/>
      <c r="B10" s="504"/>
      <c r="C10" s="182"/>
      <c r="D10" s="506"/>
      <c r="E10" s="449"/>
      <c r="F10" s="393">
        <f>'CONTROLE DE OBRA BURJ LAVIE'!O8</f>
        <v>0</v>
      </c>
      <c r="G10" s="378">
        <f>E10-F10</f>
        <v>0</v>
      </c>
      <c r="H10" s="379">
        <f t="shared" si="0"/>
        <v>0</v>
      </c>
      <c r="I10" s="380">
        <f t="shared" si="0"/>
        <v>0</v>
      </c>
      <c r="J10" s="380">
        <f t="shared" si="3"/>
        <v>0</v>
      </c>
      <c r="K10" s="381">
        <f t="shared" si="1"/>
        <v>0</v>
      </c>
    </row>
    <row r="11" spans="1:11" s="377" customFormat="1" ht="13.8" x14ac:dyDescent="0.3">
      <c r="A11" s="551"/>
      <c r="B11" s="504"/>
      <c r="C11" s="182"/>
      <c r="D11" s="506"/>
      <c r="E11" s="449"/>
      <c r="F11" s="393">
        <f>'CONTROLE DE OBRA BURJ LAVIE'!O9</f>
        <v>0</v>
      </c>
      <c r="G11" s="378">
        <f>E11-F11</f>
        <v>0</v>
      </c>
      <c r="H11" s="379">
        <f t="shared" si="0"/>
        <v>0</v>
      </c>
      <c r="I11" s="380">
        <f t="shared" si="0"/>
        <v>0</v>
      </c>
      <c r="J11" s="380">
        <f t="shared" si="3"/>
        <v>0</v>
      </c>
      <c r="K11" s="381">
        <f t="shared" si="1"/>
        <v>0</v>
      </c>
    </row>
    <row r="12" spans="1:11" s="377" customFormat="1" ht="13.8" x14ac:dyDescent="0.3">
      <c r="A12" s="551"/>
      <c r="B12" s="504"/>
      <c r="C12" s="182"/>
      <c r="D12" s="506"/>
      <c r="E12" s="449"/>
      <c r="F12" s="393">
        <f>'CONTROLE DE OBRA BURJ LAVIE'!O10</f>
        <v>0</v>
      </c>
      <c r="G12" s="378">
        <f>E12-F12</f>
        <v>0</v>
      </c>
      <c r="H12" s="379">
        <f t="shared" si="0"/>
        <v>0</v>
      </c>
      <c r="I12" s="380">
        <f t="shared" si="0"/>
        <v>0</v>
      </c>
      <c r="J12" s="380">
        <f t="shared" si="3"/>
        <v>0</v>
      </c>
      <c r="K12" s="381">
        <f t="shared" si="1"/>
        <v>0</v>
      </c>
    </row>
    <row r="13" spans="1:11" s="377" customFormat="1" ht="13.8" x14ac:dyDescent="0.3">
      <c r="A13" s="551"/>
      <c r="B13" s="504"/>
      <c r="C13" s="182"/>
      <c r="D13" s="506"/>
      <c r="E13" s="449"/>
      <c r="F13" s="393">
        <f>'CONTROLE DE OBRA BURJ LAVIE'!O11</f>
        <v>0</v>
      </c>
      <c r="G13" s="378">
        <f t="shared" si="2"/>
        <v>0</v>
      </c>
      <c r="H13" s="379">
        <f t="shared" si="0"/>
        <v>0</v>
      </c>
      <c r="I13" s="380">
        <f t="shared" si="0"/>
        <v>0</v>
      </c>
      <c r="J13" s="380">
        <f t="shared" si="3"/>
        <v>0</v>
      </c>
      <c r="K13" s="381">
        <f t="shared" si="1"/>
        <v>0</v>
      </c>
    </row>
    <row r="14" spans="1:11" s="377" customFormat="1" ht="13.8" x14ac:dyDescent="0.3">
      <c r="A14" s="551"/>
      <c r="B14" s="504"/>
      <c r="C14" s="182"/>
      <c r="D14" s="506"/>
      <c r="E14" s="449"/>
      <c r="F14" s="393">
        <f>'CONTROLE DE OBRA BURJ LAVIE'!O12</f>
        <v>0</v>
      </c>
      <c r="G14" s="378">
        <f t="shared" si="2"/>
        <v>0</v>
      </c>
      <c r="H14" s="379">
        <f t="shared" si="0"/>
        <v>0</v>
      </c>
      <c r="I14" s="380">
        <f t="shared" si="0"/>
        <v>0</v>
      </c>
      <c r="J14" s="380">
        <f t="shared" si="3"/>
        <v>0</v>
      </c>
      <c r="K14" s="381">
        <f t="shared" si="1"/>
        <v>0</v>
      </c>
    </row>
    <row r="15" spans="1:11" s="377" customFormat="1" ht="13.8" x14ac:dyDescent="0.3">
      <c r="A15" s="551"/>
      <c r="B15" s="504"/>
      <c r="C15" s="182"/>
      <c r="D15" s="506"/>
      <c r="E15" s="449"/>
      <c r="F15" s="393">
        <f>'CONTROLE DE OBRA BURJ LAVIE'!O13</f>
        <v>0</v>
      </c>
      <c r="G15" s="378">
        <f t="shared" si="2"/>
        <v>0</v>
      </c>
      <c r="H15" s="379">
        <f t="shared" si="0"/>
        <v>0</v>
      </c>
      <c r="I15" s="380">
        <f t="shared" si="0"/>
        <v>0</v>
      </c>
      <c r="J15" s="380">
        <f t="shared" si="3"/>
        <v>0</v>
      </c>
      <c r="K15" s="381">
        <f t="shared" si="1"/>
        <v>0</v>
      </c>
    </row>
    <row r="16" spans="1:11" s="377" customFormat="1" ht="13.8" x14ac:dyDescent="0.3">
      <c r="A16" s="551"/>
      <c r="B16" s="504"/>
      <c r="C16" s="182"/>
      <c r="D16" s="506"/>
      <c r="E16" s="449"/>
      <c r="F16" s="393">
        <f>'CONTROLE DE OBRA BURJ LAVIE'!O14</f>
        <v>0</v>
      </c>
      <c r="G16" s="378">
        <f t="shared" si="2"/>
        <v>0</v>
      </c>
      <c r="H16" s="379">
        <f t="shared" si="0"/>
        <v>0</v>
      </c>
      <c r="I16" s="380">
        <f t="shared" si="0"/>
        <v>0</v>
      </c>
      <c r="J16" s="380">
        <f t="shared" si="3"/>
        <v>0</v>
      </c>
      <c r="K16" s="381">
        <f t="shared" si="1"/>
        <v>0</v>
      </c>
    </row>
    <row r="17" spans="1:11" s="377" customFormat="1" ht="13.8" x14ac:dyDescent="0.3">
      <c r="A17" s="551"/>
      <c r="B17" s="504"/>
      <c r="C17" s="182"/>
      <c r="D17" s="506"/>
      <c r="E17" s="449"/>
      <c r="F17" s="393">
        <f>'CONTROLE DE OBRA BURJ LAVIE'!O15</f>
        <v>0</v>
      </c>
      <c r="G17" s="378">
        <f t="shared" si="2"/>
        <v>0</v>
      </c>
      <c r="H17" s="379">
        <f t="shared" si="0"/>
        <v>0</v>
      </c>
      <c r="I17" s="380">
        <f t="shared" si="0"/>
        <v>0</v>
      </c>
      <c r="J17" s="380">
        <f t="shared" si="3"/>
        <v>0</v>
      </c>
      <c r="K17" s="381">
        <f t="shared" si="1"/>
        <v>0</v>
      </c>
    </row>
    <row r="18" spans="1:11" s="377" customFormat="1" ht="13.8" x14ac:dyDescent="0.3">
      <c r="A18" s="551"/>
      <c r="B18" s="504"/>
      <c r="C18" s="182"/>
      <c r="D18" s="506"/>
      <c r="E18" s="449"/>
      <c r="F18" s="393">
        <f>'CONTROLE DE OBRA BURJ LAVIE'!O16</f>
        <v>0</v>
      </c>
      <c r="G18" s="378">
        <f t="shared" si="2"/>
        <v>0</v>
      </c>
      <c r="H18" s="379">
        <f t="shared" si="0"/>
        <v>0</v>
      </c>
      <c r="I18" s="380">
        <f t="shared" si="0"/>
        <v>0</v>
      </c>
      <c r="J18" s="380">
        <f t="shared" si="3"/>
        <v>0</v>
      </c>
      <c r="K18" s="381">
        <f t="shared" si="1"/>
        <v>0</v>
      </c>
    </row>
    <row r="19" spans="1:11" s="377" customFormat="1" ht="13.8" x14ac:dyDescent="0.3">
      <c r="A19" s="551"/>
      <c r="B19" s="504"/>
      <c r="C19" s="182"/>
      <c r="D19" s="506"/>
      <c r="E19" s="449"/>
      <c r="F19" s="393">
        <f>'CONTROLE DE OBRA BURJ LAVIE'!O17</f>
        <v>0</v>
      </c>
      <c r="G19" s="378">
        <f t="shared" si="2"/>
        <v>0</v>
      </c>
      <c r="H19" s="379">
        <f t="shared" si="0"/>
        <v>0</v>
      </c>
      <c r="I19" s="380">
        <f t="shared" si="0"/>
        <v>0</v>
      </c>
      <c r="J19" s="380">
        <f t="shared" si="3"/>
        <v>0</v>
      </c>
      <c r="K19" s="381">
        <f t="shared" si="1"/>
        <v>0</v>
      </c>
    </row>
    <row r="20" spans="1:11" s="377" customFormat="1" ht="13.8" x14ac:dyDescent="0.3">
      <c r="A20" s="551"/>
      <c r="B20" s="504"/>
      <c r="C20" s="182"/>
      <c r="D20" s="506"/>
      <c r="E20" s="449"/>
      <c r="F20" s="393">
        <f>'CONTROLE DE OBRA BURJ LAVIE'!O18</f>
        <v>0</v>
      </c>
      <c r="G20" s="378">
        <f t="shared" si="2"/>
        <v>0</v>
      </c>
      <c r="H20" s="379">
        <f t="shared" si="0"/>
        <v>0</v>
      </c>
      <c r="I20" s="380">
        <f t="shared" si="0"/>
        <v>0</v>
      </c>
      <c r="J20" s="380">
        <f t="shared" si="3"/>
        <v>0</v>
      </c>
      <c r="K20" s="381">
        <f t="shared" si="1"/>
        <v>0</v>
      </c>
    </row>
    <row r="21" spans="1:11" s="377" customFormat="1" ht="13.8" x14ac:dyDescent="0.3">
      <c r="A21" s="551"/>
      <c r="B21" s="504"/>
      <c r="C21" s="182"/>
      <c r="D21" s="506"/>
      <c r="E21" s="449"/>
      <c r="F21" s="393">
        <f>'CONTROLE DE OBRA BURJ LAVIE'!O19</f>
        <v>0</v>
      </c>
      <c r="G21" s="378">
        <f t="shared" si="2"/>
        <v>0</v>
      </c>
      <c r="H21" s="379">
        <f t="shared" si="0"/>
        <v>0</v>
      </c>
      <c r="I21" s="380">
        <f t="shared" si="0"/>
        <v>0</v>
      </c>
      <c r="J21" s="380">
        <f t="shared" si="3"/>
        <v>0</v>
      </c>
      <c r="K21" s="381">
        <f t="shared" si="1"/>
        <v>0</v>
      </c>
    </row>
    <row r="22" spans="1:11" s="377" customFormat="1" ht="13.8" x14ac:dyDescent="0.3">
      <c r="A22" s="551"/>
      <c r="B22" s="504"/>
      <c r="C22" s="182"/>
      <c r="D22" s="506"/>
      <c r="E22" s="449"/>
      <c r="F22" s="393">
        <f>'CONTROLE DE OBRA BURJ LAVIE'!O20</f>
        <v>0</v>
      </c>
      <c r="G22" s="378">
        <f t="shared" si="2"/>
        <v>0</v>
      </c>
      <c r="H22" s="379">
        <f t="shared" si="0"/>
        <v>0</v>
      </c>
      <c r="I22" s="380">
        <f t="shared" si="0"/>
        <v>0</v>
      </c>
      <c r="J22" s="380">
        <f t="shared" si="3"/>
        <v>0</v>
      </c>
      <c r="K22" s="381">
        <f t="shared" si="1"/>
        <v>0</v>
      </c>
    </row>
    <row r="23" spans="1:11" s="377" customFormat="1" ht="13.8" x14ac:dyDescent="0.3">
      <c r="A23" s="551"/>
      <c r="B23" s="504"/>
      <c r="C23" s="182"/>
      <c r="D23" s="506"/>
      <c r="E23" s="449"/>
      <c r="F23" s="393">
        <f>'CONTROLE DE OBRA BURJ LAVIE'!O21</f>
        <v>0</v>
      </c>
      <c r="G23" s="378">
        <f t="shared" si="2"/>
        <v>0</v>
      </c>
      <c r="H23" s="379">
        <f t="shared" si="0"/>
        <v>0</v>
      </c>
      <c r="I23" s="380">
        <f t="shared" si="0"/>
        <v>0</v>
      </c>
      <c r="J23" s="380">
        <f t="shared" si="3"/>
        <v>0</v>
      </c>
      <c r="K23" s="381">
        <f t="shared" si="1"/>
        <v>0</v>
      </c>
    </row>
    <row r="24" spans="1:11" s="377" customFormat="1" ht="13.8" x14ac:dyDescent="0.3">
      <c r="A24" s="551"/>
      <c r="B24" s="504"/>
      <c r="C24" s="182"/>
      <c r="D24" s="506"/>
      <c r="E24" s="449"/>
      <c r="F24" s="393">
        <f>'CONTROLE DE OBRA BURJ LAVIE'!O22</f>
        <v>0</v>
      </c>
      <c r="G24" s="378">
        <f t="shared" si="2"/>
        <v>0</v>
      </c>
      <c r="H24" s="379">
        <f t="shared" si="0"/>
        <v>0</v>
      </c>
      <c r="I24" s="380">
        <f t="shared" si="0"/>
        <v>0</v>
      </c>
      <c r="J24" s="380">
        <f t="shared" si="3"/>
        <v>0</v>
      </c>
      <c r="K24" s="381">
        <f t="shared" si="1"/>
        <v>0</v>
      </c>
    </row>
    <row r="25" spans="1:11" s="377" customFormat="1" ht="13.8" x14ac:dyDescent="0.3">
      <c r="A25" s="551"/>
      <c r="B25" s="183"/>
      <c r="C25" s="182"/>
      <c r="D25" s="506"/>
      <c r="E25" s="449"/>
      <c r="F25" s="393">
        <f>'CONTROLE DE OBRA BURJ LAVIE'!O23</f>
        <v>0</v>
      </c>
      <c r="G25" s="378">
        <f t="shared" si="2"/>
        <v>0</v>
      </c>
      <c r="H25" s="379">
        <f t="shared" si="0"/>
        <v>0</v>
      </c>
      <c r="I25" s="380">
        <f t="shared" si="0"/>
        <v>0</v>
      </c>
      <c r="J25" s="380">
        <f t="shared" si="3"/>
        <v>0</v>
      </c>
      <c r="K25" s="381">
        <f t="shared" si="1"/>
        <v>0</v>
      </c>
    </row>
    <row r="26" spans="1:11" s="377" customFormat="1" ht="13.8" x14ac:dyDescent="0.3">
      <c r="A26" s="551"/>
      <c r="B26" s="183"/>
      <c r="C26" s="182"/>
      <c r="D26" s="507"/>
      <c r="E26" s="413"/>
      <c r="F26" s="393">
        <f>'CONTROLE DE OBRA BURJ LAVIE'!O24</f>
        <v>0</v>
      </c>
      <c r="G26" s="378">
        <f t="shared" si="2"/>
        <v>0</v>
      </c>
      <c r="H26" s="379">
        <f t="shared" si="0"/>
        <v>0</v>
      </c>
      <c r="I26" s="380">
        <f t="shared" si="0"/>
        <v>0</v>
      </c>
      <c r="J26" s="380">
        <f t="shared" si="3"/>
        <v>0</v>
      </c>
      <c r="K26" s="381">
        <f t="shared" si="1"/>
        <v>0</v>
      </c>
    </row>
    <row r="27" spans="1:11" s="377" customFormat="1" ht="13.8" x14ac:dyDescent="0.3">
      <c r="A27" s="551"/>
      <c r="B27" s="183"/>
      <c r="C27" s="182"/>
      <c r="D27" s="507"/>
      <c r="E27" s="413"/>
      <c r="F27" s="393">
        <f>'CONTROLE DE OBRA BURJ LAVIE'!O25</f>
        <v>0</v>
      </c>
      <c r="G27" s="378">
        <f t="shared" si="2"/>
        <v>0</v>
      </c>
      <c r="H27" s="379">
        <f t="shared" si="0"/>
        <v>0</v>
      </c>
      <c r="I27" s="380">
        <f t="shared" si="0"/>
        <v>0</v>
      </c>
      <c r="J27" s="380">
        <f t="shared" si="3"/>
        <v>0</v>
      </c>
      <c r="K27" s="381">
        <f t="shared" si="1"/>
        <v>0</v>
      </c>
    </row>
    <row r="28" spans="1:11" s="377" customFormat="1" ht="13.8" x14ac:dyDescent="0.3">
      <c r="A28" s="551"/>
      <c r="B28" s="183"/>
      <c r="C28" s="182"/>
      <c r="D28" s="507"/>
      <c r="E28" s="413"/>
      <c r="F28" s="393">
        <f>'CONTROLE DE OBRA BURJ LAVIE'!O26</f>
        <v>0</v>
      </c>
      <c r="G28" s="378">
        <f t="shared" si="2"/>
        <v>0</v>
      </c>
      <c r="H28" s="379">
        <f t="shared" si="0"/>
        <v>0</v>
      </c>
      <c r="I28" s="380">
        <f t="shared" si="0"/>
        <v>0</v>
      </c>
      <c r="J28" s="380">
        <f t="shared" si="3"/>
        <v>0</v>
      </c>
      <c r="K28" s="381">
        <f t="shared" si="1"/>
        <v>0</v>
      </c>
    </row>
    <row r="29" spans="1:11" s="377" customFormat="1" ht="13.8" x14ac:dyDescent="0.3">
      <c r="A29" s="551"/>
      <c r="B29" s="183"/>
      <c r="C29" s="182"/>
      <c r="D29" s="507"/>
      <c r="E29" s="413"/>
      <c r="F29" s="393">
        <f>'CONTROLE DE OBRA BURJ LAVIE'!O27</f>
        <v>0</v>
      </c>
      <c r="G29" s="378">
        <f t="shared" si="2"/>
        <v>0</v>
      </c>
      <c r="H29" s="379">
        <f t="shared" si="0"/>
        <v>0</v>
      </c>
      <c r="I29" s="380">
        <f t="shared" si="0"/>
        <v>0</v>
      </c>
      <c r="J29" s="380">
        <f t="shared" si="3"/>
        <v>0</v>
      </c>
      <c r="K29" s="381">
        <f t="shared" si="1"/>
        <v>0</v>
      </c>
    </row>
    <row r="30" spans="1:11" s="377" customFormat="1" ht="13.8" x14ac:dyDescent="0.3">
      <c r="A30" s="551"/>
      <c r="B30" s="183"/>
      <c r="C30" s="182"/>
      <c r="D30" s="507"/>
      <c r="E30" s="413"/>
      <c r="F30" s="393">
        <f>'CONTROLE DE OBRA BURJ LAVIE'!O28</f>
        <v>0</v>
      </c>
      <c r="G30" s="378">
        <f t="shared" si="2"/>
        <v>0</v>
      </c>
      <c r="H30" s="379">
        <f t="shared" si="0"/>
        <v>0</v>
      </c>
      <c r="I30" s="380">
        <f t="shared" si="0"/>
        <v>0</v>
      </c>
      <c r="J30" s="380">
        <f t="shared" si="3"/>
        <v>0</v>
      </c>
      <c r="K30" s="381">
        <f t="shared" si="1"/>
        <v>0</v>
      </c>
    </row>
    <row r="31" spans="1:11" s="377" customFormat="1" ht="13.8" x14ac:dyDescent="0.3">
      <c r="A31" s="551"/>
      <c r="B31" s="183"/>
      <c r="C31" s="182"/>
      <c r="D31" s="507"/>
      <c r="E31" s="413"/>
      <c r="F31" s="393">
        <f>'CONTROLE DE OBRA BURJ LAVIE'!O29</f>
        <v>0</v>
      </c>
      <c r="G31" s="378">
        <f t="shared" si="2"/>
        <v>0</v>
      </c>
      <c r="H31" s="379">
        <f t="shared" si="0"/>
        <v>0</v>
      </c>
      <c r="I31" s="380">
        <f t="shared" si="0"/>
        <v>0</v>
      </c>
      <c r="J31" s="380">
        <f t="shared" si="3"/>
        <v>0</v>
      </c>
      <c r="K31" s="381">
        <f t="shared" si="1"/>
        <v>0</v>
      </c>
    </row>
    <row r="32" spans="1:11" s="377" customFormat="1" ht="13.8" x14ac:dyDescent="0.3">
      <c r="A32" s="551"/>
      <c r="B32" s="183"/>
      <c r="C32" s="182"/>
      <c r="D32" s="507"/>
      <c r="E32" s="413"/>
      <c r="F32" s="393">
        <f>'CONTROLE DE OBRA BURJ LAVIE'!O30</f>
        <v>0</v>
      </c>
      <c r="G32" s="378">
        <f t="shared" si="2"/>
        <v>0</v>
      </c>
      <c r="H32" s="379">
        <f>E32/$B$2*$D$2</f>
        <v>0</v>
      </c>
      <c r="I32" s="380">
        <f t="shared" si="0"/>
        <v>0</v>
      </c>
      <c r="J32" s="380">
        <f t="shared" si="3"/>
        <v>0</v>
      </c>
      <c r="K32" s="381">
        <f t="shared" si="1"/>
        <v>0</v>
      </c>
    </row>
    <row r="33" spans="1:11" s="377" customFormat="1" ht="13.8" x14ac:dyDescent="0.3">
      <c r="A33" s="551"/>
      <c r="B33" s="183"/>
      <c r="C33" s="182"/>
      <c r="D33" s="507"/>
      <c r="E33" s="413"/>
      <c r="F33" s="393">
        <f>'CONTROLE DE OBRA BURJ LAVIE'!O31</f>
        <v>0</v>
      </c>
      <c r="G33" s="378">
        <f>E33-F33</f>
        <v>0</v>
      </c>
      <c r="H33" s="379">
        <f t="shared" ref="H33:I35" si="4">E33/$B$2*$D$2</f>
        <v>0</v>
      </c>
      <c r="I33" s="380">
        <f>F33/$B$2*$D$2</f>
        <v>0</v>
      </c>
      <c r="J33" s="380">
        <f t="shared" si="3"/>
        <v>0</v>
      </c>
      <c r="K33" s="381">
        <f t="shared" si="1"/>
        <v>0</v>
      </c>
    </row>
    <row r="34" spans="1:11" s="377" customFormat="1" ht="13.8" x14ac:dyDescent="0.3">
      <c r="A34" s="551"/>
      <c r="B34" s="183"/>
      <c r="C34" s="182"/>
      <c r="D34" s="507"/>
      <c r="E34" s="413"/>
      <c r="F34" s="393">
        <f>'CONTROLE DE OBRA BURJ LAVIE'!O32</f>
        <v>0</v>
      </c>
      <c r="G34" s="378">
        <f t="shared" ref="G34:G35" si="5">E34-F34</f>
        <v>0</v>
      </c>
      <c r="H34" s="379">
        <f t="shared" si="4"/>
        <v>0</v>
      </c>
      <c r="I34" s="380">
        <f t="shared" si="4"/>
        <v>0</v>
      </c>
      <c r="J34" s="380">
        <f t="shared" si="3"/>
        <v>0</v>
      </c>
      <c r="K34" s="381">
        <f t="shared" si="1"/>
        <v>0</v>
      </c>
    </row>
    <row r="35" spans="1:11" s="377" customFormat="1" ht="13.8" x14ac:dyDescent="0.3">
      <c r="A35" s="551"/>
      <c r="B35" s="552"/>
      <c r="C35" s="182"/>
      <c r="D35" s="507"/>
      <c r="E35" s="413"/>
      <c r="F35" s="393">
        <f>'CONTROLE DE OBRA BURJ LAVIE'!O33</f>
        <v>0</v>
      </c>
      <c r="G35" s="378">
        <f t="shared" si="5"/>
        <v>0</v>
      </c>
      <c r="H35" s="379">
        <f t="shared" si="4"/>
        <v>0</v>
      </c>
      <c r="I35" s="380">
        <f t="shared" si="4"/>
        <v>0</v>
      </c>
      <c r="J35" s="380">
        <f t="shared" si="3"/>
        <v>0</v>
      </c>
      <c r="K35" s="381">
        <f t="shared" si="1"/>
        <v>0</v>
      </c>
    </row>
    <row r="36" spans="1:11" s="377" customFormat="1" thickBot="1" x14ac:dyDescent="0.35">
      <c r="A36" s="382"/>
      <c r="B36" s="505"/>
      <c r="C36" s="509"/>
      <c r="D36" s="508"/>
      <c r="E36" s="453">
        <f>SUM(E5:E35)</f>
        <v>1572.48</v>
      </c>
      <c r="F36" s="383"/>
      <c r="G36" s="384"/>
      <c r="H36" s="385"/>
      <c r="I36" s="386"/>
      <c r="J36" s="386"/>
      <c r="K36" s="387"/>
    </row>
    <row r="37" spans="1:11" ht="15" thickBot="1" x14ac:dyDescent="0.35">
      <c r="A37" s="279"/>
      <c r="B37" s="279"/>
      <c r="C37" s="389"/>
      <c r="D37" s="279"/>
      <c r="E37" s="450"/>
      <c r="F37" s="367"/>
      <c r="G37" s="279"/>
      <c r="H37" s="279"/>
      <c r="I37" s="279"/>
      <c r="J37" s="279"/>
      <c r="K37" s="279"/>
    </row>
    <row r="38" spans="1:11" ht="18.600000000000001" thickBot="1" x14ac:dyDescent="0.4">
      <c r="A38" s="595" t="s">
        <v>84</v>
      </c>
      <c r="B38" s="596"/>
      <c r="C38" s="596"/>
      <c r="D38" s="596"/>
      <c r="E38" s="596"/>
      <c r="F38" s="596"/>
      <c r="G38" s="596"/>
      <c r="H38" s="596"/>
      <c r="I38" s="596"/>
      <c r="J38" s="596"/>
      <c r="K38" s="597"/>
    </row>
    <row r="39" spans="1:11" x14ac:dyDescent="0.3">
      <c r="A39" s="600" t="s">
        <v>102</v>
      </c>
      <c r="B39" s="601"/>
      <c r="C39" s="601"/>
      <c r="D39" s="601"/>
      <c r="E39" s="601"/>
      <c r="F39" s="601"/>
      <c r="G39" s="601"/>
      <c r="H39" s="601"/>
      <c r="I39" s="601"/>
      <c r="J39" s="601"/>
      <c r="K39" s="602"/>
    </row>
    <row r="40" spans="1:11" x14ac:dyDescent="0.3">
      <c r="A40" s="395"/>
      <c r="B40" s="359"/>
      <c r="C40" s="390"/>
      <c r="D40" s="359"/>
      <c r="E40" s="451"/>
      <c r="F40" s="368"/>
      <c r="G40" s="359"/>
      <c r="H40" s="360"/>
      <c r="I40" s="360"/>
      <c r="J40" s="359"/>
      <c r="K40" s="361"/>
    </row>
    <row r="41" spans="1:11" x14ac:dyDescent="0.3">
      <c r="A41" s="395"/>
      <c r="B41" s="359"/>
      <c r="C41" s="390"/>
      <c r="D41" s="359"/>
      <c r="E41" s="451"/>
      <c r="F41" s="368"/>
      <c r="G41" s="359"/>
      <c r="H41" s="360"/>
      <c r="I41" s="360"/>
      <c r="J41" s="359"/>
      <c r="K41" s="361"/>
    </row>
    <row r="42" spans="1:11" x14ac:dyDescent="0.3">
      <c r="A42" s="362"/>
      <c r="B42" s="359"/>
      <c r="C42" s="390"/>
      <c r="D42" s="359"/>
      <c r="E42" s="451"/>
      <c r="F42" s="368"/>
      <c r="G42" s="359"/>
      <c r="H42" s="359"/>
      <c r="I42" s="359"/>
      <c r="J42" s="359"/>
      <c r="K42" s="361"/>
    </row>
    <row r="43" spans="1:11" x14ac:dyDescent="0.3">
      <c r="A43" s="362"/>
      <c r="B43" s="359"/>
      <c r="C43" s="390"/>
      <c r="D43" s="359"/>
      <c r="E43" s="451"/>
      <c r="F43" s="368"/>
      <c r="G43" s="359"/>
      <c r="H43" s="359"/>
      <c r="I43" s="359"/>
      <c r="J43" s="359"/>
      <c r="K43" s="361"/>
    </row>
    <row r="44" spans="1:11" ht="15" thickBot="1" x14ac:dyDescent="0.35">
      <c r="A44" s="363"/>
      <c r="B44" s="364"/>
      <c r="C44" s="391"/>
      <c r="D44" s="364"/>
      <c r="E44" s="452"/>
      <c r="F44" s="369"/>
      <c r="G44" s="364"/>
      <c r="H44" s="364"/>
      <c r="I44" s="364"/>
      <c r="J44" s="364"/>
      <c r="K44" s="365"/>
    </row>
  </sheetData>
  <mergeCells count="11">
    <mergeCell ref="A38:K38"/>
    <mergeCell ref="A39:K39"/>
    <mergeCell ref="A1:K1"/>
    <mergeCell ref="A2:A3"/>
    <mergeCell ref="B2:B3"/>
    <mergeCell ref="C2:C3"/>
    <mergeCell ref="D2:D3"/>
    <mergeCell ref="H2:I2"/>
    <mergeCell ref="J2:J3"/>
    <mergeCell ref="K2:K3"/>
    <mergeCell ref="H3:I3"/>
  </mergeCells>
  <pageMargins left="0.511811024" right="0.511811024" top="0.78740157499999996" bottom="0.78740157499999996" header="0.31496062000000002" footer="0.31496062000000002"/>
  <pageSetup paperSize="9" scale="63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13" sqref="A13"/>
    </sheetView>
  </sheetViews>
  <sheetFormatPr defaultColWidth="8.77734375" defaultRowHeight="15.6" x14ac:dyDescent="0.3"/>
  <cols>
    <col min="1" max="1" width="46.5546875" style="201" bestFit="1" customWidth="1"/>
    <col min="2" max="2" width="28.88671875" style="201" bestFit="1" customWidth="1"/>
    <col min="3" max="16384" width="8.77734375" style="201"/>
  </cols>
  <sheetData>
    <row r="1" spans="1:2" ht="16.2" thickBot="1" x14ac:dyDescent="0.35"/>
    <row r="2" spans="1:2" ht="45" customHeight="1" x14ac:dyDescent="0.3">
      <c r="A2" s="202" t="s">
        <v>32</v>
      </c>
      <c r="B2" s="203">
        <v>1750000</v>
      </c>
    </row>
    <row r="3" spans="1:2" x14ac:dyDescent="0.3">
      <c r="A3" s="204" t="s">
        <v>96</v>
      </c>
      <c r="B3" s="512">
        <f>B2</f>
        <v>1750000</v>
      </c>
    </row>
    <row r="5" spans="1:2" x14ac:dyDescent="0.3">
      <c r="B5" s="205">
        <f>SUM(B3:B3)</f>
        <v>1750000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10"/>
  <sheetViews>
    <sheetView topLeftCell="A31" zoomScaleNormal="100" workbookViewId="0">
      <selection activeCell="G17" sqref="G17"/>
    </sheetView>
  </sheetViews>
  <sheetFormatPr defaultColWidth="14.44140625" defaultRowHeight="15" customHeight="1" x14ac:dyDescent="0.3"/>
  <cols>
    <col min="1" max="1" width="15.44140625" customWidth="1"/>
    <col min="2" max="2" width="18.5546875" customWidth="1"/>
    <col min="3" max="3" width="43.21875" customWidth="1"/>
    <col min="4" max="4" width="10.21875" customWidth="1"/>
    <col min="5" max="5" width="5.88671875" style="20" bestFit="1" customWidth="1"/>
    <col min="6" max="6" width="11.5546875" style="20" customWidth="1"/>
    <col min="7" max="7" width="11.109375" style="59" customWidth="1"/>
    <col min="8" max="8" width="9" style="18" bestFit="1" customWidth="1"/>
    <col min="9" max="9" width="9.109375" style="18" customWidth="1"/>
    <col min="10" max="10" width="9" style="18" customWidth="1"/>
    <col min="11" max="11" width="17" style="162" customWidth="1"/>
    <col min="12" max="12" width="9.77734375" style="18" customWidth="1"/>
    <col min="13" max="13" width="7.21875" style="18" bestFit="1" customWidth="1"/>
    <col min="14" max="14" width="13.77734375" style="60" customWidth="1"/>
    <col min="15" max="15" width="9.77734375" customWidth="1"/>
    <col min="16" max="16" width="11.77734375" bestFit="1" customWidth="1"/>
    <col min="17" max="18" width="8.77734375" customWidth="1"/>
    <col min="19" max="19" width="15.21875" bestFit="1" customWidth="1"/>
    <col min="20" max="20" width="11.77734375" style="304" bestFit="1" customWidth="1"/>
    <col min="21" max="25" width="8.77734375" style="304" customWidth="1"/>
    <col min="26" max="26" width="8.77734375" customWidth="1"/>
  </cols>
  <sheetData>
    <row r="1" spans="1:35" ht="48" customHeight="1" x14ac:dyDescent="0.3">
      <c r="A1" s="655" t="s">
        <v>97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656"/>
      <c r="Y1" s="656"/>
      <c r="Z1" s="656"/>
      <c r="AA1" s="656"/>
      <c r="AB1" s="656"/>
      <c r="AC1" s="656"/>
      <c r="AD1" s="656"/>
      <c r="AE1" s="656"/>
      <c r="AF1" s="656"/>
      <c r="AG1" s="656"/>
      <c r="AH1" s="657"/>
      <c r="AI1" s="206"/>
    </row>
    <row r="2" spans="1:35" ht="25.5" customHeight="1" x14ac:dyDescent="0.3">
      <c r="A2" s="658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659"/>
      <c r="T2" s="659"/>
      <c r="U2" s="659"/>
      <c r="V2" s="659"/>
      <c r="W2" s="659"/>
      <c r="X2" s="659"/>
      <c r="Y2" s="659"/>
      <c r="Z2" s="659"/>
      <c r="AA2" s="659"/>
      <c r="AB2" s="659"/>
      <c r="AC2" s="659"/>
      <c r="AD2" s="659"/>
      <c r="AE2" s="659"/>
      <c r="AF2" s="659"/>
      <c r="AG2" s="659"/>
      <c r="AH2" s="660"/>
      <c r="AI2" s="206"/>
    </row>
    <row r="3" spans="1:35" ht="26.25" customHeight="1" thickBot="1" x14ac:dyDescent="0.35">
      <c r="A3" s="661"/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2"/>
      <c r="AC3" s="662"/>
      <c r="AD3" s="662"/>
      <c r="AE3" s="662"/>
      <c r="AF3" s="662"/>
      <c r="AG3" s="662"/>
      <c r="AH3" s="663"/>
      <c r="AI3" s="206"/>
    </row>
    <row r="4" spans="1:35" ht="21.6" thickBot="1" x14ac:dyDescent="0.35">
      <c r="A4" s="207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9"/>
      <c r="M4" s="209"/>
      <c r="N4" s="209"/>
      <c r="O4" s="209"/>
      <c r="P4" s="209"/>
      <c r="Q4" s="209"/>
      <c r="R4" s="209"/>
      <c r="S4" s="209"/>
      <c r="T4" s="298"/>
      <c r="U4" s="298"/>
      <c r="V4" s="298"/>
      <c r="W4" s="298"/>
      <c r="X4" s="298"/>
      <c r="Y4" s="298"/>
      <c r="Z4" s="206"/>
      <c r="AA4" s="206"/>
      <c r="AB4" s="206"/>
      <c r="AC4" s="206"/>
      <c r="AD4" s="206"/>
      <c r="AE4" s="206"/>
      <c r="AF4" s="206"/>
      <c r="AG4" s="206"/>
      <c r="AH4" s="206"/>
      <c r="AI4" s="206"/>
    </row>
    <row r="5" spans="1:35" ht="14.25" customHeight="1" x14ac:dyDescent="0.3">
      <c r="A5" s="664" t="s">
        <v>34</v>
      </c>
      <c r="B5" s="646" t="s">
        <v>35</v>
      </c>
      <c r="C5" s="646" t="s">
        <v>28</v>
      </c>
      <c r="D5" s="644" t="s">
        <v>29</v>
      </c>
      <c r="E5" s="644" t="s">
        <v>36</v>
      </c>
      <c r="F5" s="644" t="s">
        <v>37</v>
      </c>
      <c r="G5" s="644"/>
      <c r="H5" s="632" t="s">
        <v>38</v>
      </c>
      <c r="I5" s="632" t="s">
        <v>39</v>
      </c>
      <c r="J5" s="634" t="s">
        <v>40</v>
      </c>
      <c r="K5" s="637" t="s">
        <v>41</v>
      </c>
      <c r="L5" s="640" t="s">
        <v>42</v>
      </c>
      <c r="M5" s="642" t="s">
        <v>43</v>
      </c>
      <c r="N5" s="644" t="s">
        <v>37</v>
      </c>
      <c r="O5" s="644"/>
      <c r="P5" s="646" t="s">
        <v>38</v>
      </c>
      <c r="Q5" s="646" t="s">
        <v>39</v>
      </c>
      <c r="R5" s="648" t="s">
        <v>40</v>
      </c>
      <c r="S5" s="210" t="s">
        <v>44</v>
      </c>
      <c r="T5" s="651" t="s">
        <v>45</v>
      </c>
      <c r="U5" s="652"/>
      <c r="V5" s="652"/>
      <c r="W5" s="652"/>
      <c r="X5" s="652"/>
      <c r="Y5" s="652"/>
      <c r="Z5" s="652"/>
      <c r="AA5" s="652"/>
      <c r="AB5" s="652"/>
      <c r="AC5" s="652"/>
      <c r="AD5" s="652"/>
      <c r="AE5" s="652"/>
      <c r="AF5" s="652"/>
      <c r="AG5" s="652"/>
      <c r="AH5" s="653"/>
      <c r="AI5" s="206"/>
    </row>
    <row r="6" spans="1:35" ht="14.25" customHeight="1" x14ac:dyDescent="0.3">
      <c r="A6" s="665"/>
      <c r="B6" s="647"/>
      <c r="C6" s="647"/>
      <c r="D6" s="645"/>
      <c r="E6" s="645"/>
      <c r="F6" s="645"/>
      <c r="G6" s="645"/>
      <c r="H6" s="633"/>
      <c r="I6" s="633"/>
      <c r="J6" s="635"/>
      <c r="K6" s="638"/>
      <c r="L6" s="641"/>
      <c r="M6" s="643"/>
      <c r="N6" s="645"/>
      <c r="O6" s="645"/>
      <c r="P6" s="647"/>
      <c r="Q6" s="647"/>
      <c r="R6" s="649"/>
      <c r="S6" s="211">
        <f>'VALOR DO CONTRATO'!B2</f>
        <v>1750000</v>
      </c>
      <c r="T6" s="212" t="s">
        <v>46</v>
      </c>
      <c r="U6" s="213" t="s">
        <v>47</v>
      </c>
      <c r="V6" s="213" t="s">
        <v>48</v>
      </c>
      <c r="W6" s="213" t="s">
        <v>49</v>
      </c>
      <c r="X6" s="213" t="s">
        <v>50</v>
      </c>
      <c r="Y6" s="213" t="s">
        <v>51</v>
      </c>
      <c r="Z6" s="213" t="s">
        <v>52</v>
      </c>
      <c r="AA6" s="213" t="s">
        <v>53</v>
      </c>
      <c r="AB6" s="213" t="s">
        <v>54</v>
      </c>
      <c r="AC6" s="213" t="s">
        <v>55</v>
      </c>
      <c r="AD6" s="213" t="s">
        <v>56</v>
      </c>
      <c r="AE6" s="213" t="s">
        <v>57</v>
      </c>
      <c r="AF6" s="213" t="s">
        <v>58</v>
      </c>
      <c r="AG6" s="213" t="s">
        <v>59</v>
      </c>
      <c r="AH6" s="214" t="s">
        <v>60</v>
      </c>
      <c r="AI6" s="206"/>
    </row>
    <row r="7" spans="1:35" ht="14.25" customHeight="1" x14ac:dyDescent="0.3">
      <c r="A7" s="665"/>
      <c r="B7" s="647"/>
      <c r="C7" s="647"/>
      <c r="D7" s="645"/>
      <c r="E7" s="645"/>
      <c r="F7" s="645"/>
      <c r="G7" s="645"/>
      <c r="H7" s="633"/>
      <c r="I7" s="633"/>
      <c r="J7" s="635"/>
      <c r="K7" s="638"/>
      <c r="L7" s="641"/>
      <c r="M7" s="643"/>
      <c r="N7" s="645"/>
      <c r="O7" s="645"/>
      <c r="P7" s="647"/>
      <c r="Q7" s="647"/>
      <c r="R7" s="649"/>
      <c r="S7" s="215" t="s">
        <v>61</v>
      </c>
      <c r="T7" s="212" t="s">
        <v>62</v>
      </c>
      <c r="U7" s="213" t="s">
        <v>62</v>
      </c>
      <c r="V7" s="213" t="s">
        <v>62</v>
      </c>
      <c r="W7" s="213" t="s">
        <v>62</v>
      </c>
      <c r="X7" s="213" t="s">
        <v>62</v>
      </c>
      <c r="Y7" s="213" t="s">
        <v>62</v>
      </c>
      <c r="Z7" s="213" t="s">
        <v>62</v>
      </c>
      <c r="AA7" s="213" t="s">
        <v>62</v>
      </c>
      <c r="AB7" s="213" t="s">
        <v>62</v>
      </c>
      <c r="AC7" s="213" t="s">
        <v>62</v>
      </c>
      <c r="AD7" s="213" t="s">
        <v>62</v>
      </c>
      <c r="AE7" s="213" t="s">
        <v>62</v>
      </c>
      <c r="AF7" s="213" t="s">
        <v>62</v>
      </c>
      <c r="AG7" s="213" t="s">
        <v>62</v>
      </c>
      <c r="AH7" s="214" t="s">
        <v>62</v>
      </c>
      <c r="AI7" s="206"/>
    </row>
    <row r="8" spans="1:35" ht="14.25" customHeight="1" x14ac:dyDescent="0.3">
      <c r="A8" s="665"/>
      <c r="B8" s="647"/>
      <c r="C8" s="647"/>
      <c r="D8" s="645"/>
      <c r="E8" s="645"/>
      <c r="F8" s="645"/>
      <c r="G8" s="645"/>
      <c r="H8" s="633"/>
      <c r="I8" s="633"/>
      <c r="J8" s="636"/>
      <c r="K8" s="639"/>
      <c r="L8" s="641"/>
      <c r="M8" s="643"/>
      <c r="N8" s="645"/>
      <c r="O8" s="645"/>
      <c r="P8" s="647"/>
      <c r="Q8" s="647"/>
      <c r="R8" s="650"/>
      <c r="S8" s="216">
        <f>S6-S100</f>
        <v>1750000</v>
      </c>
      <c r="T8" s="299">
        <v>45524</v>
      </c>
      <c r="U8" s="300"/>
      <c r="V8" s="300"/>
      <c r="W8" s="300"/>
      <c r="X8" s="300"/>
      <c r="Y8" s="300"/>
      <c r="Z8" s="217"/>
      <c r="AA8" s="217"/>
      <c r="AB8" s="217"/>
      <c r="AC8" s="217"/>
      <c r="AD8" s="217"/>
      <c r="AE8" s="217"/>
      <c r="AF8" s="217"/>
      <c r="AG8" s="217"/>
      <c r="AH8" s="218"/>
      <c r="AI8" s="206"/>
    </row>
    <row r="9" spans="1:35" ht="14.4" x14ac:dyDescent="0.3">
      <c r="A9" s="219"/>
      <c r="B9" s="220"/>
      <c r="C9" s="348"/>
      <c r="D9" s="249"/>
      <c r="E9" s="250"/>
      <c r="F9" s="222"/>
      <c r="G9" s="222"/>
      <c r="H9" s="223">
        <f>F9*G9/1</f>
        <v>0</v>
      </c>
      <c r="I9" s="224">
        <f>E9*H9</f>
        <v>0</v>
      </c>
      <c r="J9" s="352"/>
      <c r="K9" s="226">
        <f>J9*I9</f>
        <v>0</v>
      </c>
      <c r="L9" s="227">
        <f>E9-M9</f>
        <v>0</v>
      </c>
      <c r="M9" s="228">
        <f>T9+U9+V9+W9+X9+Y9+Z9+AA9+AB9+AC9+AD9+AE9+AF9+AG9+AH9</f>
        <v>0</v>
      </c>
      <c r="N9" s="222"/>
      <c r="O9" s="222"/>
      <c r="P9" s="223">
        <f>N9*O9/1000000</f>
        <v>0</v>
      </c>
      <c r="Q9" s="224">
        <f>M9*P9</f>
        <v>0</v>
      </c>
      <c r="R9" s="229">
        <f>J9</f>
        <v>0</v>
      </c>
      <c r="S9" s="230">
        <f>Q9*R9</f>
        <v>0</v>
      </c>
      <c r="T9" s="231">
        <v>0</v>
      </c>
      <c r="U9" s="232">
        <v>0</v>
      </c>
      <c r="V9" s="232">
        <v>0</v>
      </c>
      <c r="W9" s="232">
        <v>0</v>
      </c>
      <c r="X9" s="232">
        <v>0</v>
      </c>
      <c r="Y9" s="232">
        <v>0</v>
      </c>
      <c r="Z9" s="232">
        <v>0</v>
      </c>
      <c r="AA9" s="232">
        <v>0</v>
      </c>
      <c r="AB9" s="232">
        <v>0</v>
      </c>
      <c r="AC9" s="232">
        <v>0</v>
      </c>
      <c r="AD9" s="232">
        <v>0</v>
      </c>
      <c r="AE9" s="232">
        <v>0</v>
      </c>
      <c r="AF9" s="232">
        <v>0</v>
      </c>
      <c r="AG9" s="232">
        <v>0</v>
      </c>
      <c r="AH9" s="233">
        <v>0</v>
      </c>
      <c r="AI9" s="206"/>
    </row>
    <row r="10" spans="1:35" ht="14.4" x14ac:dyDescent="0.3">
      <c r="A10" s="219"/>
      <c r="B10" s="220"/>
      <c r="C10" s="349"/>
      <c r="D10" s="249"/>
      <c r="E10" s="250"/>
      <c r="F10" s="222"/>
      <c r="G10" s="222"/>
      <c r="H10" s="223">
        <f t="shared" ref="H10:H20" si="0">F10*G10/1</f>
        <v>0</v>
      </c>
      <c r="I10" s="224">
        <f t="shared" ref="I10:I20" si="1">E10*H10</f>
        <v>0</v>
      </c>
      <c r="J10" s="352"/>
      <c r="K10" s="226">
        <f>J10*I10</f>
        <v>0</v>
      </c>
      <c r="L10" s="227">
        <f t="shared" ref="L10:L72" si="2">E10-M10</f>
        <v>0</v>
      </c>
      <c r="M10" s="228">
        <f t="shared" ref="M10:M73" si="3">T10+U10+V10+W10+X10+Y10+Z10+AA10+AB10+AC10+AD10+AE10+AF10+AG10+AH10</f>
        <v>0</v>
      </c>
      <c r="N10" s="222"/>
      <c r="O10" s="222"/>
      <c r="P10" s="223">
        <f t="shared" ref="P10:P30" si="4">N10*O10/1000000</f>
        <v>0</v>
      </c>
      <c r="Q10" s="224">
        <f t="shared" ref="Q10:Q30" si="5">M10*P10</f>
        <v>0</v>
      </c>
      <c r="R10" s="229">
        <f t="shared" ref="R10:R73" si="6">J10</f>
        <v>0</v>
      </c>
      <c r="S10" s="230">
        <f t="shared" ref="S10:S73" si="7">Q10*R10</f>
        <v>0</v>
      </c>
      <c r="T10" s="231">
        <v>0</v>
      </c>
      <c r="U10" s="232">
        <v>0</v>
      </c>
      <c r="V10" s="232">
        <v>0</v>
      </c>
      <c r="W10" s="232">
        <v>0</v>
      </c>
      <c r="X10" s="232">
        <v>0</v>
      </c>
      <c r="Y10" s="232">
        <v>0</v>
      </c>
      <c r="Z10" s="232">
        <v>0</v>
      </c>
      <c r="AA10" s="232">
        <v>0</v>
      </c>
      <c r="AB10" s="232">
        <v>0</v>
      </c>
      <c r="AC10" s="232">
        <v>0</v>
      </c>
      <c r="AD10" s="232">
        <v>0</v>
      </c>
      <c r="AE10" s="232">
        <v>0</v>
      </c>
      <c r="AF10" s="232">
        <v>0</v>
      </c>
      <c r="AG10" s="232">
        <v>0</v>
      </c>
      <c r="AH10" s="233">
        <v>0</v>
      </c>
      <c r="AI10" s="206"/>
    </row>
    <row r="11" spans="1:35" ht="14.4" x14ac:dyDescent="0.3">
      <c r="A11" s="219"/>
      <c r="B11" s="220"/>
      <c r="C11" s="349"/>
      <c r="D11" s="249"/>
      <c r="E11" s="250"/>
      <c r="F11" s="222"/>
      <c r="G11" s="222"/>
      <c r="H11" s="223">
        <f t="shared" si="0"/>
        <v>0</v>
      </c>
      <c r="I11" s="224">
        <f t="shared" si="1"/>
        <v>0</v>
      </c>
      <c r="J11" s="352"/>
      <c r="K11" s="226">
        <f t="shared" ref="K11:K74" si="8">J11*I11</f>
        <v>0</v>
      </c>
      <c r="L11" s="227">
        <f t="shared" si="2"/>
        <v>0</v>
      </c>
      <c r="M11" s="228">
        <f t="shared" si="3"/>
        <v>0</v>
      </c>
      <c r="N11" s="222"/>
      <c r="O11" s="222"/>
      <c r="P11" s="223">
        <f t="shared" si="4"/>
        <v>0</v>
      </c>
      <c r="Q11" s="224">
        <f t="shared" si="5"/>
        <v>0</v>
      </c>
      <c r="R11" s="229">
        <f t="shared" si="6"/>
        <v>0</v>
      </c>
      <c r="S11" s="230">
        <f t="shared" si="7"/>
        <v>0</v>
      </c>
      <c r="T11" s="231">
        <v>0</v>
      </c>
      <c r="U11" s="232">
        <v>0</v>
      </c>
      <c r="V11" s="232">
        <v>0</v>
      </c>
      <c r="W11" s="232">
        <v>0</v>
      </c>
      <c r="X11" s="232">
        <v>0</v>
      </c>
      <c r="Y11" s="232">
        <v>0</v>
      </c>
      <c r="Z11" s="232">
        <v>0</v>
      </c>
      <c r="AA11" s="232">
        <v>0</v>
      </c>
      <c r="AB11" s="232">
        <v>0</v>
      </c>
      <c r="AC11" s="232">
        <v>0</v>
      </c>
      <c r="AD11" s="232">
        <v>0</v>
      </c>
      <c r="AE11" s="232">
        <v>0</v>
      </c>
      <c r="AF11" s="232">
        <v>0</v>
      </c>
      <c r="AG11" s="232">
        <v>0</v>
      </c>
      <c r="AH11" s="233">
        <v>0</v>
      </c>
      <c r="AI11" s="206"/>
    </row>
    <row r="12" spans="1:35" ht="14.4" x14ac:dyDescent="0.3">
      <c r="A12" s="219"/>
      <c r="B12" s="220"/>
      <c r="C12" s="349"/>
      <c r="D12" s="249"/>
      <c r="E12" s="250"/>
      <c r="F12" s="222"/>
      <c r="G12" s="222"/>
      <c r="H12" s="223">
        <f t="shared" si="0"/>
        <v>0</v>
      </c>
      <c r="I12" s="224">
        <f t="shared" si="1"/>
        <v>0</v>
      </c>
      <c r="J12" s="352"/>
      <c r="K12" s="226">
        <f t="shared" si="8"/>
        <v>0</v>
      </c>
      <c r="L12" s="227">
        <f t="shared" si="2"/>
        <v>0</v>
      </c>
      <c r="M12" s="228">
        <f t="shared" si="3"/>
        <v>0</v>
      </c>
      <c r="N12" s="222"/>
      <c r="O12" s="222"/>
      <c r="P12" s="223">
        <f t="shared" si="4"/>
        <v>0</v>
      </c>
      <c r="Q12" s="224">
        <f t="shared" si="5"/>
        <v>0</v>
      </c>
      <c r="R12" s="229">
        <f t="shared" si="6"/>
        <v>0</v>
      </c>
      <c r="S12" s="230">
        <f t="shared" si="7"/>
        <v>0</v>
      </c>
      <c r="T12" s="231">
        <v>0</v>
      </c>
      <c r="U12" s="232">
        <v>0</v>
      </c>
      <c r="V12" s="232">
        <v>0</v>
      </c>
      <c r="W12" s="232">
        <v>0</v>
      </c>
      <c r="X12" s="232">
        <v>0</v>
      </c>
      <c r="Y12" s="232">
        <v>0</v>
      </c>
      <c r="Z12" s="232">
        <v>0</v>
      </c>
      <c r="AA12" s="232">
        <v>0</v>
      </c>
      <c r="AB12" s="232">
        <v>0</v>
      </c>
      <c r="AC12" s="232">
        <v>0</v>
      </c>
      <c r="AD12" s="232">
        <v>0</v>
      </c>
      <c r="AE12" s="232">
        <v>0</v>
      </c>
      <c r="AF12" s="232">
        <v>0</v>
      </c>
      <c r="AG12" s="232">
        <v>0</v>
      </c>
      <c r="AH12" s="233">
        <v>0</v>
      </c>
      <c r="AI12" s="206"/>
    </row>
    <row r="13" spans="1:35" ht="14.4" x14ac:dyDescent="0.3">
      <c r="A13" s="219"/>
      <c r="B13" s="220"/>
      <c r="C13" s="349"/>
      <c r="D13" s="249"/>
      <c r="E13" s="250"/>
      <c r="F13" s="222"/>
      <c r="G13" s="222"/>
      <c r="H13" s="223">
        <f t="shared" si="0"/>
        <v>0</v>
      </c>
      <c r="I13" s="224">
        <f t="shared" si="1"/>
        <v>0</v>
      </c>
      <c r="J13" s="352"/>
      <c r="K13" s="226">
        <f t="shared" si="8"/>
        <v>0</v>
      </c>
      <c r="L13" s="227">
        <f t="shared" si="2"/>
        <v>0</v>
      </c>
      <c r="M13" s="228">
        <f t="shared" si="3"/>
        <v>0</v>
      </c>
      <c r="N13" s="222"/>
      <c r="O13" s="222"/>
      <c r="P13" s="223">
        <f t="shared" si="4"/>
        <v>0</v>
      </c>
      <c r="Q13" s="224">
        <f t="shared" si="5"/>
        <v>0</v>
      </c>
      <c r="R13" s="229">
        <f t="shared" si="6"/>
        <v>0</v>
      </c>
      <c r="S13" s="230">
        <f t="shared" si="7"/>
        <v>0</v>
      </c>
      <c r="T13" s="231">
        <v>0</v>
      </c>
      <c r="U13" s="232">
        <v>0</v>
      </c>
      <c r="V13" s="232">
        <v>0</v>
      </c>
      <c r="W13" s="232">
        <v>0</v>
      </c>
      <c r="X13" s="232">
        <v>0</v>
      </c>
      <c r="Y13" s="232">
        <v>0</v>
      </c>
      <c r="Z13" s="232">
        <v>0</v>
      </c>
      <c r="AA13" s="232">
        <v>0</v>
      </c>
      <c r="AB13" s="232">
        <v>0</v>
      </c>
      <c r="AC13" s="232">
        <v>0</v>
      </c>
      <c r="AD13" s="232">
        <v>0</v>
      </c>
      <c r="AE13" s="232">
        <v>0</v>
      </c>
      <c r="AF13" s="232">
        <v>0</v>
      </c>
      <c r="AG13" s="232">
        <v>0</v>
      </c>
      <c r="AH13" s="233">
        <v>0</v>
      </c>
      <c r="AI13" s="206"/>
    </row>
    <row r="14" spans="1:35" ht="14.25" customHeight="1" x14ac:dyDescent="0.3">
      <c r="A14" s="219"/>
      <c r="B14" s="220"/>
      <c r="C14" s="349"/>
      <c r="D14" s="249"/>
      <c r="E14" s="250"/>
      <c r="F14" s="222"/>
      <c r="G14" s="222"/>
      <c r="H14" s="223">
        <f t="shared" si="0"/>
        <v>0</v>
      </c>
      <c r="I14" s="224">
        <f t="shared" si="1"/>
        <v>0</v>
      </c>
      <c r="J14" s="352"/>
      <c r="K14" s="226">
        <f t="shared" si="8"/>
        <v>0</v>
      </c>
      <c r="L14" s="227">
        <f t="shared" si="2"/>
        <v>0</v>
      </c>
      <c r="M14" s="228">
        <f t="shared" si="3"/>
        <v>0</v>
      </c>
      <c r="N14" s="222"/>
      <c r="O14" s="222"/>
      <c r="P14" s="223">
        <f t="shared" si="4"/>
        <v>0</v>
      </c>
      <c r="Q14" s="224">
        <f t="shared" si="5"/>
        <v>0</v>
      </c>
      <c r="R14" s="229">
        <f t="shared" si="6"/>
        <v>0</v>
      </c>
      <c r="S14" s="230">
        <f t="shared" si="7"/>
        <v>0</v>
      </c>
      <c r="T14" s="231">
        <v>0</v>
      </c>
      <c r="U14" s="232">
        <v>0</v>
      </c>
      <c r="V14" s="232">
        <v>0</v>
      </c>
      <c r="W14" s="232">
        <v>0</v>
      </c>
      <c r="X14" s="232">
        <v>0</v>
      </c>
      <c r="Y14" s="232">
        <v>0</v>
      </c>
      <c r="Z14" s="232">
        <v>0</v>
      </c>
      <c r="AA14" s="232">
        <v>0</v>
      </c>
      <c r="AB14" s="232">
        <v>0</v>
      </c>
      <c r="AC14" s="232">
        <v>0</v>
      </c>
      <c r="AD14" s="232">
        <v>0</v>
      </c>
      <c r="AE14" s="232">
        <v>0</v>
      </c>
      <c r="AF14" s="232">
        <v>0</v>
      </c>
      <c r="AG14" s="232">
        <v>0</v>
      </c>
      <c r="AH14" s="233">
        <v>0</v>
      </c>
      <c r="AI14" s="206"/>
    </row>
    <row r="15" spans="1:35" ht="14.4" x14ac:dyDescent="0.3">
      <c r="A15" s="219"/>
      <c r="B15" s="220"/>
      <c r="C15" s="349"/>
      <c r="D15" s="249"/>
      <c r="E15" s="250"/>
      <c r="F15" s="222"/>
      <c r="G15" s="222"/>
      <c r="H15" s="223">
        <f t="shared" si="0"/>
        <v>0</v>
      </c>
      <c r="I15" s="224">
        <f t="shared" si="1"/>
        <v>0</v>
      </c>
      <c r="J15" s="352"/>
      <c r="K15" s="226">
        <f t="shared" si="8"/>
        <v>0</v>
      </c>
      <c r="L15" s="227">
        <f t="shared" si="2"/>
        <v>0</v>
      </c>
      <c r="M15" s="228">
        <f t="shared" si="3"/>
        <v>0</v>
      </c>
      <c r="N15" s="222"/>
      <c r="O15" s="222"/>
      <c r="P15" s="223">
        <f t="shared" si="4"/>
        <v>0</v>
      </c>
      <c r="Q15" s="224">
        <f t="shared" si="5"/>
        <v>0</v>
      </c>
      <c r="R15" s="229">
        <f t="shared" si="6"/>
        <v>0</v>
      </c>
      <c r="S15" s="230">
        <f t="shared" si="7"/>
        <v>0</v>
      </c>
      <c r="T15" s="231">
        <v>0</v>
      </c>
      <c r="U15" s="232">
        <v>0</v>
      </c>
      <c r="V15" s="232">
        <v>0</v>
      </c>
      <c r="W15" s="232">
        <v>0</v>
      </c>
      <c r="X15" s="232">
        <v>0</v>
      </c>
      <c r="Y15" s="232">
        <v>0</v>
      </c>
      <c r="Z15" s="232">
        <v>0</v>
      </c>
      <c r="AA15" s="232">
        <v>0</v>
      </c>
      <c r="AB15" s="232">
        <v>0</v>
      </c>
      <c r="AC15" s="232">
        <v>0</v>
      </c>
      <c r="AD15" s="232">
        <v>0</v>
      </c>
      <c r="AE15" s="232">
        <v>0</v>
      </c>
      <c r="AF15" s="232">
        <v>0</v>
      </c>
      <c r="AG15" s="232">
        <v>0</v>
      </c>
      <c r="AH15" s="233">
        <v>0</v>
      </c>
      <c r="AI15" s="206"/>
    </row>
    <row r="16" spans="1:35" ht="14.4" x14ac:dyDescent="0.3">
      <c r="A16" s="219"/>
      <c r="B16" s="220"/>
      <c r="C16" s="349"/>
      <c r="D16" s="249"/>
      <c r="E16" s="250"/>
      <c r="F16" s="222"/>
      <c r="G16" s="222"/>
      <c r="H16" s="223">
        <f t="shared" si="0"/>
        <v>0</v>
      </c>
      <c r="I16" s="224">
        <f t="shared" si="1"/>
        <v>0</v>
      </c>
      <c r="J16" s="352"/>
      <c r="K16" s="226">
        <f t="shared" si="8"/>
        <v>0</v>
      </c>
      <c r="L16" s="227">
        <f t="shared" si="2"/>
        <v>0</v>
      </c>
      <c r="M16" s="228">
        <f t="shared" si="3"/>
        <v>0</v>
      </c>
      <c r="N16" s="222"/>
      <c r="O16" s="222"/>
      <c r="P16" s="223">
        <f t="shared" si="4"/>
        <v>0</v>
      </c>
      <c r="Q16" s="224">
        <f t="shared" si="5"/>
        <v>0</v>
      </c>
      <c r="R16" s="229">
        <f t="shared" si="6"/>
        <v>0</v>
      </c>
      <c r="S16" s="230">
        <f t="shared" si="7"/>
        <v>0</v>
      </c>
      <c r="T16" s="231">
        <v>0</v>
      </c>
      <c r="U16" s="232">
        <v>0</v>
      </c>
      <c r="V16" s="232">
        <v>0</v>
      </c>
      <c r="W16" s="232">
        <v>0</v>
      </c>
      <c r="X16" s="232">
        <v>0</v>
      </c>
      <c r="Y16" s="232">
        <v>0</v>
      </c>
      <c r="Z16" s="232">
        <v>0</v>
      </c>
      <c r="AA16" s="232">
        <v>0</v>
      </c>
      <c r="AB16" s="232">
        <v>0</v>
      </c>
      <c r="AC16" s="232">
        <v>0</v>
      </c>
      <c r="AD16" s="232">
        <v>0</v>
      </c>
      <c r="AE16" s="232">
        <v>0</v>
      </c>
      <c r="AF16" s="232">
        <v>0</v>
      </c>
      <c r="AG16" s="232">
        <v>0</v>
      </c>
      <c r="AH16" s="233">
        <v>0</v>
      </c>
      <c r="AI16" s="206"/>
    </row>
    <row r="17" spans="1:35" ht="14.4" x14ac:dyDescent="0.3">
      <c r="A17" s="219"/>
      <c r="B17" s="220"/>
      <c r="C17" s="349"/>
      <c r="D17" s="249"/>
      <c r="E17" s="222"/>
      <c r="F17" s="222"/>
      <c r="G17" s="222"/>
      <c r="H17" s="223">
        <f t="shared" si="0"/>
        <v>0</v>
      </c>
      <c r="I17" s="224">
        <f t="shared" si="1"/>
        <v>0</v>
      </c>
      <c r="J17" s="352"/>
      <c r="K17" s="226">
        <f t="shared" si="8"/>
        <v>0</v>
      </c>
      <c r="L17" s="227">
        <f t="shared" si="2"/>
        <v>0</v>
      </c>
      <c r="M17" s="228">
        <f t="shared" si="3"/>
        <v>0</v>
      </c>
      <c r="N17" s="222"/>
      <c r="O17" s="222"/>
      <c r="P17" s="223">
        <f t="shared" si="4"/>
        <v>0</v>
      </c>
      <c r="Q17" s="224">
        <f t="shared" si="5"/>
        <v>0</v>
      </c>
      <c r="R17" s="229">
        <f t="shared" si="6"/>
        <v>0</v>
      </c>
      <c r="S17" s="230">
        <f t="shared" si="7"/>
        <v>0</v>
      </c>
      <c r="T17" s="231">
        <v>0</v>
      </c>
      <c r="U17" s="232">
        <v>0</v>
      </c>
      <c r="V17" s="232">
        <v>0</v>
      </c>
      <c r="W17" s="232">
        <v>0</v>
      </c>
      <c r="X17" s="232">
        <v>0</v>
      </c>
      <c r="Y17" s="232">
        <v>0</v>
      </c>
      <c r="Z17" s="232">
        <v>0</v>
      </c>
      <c r="AA17" s="232">
        <v>0</v>
      </c>
      <c r="AB17" s="232">
        <v>0</v>
      </c>
      <c r="AC17" s="232">
        <v>0</v>
      </c>
      <c r="AD17" s="232">
        <v>0</v>
      </c>
      <c r="AE17" s="232">
        <v>0</v>
      </c>
      <c r="AF17" s="232">
        <v>0</v>
      </c>
      <c r="AG17" s="232">
        <v>0</v>
      </c>
      <c r="AH17" s="233">
        <v>0</v>
      </c>
      <c r="AI17" s="206"/>
    </row>
    <row r="18" spans="1:35" ht="14.4" x14ac:dyDescent="0.3">
      <c r="A18" s="219"/>
      <c r="B18" s="220"/>
      <c r="C18" s="349"/>
      <c r="D18" s="249"/>
      <c r="E18" s="222"/>
      <c r="F18" s="222"/>
      <c r="G18" s="222"/>
      <c r="H18" s="223">
        <f t="shared" si="0"/>
        <v>0</v>
      </c>
      <c r="I18" s="224">
        <f t="shared" si="1"/>
        <v>0</v>
      </c>
      <c r="J18" s="225"/>
      <c r="K18" s="226">
        <f t="shared" si="8"/>
        <v>0</v>
      </c>
      <c r="L18" s="227">
        <f t="shared" si="2"/>
        <v>0</v>
      </c>
      <c r="M18" s="228">
        <f t="shared" si="3"/>
        <v>0</v>
      </c>
      <c r="N18" s="222"/>
      <c r="O18" s="222"/>
      <c r="P18" s="223">
        <f t="shared" si="4"/>
        <v>0</v>
      </c>
      <c r="Q18" s="224">
        <f t="shared" si="5"/>
        <v>0</v>
      </c>
      <c r="R18" s="229">
        <f t="shared" si="6"/>
        <v>0</v>
      </c>
      <c r="S18" s="230">
        <f t="shared" si="7"/>
        <v>0</v>
      </c>
      <c r="T18" s="231">
        <v>0</v>
      </c>
      <c r="U18" s="232">
        <v>0</v>
      </c>
      <c r="V18" s="232">
        <v>0</v>
      </c>
      <c r="W18" s="232">
        <v>0</v>
      </c>
      <c r="X18" s="232">
        <v>0</v>
      </c>
      <c r="Y18" s="232">
        <v>0</v>
      </c>
      <c r="Z18" s="232">
        <v>0</v>
      </c>
      <c r="AA18" s="232">
        <v>0</v>
      </c>
      <c r="AB18" s="232">
        <v>0</v>
      </c>
      <c r="AC18" s="232">
        <v>0</v>
      </c>
      <c r="AD18" s="232">
        <v>0</v>
      </c>
      <c r="AE18" s="232">
        <v>0</v>
      </c>
      <c r="AF18" s="232">
        <v>0</v>
      </c>
      <c r="AG18" s="232">
        <v>0</v>
      </c>
      <c r="AH18" s="233">
        <v>0</v>
      </c>
      <c r="AI18" s="206"/>
    </row>
    <row r="19" spans="1:35" ht="14.4" x14ac:dyDescent="0.3">
      <c r="A19" s="219"/>
      <c r="B19" s="220"/>
      <c r="C19" s="349"/>
      <c r="D19" s="221"/>
      <c r="E19" s="222"/>
      <c r="F19" s="222"/>
      <c r="G19" s="222"/>
      <c r="H19" s="223">
        <f t="shared" si="0"/>
        <v>0</v>
      </c>
      <c r="I19" s="224">
        <f t="shared" si="1"/>
        <v>0</v>
      </c>
      <c r="J19" s="225"/>
      <c r="K19" s="226">
        <f t="shared" si="8"/>
        <v>0</v>
      </c>
      <c r="L19" s="227">
        <f t="shared" si="2"/>
        <v>0</v>
      </c>
      <c r="M19" s="228">
        <f t="shared" si="3"/>
        <v>0</v>
      </c>
      <c r="N19" s="222"/>
      <c r="O19" s="222"/>
      <c r="P19" s="223">
        <f t="shared" si="4"/>
        <v>0</v>
      </c>
      <c r="Q19" s="224">
        <f t="shared" si="5"/>
        <v>0</v>
      </c>
      <c r="R19" s="229">
        <f t="shared" si="6"/>
        <v>0</v>
      </c>
      <c r="S19" s="230">
        <f t="shared" si="7"/>
        <v>0</v>
      </c>
      <c r="T19" s="231">
        <v>0</v>
      </c>
      <c r="U19" s="232">
        <v>0</v>
      </c>
      <c r="V19" s="232">
        <v>0</v>
      </c>
      <c r="W19" s="232">
        <v>0</v>
      </c>
      <c r="X19" s="232">
        <v>0</v>
      </c>
      <c r="Y19" s="232">
        <v>0</v>
      </c>
      <c r="Z19" s="232">
        <v>0</v>
      </c>
      <c r="AA19" s="232">
        <v>0</v>
      </c>
      <c r="AB19" s="232">
        <v>0</v>
      </c>
      <c r="AC19" s="232">
        <v>0</v>
      </c>
      <c r="AD19" s="232">
        <v>0</v>
      </c>
      <c r="AE19" s="232">
        <v>0</v>
      </c>
      <c r="AF19" s="232">
        <v>0</v>
      </c>
      <c r="AG19" s="232">
        <v>0</v>
      </c>
      <c r="AH19" s="233">
        <v>0</v>
      </c>
      <c r="AI19" s="206"/>
    </row>
    <row r="20" spans="1:35" ht="14.4" x14ac:dyDescent="0.3">
      <c r="A20" s="219"/>
      <c r="B20" s="220"/>
      <c r="C20" s="349"/>
      <c r="D20" s="221"/>
      <c r="E20" s="222"/>
      <c r="F20" s="222"/>
      <c r="G20" s="222"/>
      <c r="H20" s="223">
        <f t="shared" si="0"/>
        <v>0</v>
      </c>
      <c r="I20" s="224">
        <f t="shared" si="1"/>
        <v>0</v>
      </c>
      <c r="J20" s="225"/>
      <c r="K20" s="226">
        <f t="shared" si="8"/>
        <v>0</v>
      </c>
      <c r="L20" s="227">
        <f t="shared" si="2"/>
        <v>0</v>
      </c>
      <c r="M20" s="228">
        <f t="shared" si="3"/>
        <v>0</v>
      </c>
      <c r="N20" s="222"/>
      <c r="O20" s="222"/>
      <c r="P20" s="223">
        <f t="shared" si="4"/>
        <v>0</v>
      </c>
      <c r="Q20" s="224">
        <f t="shared" si="5"/>
        <v>0</v>
      </c>
      <c r="R20" s="229">
        <f t="shared" si="6"/>
        <v>0</v>
      </c>
      <c r="S20" s="230">
        <f t="shared" si="7"/>
        <v>0</v>
      </c>
      <c r="T20" s="231">
        <v>0</v>
      </c>
      <c r="U20" s="232">
        <v>0</v>
      </c>
      <c r="V20" s="232">
        <v>0</v>
      </c>
      <c r="W20" s="232">
        <v>0</v>
      </c>
      <c r="X20" s="232">
        <v>0</v>
      </c>
      <c r="Y20" s="232">
        <v>0</v>
      </c>
      <c r="Z20" s="232">
        <v>0</v>
      </c>
      <c r="AA20" s="232">
        <v>0</v>
      </c>
      <c r="AB20" s="232">
        <v>0</v>
      </c>
      <c r="AC20" s="232">
        <v>0</v>
      </c>
      <c r="AD20" s="232">
        <v>0</v>
      </c>
      <c r="AE20" s="232">
        <v>0</v>
      </c>
      <c r="AF20" s="232">
        <v>0</v>
      </c>
      <c r="AG20" s="232">
        <v>0</v>
      </c>
      <c r="AH20" s="233">
        <v>0</v>
      </c>
      <c r="AI20" s="206"/>
    </row>
    <row r="21" spans="1:35" ht="14.4" x14ac:dyDescent="0.3">
      <c r="A21" s="219"/>
      <c r="B21" s="220"/>
      <c r="C21" s="220"/>
      <c r="D21" s="221"/>
      <c r="E21" s="222"/>
      <c r="F21" s="222"/>
      <c r="G21" s="222"/>
      <c r="H21" s="223">
        <f t="shared" ref="H21:H30" si="9">F21*G21/1000000</f>
        <v>0</v>
      </c>
      <c r="I21" s="224">
        <f t="shared" ref="I21:I30" si="10">E21*H21</f>
        <v>0</v>
      </c>
      <c r="J21" s="225"/>
      <c r="K21" s="226">
        <f t="shared" si="8"/>
        <v>0</v>
      </c>
      <c r="L21" s="227">
        <f t="shared" si="2"/>
        <v>0</v>
      </c>
      <c r="M21" s="228">
        <f t="shared" si="3"/>
        <v>0</v>
      </c>
      <c r="N21" s="222"/>
      <c r="O21" s="222"/>
      <c r="P21" s="223">
        <f t="shared" si="4"/>
        <v>0</v>
      </c>
      <c r="Q21" s="224">
        <f t="shared" si="5"/>
        <v>0</v>
      </c>
      <c r="R21" s="229">
        <f t="shared" si="6"/>
        <v>0</v>
      </c>
      <c r="S21" s="230">
        <f t="shared" si="7"/>
        <v>0</v>
      </c>
      <c r="T21" s="231">
        <v>0</v>
      </c>
      <c r="U21" s="232">
        <v>0</v>
      </c>
      <c r="V21" s="232">
        <v>0</v>
      </c>
      <c r="W21" s="232">
        <v>0</v>
      </c>
      <c r="X21" s="232">
        <v>0</v>
      </c>
      <c r="Y21" s="232">
        <v>0</v>
      </c>
      <c r="Z21" s="232">
        <v>0</v>
      </c>
      <c r="AA21" s="232">
        <v>0</v>
      </c>
      <c r="AB21" s="232">
        <v>0</v>
      </c>
      <c r="AC21" s="232">
        <v>0</v>
      </c>
      <c r="AD21" s="232">
        <v>0</v>
      </c>
      <c r="AE21" s="232">
        <v>0</v>
      </c>
      <c r="AF21" s="232">
        <v>0</v>
      </c>
      <c r="AG21" s="232">
        <v>0</v>
      </c>
      <c r="AH21" s="233">
        <v>0</v>
      </c>
      <c r="AI21" s="206"/>
    </row>
    <row r="22" spans="1:35" s="177" customFormat="1" ht="14.4" x14ac:dyDescent="0.3">
      <c r="A22" s="219"/>
      <c r="B22" s="220"/>
      <c r="C22" s="350"/>
      <c r="D22" s="221"/>
      <c r="E22" s="222"/>
      <c r="F22" s="222"/>
      <c r="G22" s="222"/>
      <c r="H22" s="223">
        <f t="shared" si="9"/>
        <v>0</v>
      </c>
      <c r="I22" s="224">
        <f t="shared" si="10"/>
        <v>0</v>
      </c>
      <c r="J22" s="225"/>
      <c r="K22" s="226">
        <f t="shared" si="8"/>
        <v>0</v>
      </c>
      <c r="L22" s="227">
        <f t="shared" si="2"/>
        <v>0</v>
      </c>
      <c r="M22" s="228">
        <f t="shared" si="3"/>
        <v>0</v>
      </c>
      <c r="N22" s="222"/>
      <c r="O22" s="222"/>
      <c r="P22" s="223">
        <f t="shared" si="4"/>
        <v>0</v>
      </c>
      <c r="Q22" s="224">
        <f t="shared" si="5"/>
        <v>0</v>
      </c>
      <c r="R22" s="229">
        <f t="shared" si="6"/>
        <v>0</v>
      </c>
      <c r="S22" s="230">
        <f t="shared" si="7"/>
        <v>0</v>
      </c>
      <c r="T22" s="231">
        <v>0</v>
      </c>
      <c r="U22" s="232">
        <v>0</v>
      </c>
      <c r="V22" s="232">
        <v>0</v>
      </c>
      <c r="W22" s="232">
        <v>0</v>
      </c>
      <c r="X22" s="232">
        <v>0</v>
      </c>
      <c r="Y22" s="232">
        <v>0</v>
      </c>
      <c r="Z22" s="232">
        <v>0</v>
      </c>
      <c r="AA22" s="232">
        <v>0</v>
      </c>
      <c r="AB22" s="232">
        <v>0</v>
      </c>
      <c r="AC22" s="232">
        <v>0</v>
      </c>
      <c r="AD22" s="232">
        <v>0</v>
      </c>
      <c r="AE22" s="232">
        <v>0</v>
      </c>
      <c r="AF22" s="232">
        <v>0</v>
      </c>
      <c r="AG22" s="232">
        <v>0</v>
      </c>
      <c r="AH22" s="233">
        <v>0</v>
      </c>
      <c r="AI22" s="206"/>
    </row>
    <row r="23" spans="1:35" ht="14.4" x14ac:dyDescent="0.3">
      <c r="A23" s="219"/>
      <c r="B23" s="220"/>
      <c r="C23" s="220"/>
      <c r="D23" s="221"/>
      <c r="E23" s="222"/>
      <c r="F23" s="222"/>
      <c r="G23" s="222"/>
      <c r="H23" s="223">
        <f t="shared" si="9"/>
        <v>0</v>
      </c>
      <c r="I23" s="224">
        <f t="shared" si="10"/>
        <v>0</v>
      </c>
      <c r="J23" s="225"/>
      <c r="K23" s="226">
        <f t="shared" si="8"/>
        <v>0</v>
      </c>
      <c r="L23" s="227">
        <f t="shared" si="2"/>
        <v>0</v>
      </c>
      <c r="M23" s="228">
        <f t="shared" si="3"/>
        <v>0</v>
      </c>
      <c r="N23" s="222"/>
      <c r="O23" s="222"/>
      <c r="P23" s="223">
        <f t="shared" si="4"/>
        <v>0</v>
      </c>
      <c r="Q23" s="224">
        <f t="shared" si="5"/>
        <v>0</v>
      </c>
      <c r="R23" s="229">
        <f t="shared" si="6"/>
        <v>0</v>
      </c>
      <c r="S23" s="230">
        <f t="shared" si="7"/>
        <v>0</v>
      </c>
      <c r="T23" s="231">
        <v>0</v>
      </c>
      <c r="U23" s="232">
        <v>0</v>
      </c>
      <c r="V23" s="232">
        <v>0</v>
      </c>
      <c r="W23" s="232">
        <v>0</v>
      </c>
      <c r="X23" s="232">
        <v>0</v>
      </c>
      <c r="Y23" s="232">
        <v>0</v>
      </c>
      <c r="Z23" s="232">
        <v>0</v>
      </c>
      <c r="AA23" s="232">
        <v>0</v>
      </c>
      <c r="AB23" s="232">
        <v>0</v>
      </c>
      <c r="AC23" s="232">
        <v>0</v>
      </c>
      <c r="AD23" s="232">
        <v>0</v>
      </c>
      <c r="AE23" s="232">
        <v>0</v>
      </c>
      <c r="AF23" s="232">
        <v>0</v>
      </c>
      <c r="AG23" s="232">
        <v>0</v>
      </c>
      <c r="AH23" s="233">
        <v>0</v>
      </c>
      <c r="AI23" s="206"/>
    </row>
    <row r="24" spans="1:35" ht="14.4" x14ac:dyDescent="0.3">
      <c r="A24" s="219"/>
      <c r="B24" s="220"/>
      <c r="C24" s="220"/>
      <c r="D24" s="221"/>
      <c r="E24" s="222"/>
      <c r="F24" s="222"/>
      <c r="G24" s="222"/>
      <c r="H24" s="223">
        <f t="shared" si="9"/>
        <v>0</v>
      </c>
      <c r="I24" s="224">
        <f t="shared" si="10"/>
        <v>0</v>
      </c>
      <c r="J24" s="225"/>
      <c r="K24" s="226">
        <f t="shared" si="8"/>
        <v>0</v>
      </c>
      <c r="L24" s="227">
        <f t="shared" si="2"/>
        <v>0</v>
      </c>
      <c r="M24" s="228">
        <f t="shared" si="3"/>
        <v>0</v>
      </c>
      <c r="N24" s="222"/>
      <c r="O24" s="222"/>
      <c r="P24" s="223">
        <f t="shared" si="4"/>
        <v>0</v>
      </c>
      <c r="Q24" s="224">
        <f t="shared" si="5"/>
        <v>0</v>
      </c>
      <c r="R24" s="229">
        <f t="shared" si="6"/>
        <v>0</v>
      </c>
      <c r="S24" s="230">
        <f t="shared" si="7"/>
        <v>0</v>
      </c>
      <c r="T24" s="231">
        <v>0</v>
      </c>
      <c r="U24" s="232">
        <v>0</v>
      </c>
      <c r="V24" s="232">
        <v>0</v>
      </c>
      <c r="W24" s="232">
        <v>0</v>
      </c>
      <c r="X24" s="232">
        <v>0</v>
      </c>
      <c r="Y24" s="232">
        <v>0</v>
      </c>
      <c r="Z24" s="232">
        <v>0</v>
      </c>
      <c r="AA24" s="232">
        <v>0</v>
      </c>
      <c r="AB24" s="232">
        <v>0</v>
      </c>
      <c r="AC24" s="232">
        <v>0</v>
      </c>
      <c r="AD24" s="232">
        <v>0</v>
      </c>
      <c r="AE24" s="232">
        <v>0</v>
      </c>
      <c r="AF24" s="232">
        <v>0</v>
      </c>
      <c r="AG24" s="232">
        <v>0</v>
      </c>
      <c r="AH24" s="233">
        <v>0</v>
      </c>
      <c r="AI24" s="206"/>
    </row>
    <row r="25" spans="1:35" ht="14.4" x14ac:dyDescent="0.3">
      <c r="A25" s="219"/>
      <c r="B25" s="220"/>
      <c r="C25" s="220"/>
      <c r="D25" s="221"/>
      <c r="E25" s="222"/>
      <c r="F25" s="222"/>
      <c r="G25" s="222"/>
      <c r="H25" s="223">
        <f t="shared" si="9"/>
        <v>0</v>
      </c>
      <c r="I25" s="224">
        <f t="shared" si="10"/>
        <v>0</v>
      </c>
      <c r="J25" s="225"/>
      <c r="K25" s="226">
        <f t="shared" si="8"/>
        <v>0</v>
      </c>
      <c r="L25" s="227">
        <f t="shared" si="2"/>
        <v>0</v>
      </c>
      <c r="M25" s="228">
        <f t="shared" si="3"/>
        <v>0</v>
      </c>
      <c r="N25" s="222"/>
      <c r="O25" s="222"/>
      <c r="P25" s="223">
        <f t="shared" si="4"/>
        <v>0</v>
      </c>
      <c r="Q25" s="224">
        <f t="shared" si="5"/>
        <v>0</v>
      </c>
      <c r="R25" s="229">
        <f t="shared" si="6"/>
        <v>0</v>
      </c>
      <c r="S25" s="230">
        <f t="shared" si="7"/>
        <v>0</v>
      </c>
      <c r="T25" s="231">
        <v>0</v>
      </c>
      <c r="U25" s="232">
        <v>0</v>
      </c>
      <c r="V25" s="232">
        <v>0</v>
      </c>
      <c r="W25" s="232">
        <v>0</v>
      </c>
      <c r="X25" s="232">
        <v>0</v>
      </c>
      <c r="Y25" s="232">
        <v>0</v>
      </c>
      <c r="Z25" s="232">
        <v>0</v>
      </c>
      <c r="AA25" s="232">
        <v>0</v>
      </c>
      <c r="AB25" s="232">
        <v>0</v>
      </c>
      <c r="AC25" s="232">
        <v>0</v>
      </c>
      <c r="AD25" s="232">
        <v>0</v>
      </c>
      <c r="AE25" s="232">
        <v>0</v>
      </c>
      <c r="AF25" s="232">
        <v>0</v>
      </c>
      <c r="AG25" s="232">
        <v>0</v>
      </c>
      <c r="AH25" s="233">
        <v>0</v>
      </c>
      <c r="AI25" s="206"/>
    </row>
    <row r="26" spans="1:35" ht="14.4" x14ac:dyDescent="0.3">
      <c r="A26" s="219"/>
      <c r="B26" s="220"/>
      <c r="C26" s="220"/>
      <c r="D26" s="221"/>
      <c r="E26" s="222"/>
      <c r="F26" s="222"/>
      <c r="G26" s="222"/>
      <c r="H26" s="223">
        <f t="shared" si="9"/>
        <v>0</v>
      </c>
      <c r="I26" s="224">
        <f t="shared" si="10"/>
        <v>0</v>
      </c>
      <c r="J26" s="225"/>
      <c r="K26" s="226">
        <f t="shared" si="8"/>
        <v>0</v>
      </c>
      <c r="L26" s="227">
        <f t="shared" si="2"/>
        <v>0</v>
      </c>
      <c r="M26" s="228">
        <f t="shared" si="3"/>
        <v>0</v>
      </c>
      <c r="N26" s="222"/>
      <c r="O26" s="222"/>
      <c r="P26" s="223">
        <f t="shared" si="4"/>
        <v>0</v>
      </c>
      <c r="Q26" s="224">
        <f t="shared" si="5"/>
        <v>0</v>
      </c>
      <c r="R26" s="229">
        <f t="shared" si="6"/>
        <v>0</v>
      </c>
      <c r="S26" s="230">
        <f t="shared" si="7"/>
        <v>0</v>
      </c>
      <c r="T26" s="231">
        <v>0</v>
      </c>
      <c r="U26" s="232">
        <v>0</v>
      </c>
      <c r="V26" s="232">
        <v>0</v>
      </c>
      <c r="W26" s="232">
        <v>0</v>
      </c>
      <c r="X26" s="232">
        <v>0</v>
      </c>
      <c r="Y26" s="232">
        <v>0</v>
      </c>
      <c r="Z26" s="232">
        <v>0</v>
      </c>
      <c r="AA26" s="232">
        <v>0</v>
      </c>
      <c r="AB26" s="232">
        <v>0</v>
      </c>
      <c r="AC26" s="232">
        <v>0</v>
      </c>
      <c r="AD26" s="232">
        <v>0</v>
      </c>
      <c r="AE26" s="232">
        <v>0</v>
      </c>
      <c r="AF26" s="232">
        <v>0</v>
      </c>
      <c r="AG26" s="232">
        <v>0</v>
      </c>
      <c r="AH26" s="233">
        <v>0</v>
      </c>
      <c r="AI26" s="206"/>
    </row>
    <row r="27" spans="1:35" ht="14.4" x14ac:dyDescent="0.3">
      <c r="A27" s="219"/>
      <c r="B27" s="220"/>
      <c r="C27" s="220"/>
      <c r="D27" s="221"/>
      <c r="E27" s="222"/>
      <c r="F27" s="222"/>
      <c r="G27" s="222"/>
      <c r="H27" s="223">
        <f t="shared" si="9"/>
        <v>0</v>
      </c>
      <c r="I27" s="224">
        <f t="shared" si="10"/>
        <v>0</v>
      </c>
      <c r="J27" s="225"/>
      <c r="K27" s="226">
        <f t="shared" si="8"/>
        <v>0</v>
      </c>
      <c r="L27" s="227">
        <f t="shared" si="2"/>
        <v>0</v>
      </c>
      <c r="M27" s="228">
        <f t="shared" si="3"/>
        <v>0</v>
      </c>
      <c r="N27" s="222"/>
      <c r="O27" s="222"/>
      <c r="P27" s="223">
        <f t="shared" si="4"/>
        <v>0</v>
      </c>
      <c r="Q27" s="224">
        <f t="shared" si="5"/>
        <v>0</v>
      </c>
      <c r="R27" s="229">
        <f t="shared" si="6"/>
        <v>0</v>
      </c>
      <c r="S27" s="230">
        <f t="shared" si="7"/>
        <v>0</v>
      </c>
      <c r="T27" s="231">
        <v>0</v>
      </c>
      <c r="U27" s="232">
        <v>0</v>
      </c>
      <c r="V27" s="232">
        <v>0</v>
      </c>
      <c r="W27" s="232">
        <v>0</v>
      </c>
      <c r="X27" s="232">
        <v>0</v>
      </c>
      <c r="Y27" s="232">
        <v>0</v>
      </c>
      <c r="Z27" s="232">
        <v>0</v>
      </c>
      <c r="AA27" s="232">
        <v>0</v>
      </c>
      <c r="AB27" s="232">
        <v>0</v>
      </c>
      <c r="AC27" s="232">
        <v>0</v>
      </c>
      <c r="AD27" s="232">
        <v>0</v>
      </c>
      <c r="AE27" s="232">
        <v>0</v>
      </c>
      <c r="AF27" s="232">
        <v>0</v>
      </c>
      <c r="AG27" s="232">
        <v>0</v>
      </c>
      <c r="AH27" s="233">
        <v>0</v>
      </c>
      <c r="AI27" s="206"/>
    </row>
    <row r="28" spans="1:35" ht="14.4" x14ac:dyDescent="0.3">
      <c r="A28" s="219"/>
      <c r="B28" s="220"/>
      <c r="C28" s="220"/>
      <c r="D28" s="221"/>
      <c r="E28" s="222"/>
      <c r="F28" s="222"/>
      <c r="G28" s="222"/>
      <c r="H28" s="223">
        <f t="shared" si="9"/>
        <v>0</v>
      </c>
      <c r="I28" s="224">
        <f t="shared" si="10"/>
        <v>0</v>
      </c>
      <c r="J28" s="225"/>
      <c r="K28" s="226">
        <f t="shared" si="8"/>
        <v>0</v>
      </c>
      <c r="L28" s="227">
        <f t="shared" si="2"/>
        <v>0</v>
      </c>
      <c r="M28" s="228">
        <f t="shared" si="3"/>
        <v>0</v>
      </c>
      <c r="N28" s="222"/>
      <c r="O28" s="222"/>
      <c r="P28" s="223">
        <f t="shared" si="4"/>
        <v>0</v>
      </c>
      <c r="Q28" s="224">
        <f t="shared" si="5"/>
        <v>0</v>
      </c>
      <c r="R28" s="229">
        <f t="shared" si="6"/>
        <v>0</v>
      </c>
      <c r="S28" s="230">
        <f t="shared" si="7"/>
        <v>0</v>
      </c>
      <c r="T28" s="231">
        <v>0</v>
      </c>
      <c r="U28" s="232">
        <v>0</v>
      </c>
      <c r="V28" s="232">
        <v>0</v>
      </c>
      <c r="W28" s="232">
        <v>0</v>
      </c>
      <c r="X28" s="232">
        <v>0</v>
      </c>
      <c r="Y28" s="232">
        <v>0</v>
      </c>
      <c r="Z28" s="232">
        <v>0</v>
      </c>
      <c r="AA28" s="232">
        <v>0</v>
      </c>
      <c r="AB28" s="232">
        <v>0</v>
      </c>
      <c r="AC28" s="232">
        <v>0</v>
      </c>
      <c r="AD28" s="232">
        <v>0</v>
      </c>
      <c r="AE28" s="232">
        <v>0</v>
      </c>
      <c r="AF28" s="232">
        <v>0</v>
      </c>
      <c r="AG28" s="232">
        <v>0</v>
      </c>
      <c r="AH28" s="233">
        <v>0</v>
      </c>
      <c r="AI28" s="206"/>
    </row>
    <row r="29" spans="1:35" ht="14.4" x14ac:dyDescent="0.3">
      <c r="A29" s="219"/>
      <c r="B29" s="220"/>
      <c r="C29" s="220"/>
      <c r="D29" s="221"/>
      <c r="E29" s="222"/>
      <c r="F29" s="222"/>
      <c r="G29" s="222"/>
      <c r="H29" s="223">
        <f t="shared" si="9"/>
        <v>0</v>
      </c>
      <c r="I29" s="224">
        <f t="shared" si="10"/>
        <v>0</v>
      </c>
      <c r="J29" s="225"/>
      <c r="K29" s="226">
        <f t="shared" si="8"/>
        <v>0</v>
      </c>
      <c r="L29" s="227">
        <f t="shared" si="2"/>
        <v>0</v>
      </c>
      <c r="M29" s="228">
        <f t="shared" si="3"/>
        <v>0</v>
      </c>
      <c r="N29" s="222"/>
      <c r="O29" s="222"/>
      <c r="P29" s="223">
        <f t="shared" si="4"/>
        <v>0</v>
      </c>
      <c r="Q29" s="224">
        <f t="shared" si="5"/>
        <v>0</v>
      </c>
      <c r="R29" s="229">
        <f t="shared" si="6"/>
        <v>0</v>
      </c>
      <c r="S29" s="230">
        <f t="shared" si="7"/>
        <v>0</v>
      </c>
      <c r="T29" s="231">
        <v>0</v>
      </c>
      <c r="U29" s="232">
        <v>0</v>
      </c>
      <c r="V29" s="232">
        <v>0</v>
      </c>
      <c r="W29" s="232">
        <v>0</v>
      </c>
      <c r="X29" s="232">
        <v>0</v>
      </c>
      <c r="Y29" s="232">
        <v>0</v>
      </c>
      <c r="Z29" s="232">
        <v>0</v>
      </c>
      <c r="AA29" s="232">
        <v>0</v>
      </c>
      <c r="AB29" s="232">
        <v>0</v>
      </c>
      <c r="AC29" s="232">
        <v>0</v>
      </c>
      <c r="AD29" s="232">
        <v>0</v>
      </c>
      <c r="AE29" s="232">
        <v>0</v>
      </c>
      <c r="AF29" s="232">
        <v>0</v>
      </c>
      <c r="AG29" s="232">
        <v>0</v>
      </c>
      <c r="AH29" s="233">
        <v>0</v>
      </c>
      <c r="AI29" s="206"/>
    </row>
    <row r="30" spans="1:35" ht="14.4" x14ac:dyDescent="0.3">
      <c r="A30" s="219"/>
      <c r="B30" s="220"/>
      <c r="C30" s="220"/>
      <c r="D30" s="221"/>
      <c r="E30" s="222"/>
      <c r="F30" s="222"/>
      <c r="G30" s="222"/>
      <c r="H30" s="223">
        <f t="shared" si="9"/>
        <v>0</v>
      </c>
      <c r="I30" s="224">
        <f t="shared" si="10"/>
        <v>0</v>
      </c>
      <c r="J30" s="225"/>
      <c r="K30" s="226">
        <f t="shared" si="8"/>
        <v>0</v>
      </c>
      <c r="L30" s="227">
        <f t="shared" si="2"/>
        <v>0</v>
      </c>
      <c r="M30" s="228">
        <f t="shared" si="3"/>
        <v>0</v>
      </c>
      <c r="N30" s="222"/>
      <c r="O30" s="222"/>
      <c r="P30" s="223">
        <f t="shared" si="4"/>
        <v>0</v>
      </c>
      <c r="Q30" s="224">
        <f t="shared" si="5"/>
        <v>0</v>
      </c>
      <c r="R30" s="229">
        <f t="shared" si="6"/>
        <v>0</v>
      </c>
      <c r="S30" s="230">
        <f t="shared" si="7"/>
        <v>0</v>
      </c>
      <c r="T30" s="231">
        <v>0</v>
      </c>
      <c r="U30" s="232">
        <v>0</v>
      </c>
      <c r="V30" s="232">
        <v>0</v>
      </c>
      <c r="W30" s="232">
        <v>0</v>
      </c>
      <c r="X30" s="232">
        <v>0</v>
      </c>
      <c r="Y30" s="232">
        <v>0</v>
      </c>
      <c r="Z30" s="232">
        <v>0</v>
      </c>
      <c r="AA30" s="232">
        <v>0</v>
      </c>
      <c r="AB30" s="232">
        <v>0</v>
      </c>
      <c r="AC30" s="232">
        <v>0</v>
      </c>
      <c r="AD30" s="232">
        <v>0</v>
      </c>
      <c r="AE30" s="232">
        <v>0</v>
      </c>
      <c r="AF30" s="232">
        <v>0</v>
      </c>
      <c r="AG30" s="232">
        <v>0</v>
      </c>
      <c r="AH30" s="233">
        <v>0</v>
      </c>
      <c r="AI30" s="206"/>
    </row>
    <row r="31" spans="1:35" ht="14.4" x14ac:dyDescent="0.3">
      <c r="A31" s="219"/>
      <c r="B31" s="220"/>
      <c r="C31" s="220"/>
      <c r="D31" s="221"/>
      <c r="E31" s="222"/>
      <c r="F31" s="222"/>
      <c r="G31" s="222"/>
      <c r="H31" s="223">
        <f>F31*G31/1000000</f>
        <v>0</v>
      </c>
      <c r="I31" s="224">
        <f>E31*H31</f>
        <v>0</v>
      </c>
      <c r="J31" s="225"/>
      <c r="K31" s="226">
        <f t="shared" si="8"/>
        <v>0</v>
      </c>
      <c r="L31" s="227">
        <f t="shared" si="2"/>
        <v>0</v>
      </c>
      <c r="M31" s="228">
        <f t="shared" si="3"/>
        <v>0</v>
      </c>
      <c r="N31" s="222"/>
      <c r="O31" s="222"/>
      <c r="P31" s="223">
        <f>N31*O31/1000000</f>
        <v>0</v>
      </c>
      <c r="Q31" s="224">
        <f>M31*P31</f>
        <v>0</v>
      </c>
      <c r="R31" s="229">
        <f t="shared" si="6"/>
        <v>0</v>
      </c>
      <c r="S31" s="230">
        <f t="shared" si="7"/>
        <v>0</v>
      </c>
      <c r="T31" s="231">
        <v>0</v>
      </c>
      <c r="U31" s="232">
        <v>0</v>
      </c>
      <c r="V31" s="232">
        <v>0</v>
      </c>
      <c r="W31" s="232">
        <v>0</v>
      </c>
      <c r="X31" s="232">
        <v>0</v>
      </c>
      <c r="Y31" s="232">
        <v>0</v>
      </c>
      <c r="Z31" s="232">
        <v>0</v>
      </c>
      <c r="AA31" s="232">
        <v>0</v>
      </c>
      <c r="AB31" s="232">
        <v>0</v>
      </c>
      <c r="AC31" s="232">
        <v>0</v>
      </c>
      <c r="AD31" s="232">
        <v>0</v>
      </c>
      <c r="AE31" s="232">
        <v>0</v>
      </c>
      <c r="AF31" s="232">
        <v>0</v>
      </c>
      <c r="AG31" s="232">
        <v>0</v>
      </c>
      <c r="AH31" s="233">
        <v>0</v>
      </c>
      <c r="AI31" s="206"/>
    </row>
    <row r="32" spans="1:35" ht="14.4" x14ac:dyDescent="0.3">
      <c r="A32" s="219"/>
      <c r="B32" s="220"/>
      <c r="C32" s="220"/>
      <c r="D32" s="221"/>
      <c r="E32" s="222"/>
      <c r="F32" s="222"/>
      <c r="G32" s="222"/>
      <c r="H32" s="223">
        <f t="shared" ref="H32:H99" si="11">F32*G32/1000000</f>
        <v>0</v>
      </c>
      <c r="I32" s="224">
        <f t="shared" ref="I32:I99" si="12">E32*H32</f>
        <v>0</v>
      </c>
      <c r="J32" s="225"/>
      <c r="K32" s="226">
        <f t="shared" si="8"/>
        <v>0</v>
      </c>
      <c r="L32" s="227">
        <f t="shared" si="2"/>
        <v>0</v>
      </c>
      <c r="M32" s="228">
        <f t="shared" si="3"/>
        <v>0</v>
      </c>
      <c r="N32" s="222"/>
      <c r="O32" s="222"/>
      <c r="P32" s="223">
        <f t="shared" ref="P32:P99" si="13">N32*O32/1000000</f>
        <v>0</v>
      </c>
      <c r="Q32" s="224">
        <f t="shared" ref="Q32:Q99" si="14">M32*P32</f>
        <v>0</v>
      </c>
      <c r="R32" s="229">
        <f t="shared" si="6"/>
        <v>0</v>
      </c>
      <c r="S32" s="230">
        <f t="shared" si="7"/>
        <v>0</v>
      </c>
      <c r="T32" s="231">
        <v>0</v>
      </c>
      <c r="U32" s="232">
        <v>0</v>
      </c>
      <c r="V32" s="232">
        <v>0</v>
      </c>
      <c r="W32" s="232">
        <v>0</v>
      </c>
      <c r="X32" s="232">
        <v>0</v>
      </c>
      <c r="Y32" s="232">
        <v>0</v>
      </c>
      <c r="Z32" s="232">
        <v>0</v>
      </c>
      <c r="AA32" s="232">
        <v>0</v>
      </c>
      <c r="AB32" s="232">
        <v>0</v>
      </c>
      <c r="AC32" s="232">
        <v>0</v>
      </c>
      <c r="AD32" s="232">
        <v>0</v>
      </c>
      <c r="AE32" s="232">
        <v>0</v>
      </c>
      <c r="AF32" s="232">
        <v>0</v>
      </c>
      <c r="AG32" s="232">
        <v>0</v>
      </c>
      <c r="AH32" s="233">
        <v>0</v>
      </c>
      <c r="AI32" s="206"/>
    </row>
    <row r="33" spans="1:35" ht="14.4" x14ac:dyDescent="0.3">
      <c r="A33" s="219"/>
      <c r="B33" s="220"/>
      <c r="C33" s="220"/>
      <c r="D33" s="221"/>
      <c r="E33" s="222"/>
      <c r="F33" s="222"/>
      <c r="G33" s="222"/>
      <c r="H33" s="223">
        <f t="shared" si="11"/>
        <v>0</v>
      </c>
      <c r="I33" s="224">
        <f t="shared" si="12"/>
        <v>0</v>
      </c>
      <c r="J33" s="225"/>
      <c r="K33" s="226">
        <f t="shared" si="8"/>
        <v>0</v>
      </c>
      <c r="L33" s="227">
        <f t="shared" si="2"/>
        <v>0</v>
      </c>
      <c r="M33" s="228">
        <f t="shared" si="3"/>
        <v>0</v>
      </c>
      <c r="N33" s="222"/>
      <c r="O33" s="222"/>
      <c r="P33" s="223">
        <f t="shared" si="13"/>
        <v>0</v>
      </c>
      <c r="Q33" s="224">
        <f t="shared" si="14"/>
        <v>0</v>
      </c>
      <c r="R33" s="229">
        <f t="shared" si="6"/>
        <v>0</v>
      </c>
      <c r="S33" s="230">
        <f t="shared" si="7"/>
        <v>0</v>
      </c>
      <c r="T33" s="231">
        <v>0</v>
      </c>
      <c r="U33" s="232">
        <v>0</v>
      </c>
      <c r="V33" s="232">
        <v>0</v>
      </c>
      <c r="W33" s="232">
        <v>0</v>
      </c>
      <c r="X33" s="232">
        <v>0</v>
      </c>
      <c r="Y33" s="232">
        <v>0</v>
      </c>
      <c r="Z33" s="232">
        <v>0</v>
      </c>
      <c r="AA33" s="232">
        <v>0</v>
      </c>
      <c r="AB33" s="232">
        <v>0</v>
      </c>
      <c r="AC33" s="232">
        <v>0</v>
      </c>
      <c r="AD33" s="232">
        <v>0</v>
      </c>
      <c r="AE33" s="232">
        <v>0</v>
      </c>
      <c r="AF33" s="232">
        <v>0</v>
      </c>
      <c r="AG33" s="232">
        <v>0</v>
      </c>
      <c r="AH33" s="233">
        <v>0</v>
      </c>
      <c r="AI33" s="206"/>
    </row>
    <row r="34" spans="1:35" ht="14.4" x14ac:dyDescent="0.3">
      <c r="A34" s="219"/>
      <c r="B34" s="220"/>
      <c r="C34" s="220"/>
      <c r="D34" s="221"/>
      <c r="E34" s="222"/>
      <c r="F34" s="222"/>
      <c r="G34" s="222"/>
      <c r="H34" s="223">
        <f t="shared" si="11"/>
        <v>0</v>
      </c>
      <c r="I34" s="224">
        <f t="shared" si="12"/>
        <v>0</v>
      </c>
      <c r="J34" s="225"/>
      <c r="K34" s="226">
        <f t="shared" si="8"/>
        <v>0</v>
      </c>
      <c r="L34" s="227">
        <f t="shared" si="2"/>
        <v>0</v>
      </c>
      <c r="M34" s="228">
        <f t="shared" si="3"/>
        <v>0</v>
      </c>
      <c r="N34" s="222"/>
      <c r="O34" s="222"/>
      <c r="P34" s="223">
        <f t="shared" si="13"/>
        <v>0</v>
      </c>
      <c r="Q34" s="224">
        <f t="shared" si="14"/>
        <v>0</v>
      </c>
      <c r="R34" s="229">
        <f t="shared" si="6"/>
        <v>0</v>
      </c>
      <c r="S34" s="230">
        <f t="shared" si="7"/>
        <v>0</v>
      </c>
      <c r="T34" s="231">
        <v>0</v>
      </c>
      <c r="U34" s="232">
        <v>0</v>
      </c>
      <c r="V34" s="232">
        <v>0</v>
      </c>
      <c r="W34" s="232">
        <v>0</v>
      </c>
      <c r="X34" s="232">
        <v>0</v>
      </c>
      <c r="Y34" s="232">
        <v>0</v>
      </c>
      <c r="Z34" s="232">
        <v>0</v>
      </c>
      <c r="AA34" s="232">
        <v>0</v>
      </c>
      <c r="AB34" s="232">
        <v>0</v>
      </c>
      <c r="AC34" s="232">
        <v>0</v>
      </c>
      <c r="AD34" s="232">
        <v>0</v>
      </c>
      <c r="AE34" s="232">
        <v>0</v>
      </c>
      <c r="AF34" s="232">
        <v>0</v>
      </c>
      <c r="AG34" s="232">
        <v>0</v>
      </c>
      <c r="AH34" s="233">
        <v>0</v>
      </c>
      <c r="AI34" s="206"/>
    </row>
    <row r="35" spans="1:35" ht="14.25" customHeight="1" x14ac:dyDescent="0.3">
      <c r="A35" s="219"/>
      <c r="B35" s="220"/>
      <c r="C35" s="220"/>
      <c r="D35" s="221"/>
      <c r="E35" s="222"/>
      <c r="F35" s="222"/>
      <c r="G35" s="222"/>
      <c r="H35" s="223">
        <f t="shared" si="11"/>
        <v>0</v>
      </c>
      <c r="I35" s="224">
        <f t="shared" si="12"/>
        <v>0</v>
      </c>
      <c r="J35" s="225"/>
      <c r="K35" s="226">
        <f t="shared" si="8"/>
        <v>0</v>
      </c>
      <c r="L35" s="227">
        <f t="shared" si="2"/>
        <v>0</v>
      </c>
      <c r="M35" s="228">
        <f t="shared" si="3"/>
        <v>0</v>
      </c>
      <c r="N35" s="222"/>
      <c r="O35" s="222"/>
      <c r="P35" s="223">
        <f t="shared" si="13"/>
        <v>0</v>
      </c>
      <c r="Q35" s="224">
        <f t="shared" si="14"/>
        <v>0</v>
      </c>
      <c r="R35" s="229">
        <f t="shared" si="6"/>
        <v>0</v>
      </c>
      <c r="S35" s="230">
        <f t="shared" si="7"/>
        <v>0</v>
      </c>
      <c r="T35" s="231">
        <v>0</v>
      </c>
      <c r="U35" s="232">
        <v>0</v>
      </c>
      <c r="V35" s="232">
        <v>0</v>
      </c>
      <c r="W35" s="232">
        <v>0</v>
      </c>
      <c r="X35" s="232">
        <v>0</v>
      </c>
      <c r="Y35" s="232">
        <v>0</v>
      </c>
      <c r="Z35" s="232">
        <v>0</v>
      </c>
      <c r="AA35" s="232">
        <v>0</v>
      </c>
      <c r="AB35" s="232">
        <v>0</v>
      </c>
      <c r="AC35" s="232">
        <v>0</v>
      </c>
      <c r="AD35" s="232">
        <v>0</v>
      </c>
      <c r="AE35" s="232">
        <v>0</v>
      </c>
      <c r="AF35" s="232">
        <v>0</v>
      </c>
      <c r="AG35" s="232">
        <v>0</v>
      </c>
      <c r="AH35" s="233">
        <v>0</v>
      </c>
      <c r="AI35" s="206"/>
    </row>
    <row r="36" spans="1:35" ht="14.25" customHeight="1" x14ac:dyDescent="0.3">
      <c r="A36" s="219"/>
      <c r="B36" s="220"/>
      <c r="C36" s="220"/>
      <c r="D36" s="221"/>
      <c r="E36" s="222"/>
      <c r="F36" s="222"/>
      <c r="G36" s="222"/>
      <c r="H36" s="223">
        <f t="shared" si="11"/>
        <v>0</v>
      </c>
      <c r="I36" s="224">
        <f t="shared" si="12"/>
        <v>0</v>
      </c>
      <c r="J36" s="225"/>
      <c r="K36" s="226">
        <f t="shared" si="8"/>
        <v>0</v>
      </c>
      <c r="L36" s="227">
        <f t="shared" si="2"/>
        <v>0</v>
      </c>
      <c r="M36" s="228">
        <f t="shared" si="3"/>
        <v>0</v>
      </c>
      <c r="N36" s="222"/>
      <c r="O36" s="222"/>
      <c r="P36" s="223">
        <f t="shared" si="13"/>
        <v>0</v>
      </c>
      <c r="Q36" s="224">
        <f t="shared" si="14"/>
        <v>0</v>
      </c>
      <c r="R36" s="229">
        <f t="shared" si="6"/>
        <v>0</v>
      </c>
      <c r="S36" s="230">
        <f t="shared" si="7"/>
        <v>0</v>
      </c>
      <c r="T36" s="231">
        <v>0</v>
      </c>
      <c r="U36" s="232">
        <v>0</v>
      </c>
      <c r="V36" s="232">
        <v>0</v>
      </c>
      <c r="W36" s="232">
        <v>0</v>
      </c>
      <c r="X36" s="232">
        <v>0</v>
      </c>
      <c r="Y36" s="232">
        <v>0</v>
      </c>
      <c r="Z36" s="232">
        <v>0</v>
      </c>
      <c r="AA36" s="232">
        <v>0</v>
      </c>
      <c r="AB36" s="232">
        <v>0</v>
      </c>
      <c r="AC36" s="232">
        <v>0</v>
      </c>
      <c r="AD36" s="232">
        <v>0</v>
      </c>
      <c r="AE36" s="232">
        <v>0</v>
      </c>
      <c r="AF36" s="232">
        <v>0</v>
      </c>
      <c r="AG36" s="232">
        <v>0</v>
      </c>
      <c r="AH36" s="233">
        <v>0</v>
      </c>
      <c r="AI36" s="206"/>
    </row>
    <row r="37" spans="1:35" ht="14.25" customHeight="1" x14ac:dyDescent="0.3">
      <c r="A37" s="219"/>
      <c r="B37" s="220"/>
      <c r="C37" s="220"/>
      <c r="D37" s="221"/>
      <c r="E37" s="222"/>
      <c r="F37" s="222"/>
      <c r="G37" s="222"/>
      <c r="H37" s="223">
        <f t="shared" si="11"/>
        <v>0</v>
      </c>
      <c r="I37" s="224">
        <f t="shared" si="12"/>
        <v>0</v>
      </c>
      <c r="J37" s="225"/>
      <c r="K37" s="226">
        <f t="shared" si="8"/>
        <v>0</v>
      </c>
      <c r="L37" s="227">
        <f t="shared" si="2"/>
        <v>0</v>
      </c>
      <c r="M37" s="228">
        <f t="shared" si="3"/>
        <v>0</v>
      </c>
      <c r="N37" s="222"/>
      <c r="O37" s="222"/>
      <c r="P37" s="223">
        <f t="shared" si="13"/>
        <v>0</v>
      </c>
      <c r="Q37" s="224">
        <f t="shared" si="14"/>
        <v>0</v>
      </c>
      <c r="R37" s="229">
        <f t="shared" si="6"/>
        <v>0</v>
      </c>
      <c r="S37" s="230">
        <f t="shared" si="7"/>
        <v>0</v>
      </c>
      <c r="T37" s="231">
        <v>0</v>
      </c>
      <c r="U37" s="232">
        <v>0</v>
      </c>
      <c r="V37" s="232">
        <v>0</v>
      </c>
      <c r="W37" s="232">
        <v>0</v>
      </c>
      <c r="X37" s="232">
        <v>0</v>
      </c>
      <c r="Y37" s="232">
        <v>0</v>
      </c>
      <c r="Z37" s="232">
        <v>0</v>
      </c>
      <c r="AA37" s="232">
        <v>0</v>
      </c>
      <c r="AB37" s="232">
        <v>0</v>
      </c>
      <c r="AC37" s="232">
        <v>0</v>
      </c>
      <c r="AD37" s="232">
        <v>0</v>
      </c>
      <c r="AE37" s="232">
        <v>0</v>
      </c>
      <c r="AF37" s="232">
        <v>0</v>
      </c>
      <c r="AG37" s="232">
        <v>0</v>
      </c>
      <c r="AH37" s="233">
        <v>0</v>
      </c>
      <c r="AI37" s="206"/>
    </row>
    <row r="38" spans="1:35" ht="14.25" customHeight="1" x14ac:dyDescent="0.3">
      <c r="A38" s="219"/>
      <c r="B38" s="220"/>
      <c r="C38" s="220"/>
      <c r="D38" s="221"/>
      <c r="E38" s="222"/>
      <c r="F38" s="222"/>
      <c r="G38" s="222"/>
      <c r="H38" s="223">
        <f t="shared" si="11"/>
        <v>0</v>
      </c>
      <c r="I38" s="224">
        <f t="shared" si="12"/>
        <v>0</v>
      </c>
      <c r="J38" s="225"/>
      <c r="K38" s="226">
        <f t="shared" si="8"/>
        <v>0</v>
      </c>
      <c r="L38" s="227">
        <f t="shared" si="2"/>
        <v>0</v>
      </c>
      <c r="M38" s="228">
        <f t="shared" si="3"/>
        <v>0</v>
      </c>
      <c r="N38" s="222"/>
      <c r="O38" s="222"/>
      <c r="P38" s="223">
        <f t="shared" si="13"/>
        <v>0</v>
      </c>
      <c r="Q38" s="224">
        <f t="shared" si="14"/>
        <v>0</v>
      </c>
      <c r="R38" s="229">
        <f t="shared" si="6"/>
        <v>0</v>
      </c>
      <c r="S38" s="230">
        <f t="shared" si="7"/>
        <v>0</v>
      </c>
      <c r="T38" s="231">
        <v>0</v>
      </c>
      <c r="U38" s="232">
        <v>0</v>
      </c>
      <c r="V38" s="232">
        <v>0</v>
      </c>
      <c r="W38" s="232">
        <v>0</v>
      </c>
      <c r="X38" s="232">
        <v>0</v>
      </c>
      <c r="Y38" s="232">
        <v>0</v>
      </c>
      <c r="Z38" s="232">
        <v>0</v>
      </c>
      <c r="AA38" s="232">
        <v>0</v>
      </c>
      <c r="AB38" s="232">
        <v>0</v>
      </c>
      <c r="AC38" s="232">
        <v>0</v>
      </c>
      <c r="AD38" s="232">
        <v>0</v>
      </c>
      <c r="AE38" s="232">
        <v>0</v>
      </c>
      <c r="AF38" s="232">
        <v>0</v>
      </c>
      <c r="AG38" s="232">
        <v>0</v>
      </c>
      <c r="AH38" s="233">
        <v>0</v>
      </c>
      <c r="AI38" s="206"/>
    </row>
    <row r="39" spans="1:35" ht="14.25" customHeight="1" x14ac:dyDescent="0.3">
      <c r="A39" s="219"/>
      <c r="B39" s="220"/>
      <c r="C39" s="220"/>
      <c r="D39" s="221"/>
      <c r="E39" s="222"/>
      <c r="F39" s="222"/>
      <c r="G39" s="222"/>
      <c r="H39" s="223">
        <f t="shared" si="11"/>
        <v>0</v>
      </c>
      <c r="I39" s="224">
        <f t="shared" si="12"/>
        <v>0</v>
      </c>
      <c r="J39" s="225"/>
      <c r="K39" s="226">
        <f t="shared" si="8"/>
        <v>0</v>
      </c>
      <c r="L39" s="227">
        <f t="shared" si="2"/>
        <v>0</v>
      </c>
      <c r="M39" s="228">
        <f t="shared" si="3"/>
        <v>0</v>
      </c>
      <c r="N39" s="222"/>
      <c r="O39" s="222"/>
      <c r="P39" s="223">
        <f t="shared" si="13"/>
        <v>0</v>
      </c>
      <c r="Q39" s="224">
        <f t="shared" si="14"/>
        <v>0</v>
      </c>
      <c r="R39" s="229">
        <f t="shared" si="6"/>
        <v>0</v>
      </c>
      <c r="S39" s="230">
        <f t="shared" si="7"/>
        <v>0</v>
      </c>
      <c r="T39" s="231">
        <v>0</v>
      </c>
      <c r="U39" s="232">
        <v>0</v>
      </c>
      <c r="V39" s="232">
        <v>0</v>
      </c>
      <c r="W39" s="232">
        <v>0</v>
      </c>
      <c r="X39" s="232">
        <v>0</v>
      </c>
      <c r="Y39" s="232">
        <v>0</v>
      </c>
      <c r="Z39" s="232">
        <v>0</v>
      </c>
      <c r="AA39" s="232">
        <v>0</v>
      </c>
      <c r="AB39" s="232">
        <v>0</v>
      </c>
      <c r="AC39" s="232">
        <v>0</v>
      </c>
      <c r="AD39" s="232">
        <v>0</v>
      </c>
      <c r="AE39" s="232">
        <v>0</v>
      </c>
      <c r="AF39" s="232">
        <v>0</v>
      </c>
      <c r="AG39" s="232">
        <v>0</v>
      </c>
      <c r="AH39" s="233">
        <v>0</v>
      </c>
      <c r="AI39" s="206"/>
    </row>
    <row r="40" spans="1:35" ht="14.25" customHeight="1" x14ac:dyDescent="0.3">
      <c r="A40" s="219"/>
      <c r="B40" s="220"/>
      <c r="C40" s="220"/>
      <c r="D40" s="221"/>
      <c r="E40" s="222"/>
      <c r="F40" s="222"/>
      <c r="G40" s="222"/>
      <c r="H40" s="223">
        <f t="shared" si="11"/>
        <v>0</v>
      </c>
      <c r="I40" s="224">
        <f t="shared" si="12"/>
        <v>0</v>
      </c>
      <c r="J40" s="225"/>
      <c r="K40" s="226">
        <f t="shared" si="8"/>
        <v>0</v>
      </c>
      <c r="L40" s="227">
        <f t="shared" si="2"/>
        <v>0</v>
      </c>
      <c r="M40" s="228">
        <f t="shared" si="3"/>
        <v>0</v>
      </c>
      <c r="N40" s="222"/>
      <c r="O40" s="222"/>
      <c r="P40" s="223">
        <f t="shared" si="13"/>
        <v>0</v>
      </c>
      <c r="Q40" s="224">
        <f t="shared" si="14"/>
        <v>0</v>
      </c>
      <c r="R40" s="229">
        <f t="shared" si="6"/>
        <v>0</v>
      </c>
      <c r="S40" s="230">
        <f t="shared" si="7"/>
        <v>0</v>
      </c>
      <c r="T40" s="231">
        <v>0</v>
      </c>
      <c r="U40" s="232">
        <v>0</v>
      </c>
      <c r="V40" s="232">
        <v>0</v>
      </c>
      <c r="W40" s="232">
        <v>0</v>
      </c>
      <c r="X40" s="232">
        <v>0</v>
      </c>
      <c r="Y40" s="232">
        <v>0</v>
      </c>
      <c r="Z40" s="232">
        <v>0</v>
      </c>
      <c r="AA40" s="232">
        <v>0</v>
      </c>
      <c r="AB40" s="232">
        <v>0</v>
      </c>
      <c r="AC40" s="232">
        <v>0</v>
      </c>
      <c r="AD40" s="232">
        <v>0</v>
      </c>
      <c r="AE40" s="232">
        <v>0</v>
      </c>
      <c r="AF40" s="232">
        <v>0</v>
      </c>
      <c r="AG40" s="232">
        <v>0</v>
      </c>
      <c r="AH40" s="233">
        <v>0</v>
      </c>
      <c r="AI40" s="206"/>
    </row>
    <row r="41" spans="1:35" ht="14.25" customHeight="1" x14ac:dyDescent="0.3">
      <c r="A41" s="219"/>
      <c r="B41" s="220"/>
      <c r="C41" s="220"/>
      <c r="D41" s="221"/>
      <c r="E41" s="222"/>
      <c r="F41" s="222"/>
      <c r="G41" s="222"/>
      <c r="H41" s="223">
        <f t="shared" si="11"/>
        <v>0</v>
      </c>
      <c r="I41" s="224">
        <f t="shared" si="12"/>
        <v>0</v>
      </c>
      <c r="J41" s="225"/>
      <c r="K41" s="226">
        <f t="shared" si="8"/>
        <v>0</v>
      </c>
      <c r="L41" s="227">
        <f t="shared" si="2"/>
        <v>0</v>
      </c>
      <c r="M41" s="228">
        <f t="shared" si="3"/>
        <v>0</v>
      </c>
      <c r="N41" s="222"/>
      <c r="O41" s="222"/>
      <c r="P41" s="223">
        <f t="shared" si="13"/>
        <v>0</v>
      </c>
      <c r="Q41" s="224">
        <f t="shared" si="14"/>
        <v>0</v>
      </c>
      <c r="R41" s="229">
        <f t="shared" si="6"/>
        <v>0</v>
      </c>
      <c r="S41" s="230">
        <f t="shared" si="7"/>
        <v>0</v>
      </c>
      <c r="T41" s="231">
        <v>0</v>
      </c>
      <c r="U41" s="232">
        <v>0</v>
      </c>
      <c r="V41" s="232">
        <v>0</v>
      </c>
      <c r="W41" s="232">
        <v>0</v>
      </c>
      <c r="X41" s="232">
        <v>0</v>
      </c>
      <c r="Y41" s="232">
        <v>0</v>
      </c>
      <c r="Z41" s="232">
        <v>0</v>
      </c>
      <c r="AA41" s="232">
        <v>0</v>
      </c>
      <c r="AB41" s="232">
        <v>0</v>
      </c>
      <c r="AC41" s="232">
        <v>0</v>
      </c>
      <c r="AD41" s="232">
        <v>0</v>
      </c>
      <c r="AE41" s="232">
        <v>0</v>
      </c>
      <c r="AF41" s="232">
        <v>0</v>
      </c>
      <c r="AG41" s="232">
        <v>0</v>
      </c>
      <c r="AH41" s="233">
        <v>0</v>
      </c>
      <c r="AI41" s="206"/>
    </row>
    <row r="42" spans="1:35" ht="14.25" customHeight="1" x14ac:dyDescent="0.3">
      <c r="A42" s="219"/>
      <c r="B42" s="220"/>
      <c r="C42" s="220"/>
      <c r="D42" s="221"/>
      <c r="E42" s="222"/>
      <c r="F42" s="222"/>
      <c r="G42" s="222"/>
      <c r="H42" s="223">
        <f t="shared" si="11"/>
        <v>0</v>
      </c>
      <c r="I42" s="224">
        <f t="shared" si="12"/>
        <v>0</v>
      </c>
      <c r="J42" s="225"/>
      <c r="K42" s="226">
        <f t="shared" si="8"/>
        <v>0</v>
      </c>
      <c r="L42" s="227">
        <f t="shared" si="2"/>
        <v>0</v>
      </c>
      <c r="M42" s="228">
        <f t="shared" si="3"/>
        <v>0</v>
      </c>
      <c r="N42" s="222"/>
      <c r="O42" s="222"/>
      <c r="P42" s="223">
        <f t="shared" si="13"/>
        <v>0</v>
      </c>
      <c r="Q42" s="224">
        <f t="shared" si="14"/>
        <v>0</v>
      </c>
      <c r="R42" s="229">
        <f t="shared" si="6"/>
        <v>0</v>
      </c>
      <c r="S42" s="230">
        <f t="shared" si="7"/>
        <v>0</v>
      </c>
      <c r="T42" s="231">
        <v>0</v>
      </c>
      <c r="U42" s="232">
        <v>0</v>
      </c>
      <c r="V42" s="232">
        <v>0</v>
      </c>
      <c r="W42" s="232">
        <v>0</v>
      </c>
      <c r="X42" s="232">
        <v>0</v>
      </c>
      <c r="Y42" s="232">
        <v>0</v>
      </c>
      <c r="Z42" s="232">
        <v>0</v>
      </c>
      <c r="AA42" s="232">
        <v>0</v>
      </c>
      <c r="AB42" s="232">
        <v>0</v>
      </c>
      <c r="AC42" s="232">
        <v>0</v>
      </c>
      <c r="AD42" s="232">
        <v>0</v>
      </c>
      <c r="AE42" s="232">
        <v>0</v>
      </c>
      <c r="AF42" s="232">
        <v>0</v>
      </c>
      <c r="AG42" s="232">
        <v>0</v>
      </c>
      <c r="AH42" s="233">
        <v>0</v>
      </c>
      <c r="AI42" s="206"/>
    </row>
    <row r="43" spans="1:35" ht="14.25" customHeight="1" x14ac:dyDescent="0.3">
      <c r="A43" s="219"/>
      <c r="B43" s="220"/>
      <c r="C43" s="220"/>
      <c r="D43" s="221"/>
      <c r="E43" s="222"/>
      <c r="F43" s="222"/>
      <c r="G43" s="222"/>
      <c r="H43" s="223">
        <f t="shared" si="11"/>
        <v>0</v>
      </c>
      <c r="I43" s="224">
        <f t="shared" si="12"/>
        <v>0</v>
      </c>
      <c r="J43" s="225"/>
      <c r="K43" s="226">
        <f t="shared" si="8"/>
        <v>0</v>
      </c>
      <c r="L43" s="227">
        <f t="shared" si="2"/>
        <v>0</v>
      </c>
      <c r="M43" s="228">
        <f t="shared" si="3"/>
        <v>0</v>
      </c>
      <c r="N43" s="222"/>
      <c r="O43" s="222"/>
      <c r="P43" s="223">
        <f t="shared" si="13"/>
        <v>0</v>
      </c>
      <c r="Q43" s="224">
        <f t="shared" si="14"/>
        <v>0</v>
      </c>
      <c r="R43" s="229">
        <f t="shared" si="6"/>
        <v>0</v>
      </c>
      <c r="S43" s="230">
        <f t="shared" si="7"/>
        <v>0</v>
      </c>
      <c r="T43" s="231">
        <v>0</v>
      </c>
      <c r="U43" s="232">
        <v>0</v>
      </c>
      <c r="V43" s="232">
        <v>0</v>
      </c>
      <c r="W43" s="232">
        <v>0</v>
      </c>
      <c r="X43" s="232">
        <v>0</v>
      </c>
      <c r="Y43" s="232">
        <v>0</v>
      </c>
      <c r="Z43" s="232">
        <v>0</v>
      </c>
      <c r="AA43" s="232">
        <v>0</v>
      </c>
      <c r="AB43" s="232">
        <v>0</v>
      </c>
      <c r="AC43" s="232">
        <v>0</v>
      </c>
      <c r="AD43" s="232">
        <v>0</v>
      </c>
      <c r="AE43" s="232">
        <v>0</v>
      </c>
      <c r="AF43" s="232">
        <v>0</v>
      </c>
      <c r="AG43" s="232">
        <v>0</v>
      </c>
      <c r="AH43" s="233">
        <v>0</v>
      </c>
      <c r="AI43" s="206"/>
    </row>
    <row r="44" spans="1:35" ht="14.25" customHeight="1" x14ac:dyDescent="0.3">
      <c r="A44" s="219"/>
      <c r="B44" s="220"/>
      <c r="C44" s="220"/>
      <c r="D44" s="221"/>
      <c r="E44" s="222"/>
      <c r="F44" s="222"/>
      <c r="G44" s="222"/>
      <c r="H44" s="223">
        <f t="shared" si="11"/>
        <v>0</v>
      </c>
      <c r="I44" s="224">
        <f t="shared" si="12"/>
        <v>0</v>
      </c>
      <c r="J44" s="225"/>
      <c r="K44" s="226">
        <f t="shared" si="8"/>
        <v>0</v>
      </c>
      <c r="L44" s="227">
        <f t="shared" si="2"/>
        <v>0</v>
      </c>
      <c r="M44" s="228">
        <f t="shared" si="3"/>
        <v>0</v>
      </c>
      <c r="N44" s="222"/>
      <c r="O44" s="222"/>
      <c r="P44" s="223">
        <f t="shared" si="13"/>
        <v>0</v>
      </c>
      <c r="Q44" s="224">
        <f t="shared" si="14"/>
        <v>0</v>
      </c>
      <c r="R44" s="229">
        <f t="shared" si="6"/>
        <v>0</v>
      </c>
      <c r="S44" s="230">
        <f t="shared" si="7"/>
        <v>0</v>
      </c>
      <c r="T44" s="231">
        <v>0</v>
      </c>
      <c r="U44" s="232">
        <v>0</v>
      </c>
      <c r="V44" s="232">
        <v>0</v>
      </c>
      <c r="W44" s="232">
        <v>0</v>
      </c>
      <c r="X44" s="232">
        <v>0</v>
      </c>
      <c r="Y44" s="232">
        <v>0</v>
      </c>
      <c r="Z44" s="232">
        <v>0</v>
      </c>
      <c r="AA44" s="232">
        <v>0</v>
      </c>
      <c r="AB44" s="232">
        <v>0</v>
      </c>
      <c r="AC44" s="232">
        <v>0</v>
      </c>
      <c r="AD44" s="232">
        <v>0</v>
      </c>
      <c r="AE44" s="232">
        <v>0</v>
      </c>
      <c r="AF44" s="232">
        <v>0</v>
      </c>
      <c r="AG44" s="232">
        <v>0</v>
      </c>
      <c r="AH44" s="233">
        <v>0</v>
      </c>
      <c r="AI44" s="206"/>
    </row>
    <row r="45" spans="1:35" ht="14.25" customHeight="1" x14ac:dyDescent="0.3">
      <c r="A45" s="219"/>
      <c r="B45" s="220"/>
      <c r="C45" s="220"/>
      <c r="D45" s="221"/>
      <c r="E45" s="222"/>
      <c r="F45" s="222"/>
      <c r="G45" s="222"/>
      <c r="H45" s="223">
        <f t="shared" si="11"/>
        <v>0</v>
      </c>
      <c r="I45" s="224">
        <f t="shared" si="12"/>
        <v>0</v>
      </c>
      <c r="J45" s="225"/>
      <c r="K45" s="226">
        <f t="shared" si="8"/>
        <v>0</v>
      </c>
      <c r="L45" s="227">
        <f t="shared" si="2"/>
        <v>0</v>
      </c>
      <c r="M45" s="228">
        <f t="shared" si="3"/>
        <v>0</v>
      </c>
      <c r="N45" s="222"/>
      <c r="O45" s="222"/>
      <c r="P45" s="223">
        <f t="shared" si="13"/>
        <v>0</v>
      </c>
      <c r="Q45" s="224">
        <f t="shared" si="14"/>
        <v>0</v>
      </c>
      <c r="R45" s="229">
        <f t="shared" si="6"/>
        <v>0</v>
      </c>
      <c r="S45" s="230">
        <f t="shared" si="7"/>
        <v>0</v>
      </c>
      <c r="T45" s="231">
        <v>0</v>
      </c>
      <c r="U45" s="232">
        <v>0</v>
      </c>
      <c r="V45" s="232">
        <v>0</v>
      </c>
      <c r="W45" s="232">
        <v>0</v>
      </c>
      <c r="X45" s="232">
        <v>0</v>
      </c>
      <c r="Y45" s="232">
        <v>0</v>
      </c>
      <c r="Z45" s="232">
        <v>0</v>
      </c>
      <c r="AA45" s="232">
        <v>0</v>
      </c>
      <c r="AB45" s="232">
        <v>0</v>
      </c>
      <c r="AC45" s="232">
        <v>0</v>
      </c>
      <c r="AD45" s="232">
        <v>0</v>
      </c>
      <c r="AE45" s="232">
        <v>0</v>
      </c>
      <c r="AF45" s="232">
        <v>0</v>
      </c>
      <c r="AG45" s="232">
        <v>0</v>
      </c>
      <c r="AH45" s="233">
        <v>0</v>
      </c>
      <c r="AI45" s="206"/>
    </row>
    <row r="46" spans="1:35" ht="14.25" customHeight="1" x14ac:dyDescent="0.3">
      <c r="A46" s="219"/>
      <c r="B46" s="220"/>
      <c r="C46" s="220"/>
      <c r="D46" s="221"/>
      <c r="E46" s="222"/>
      <c r="F46" s="222"/>
      <c r="G46" s="222"/>
      <c r="H46" s="223">
        <f t="shared" si="11"/>
        <v>0</v>
      </c>
      <c r="I46" s="224">
        <f t="shared" si="12"/>
        <v>0</v>
      </c>
      <c r="J46" s="225"/>
      <c r="K46" s="226">
        <f t="shared" si="8"/>
        <v>0</v>
      </c>
      <c r="L46" s="227">
        <f t="shared" si="2"/>
        <v>0</v>
      </c>
      <c r="M46" s="228">
        <f t="shared" si="3"/>
        <v>0</v>
      </c>
      <c r="N46" s="222"/>
      <c r="O46" s="222"/>
      <c r="P46" s="223">
        <f t="shared" si="13"/>
        <v>0</v>
      </c>
      <c r="Q46" s="224">
        <f t="shared" si="14"/>
        <v>0</v>
      </c>
      <c r="R46" s="229">
        <f t="shared" si="6"/>
        <v>0</v>
      </c>
      <c r="S46" s="230">
        <f t="shared" si="7"/>
        <v>0</v>
      </c>
      <c r="T46" s="231">
        <v>0</v>
      </c>
      <c r="U46" s="232">
        <v>0</v>
      </c>
      <c r="V46" s="232">
        <v>0</v>
      </c>
      <c r="W46" s="232">
        <v>0</v>
      </c>
      <c r="X46" s="232">
        <v>0</v>
      </c>
      <c r="Y46" s="232">
        <v>0</v>
      </c>
      <c r="Z46" s="232">
        <v>0</v>
      </c>
      <c r="AA46" s="232">
        <v>0</v>
      </c>
      <c r="AB46" s="232">
        <v>0</v>
      </c>
      <c r="AC46" s="232">
        <v>0</v>
      </c>
      <c r="AD46" s="232">
        <v>0</v>
      </c>
      <c r="AE46" s="232">
        <v>0</v>
      </c>
      <c r="AF46" s="232">
        <v>0</v>
      </c>
      <c r="AG46" s="232">
        <v>0</v>
      </c>
      <c r="AH46" s="233">
        <v>0</v>
      </c>
      <c r="AI46" s="206"/>
    </row>
    <row r="47" spans="1:35" ht="14.25" customHeight="1" x14ac:dyDescent="0.3">
      <c r="A47" s="219"/>
      <c r="B47" s="220"/>
      <c r="C47" s="220"/>
      <c r="D47" s="221"/>
      <c r="E47" s="222"/>
      <c r="F47" s="222"/>
      <c r="G47" s="222"/>
      <c r="H47" s="223">
        <f t="shared" si="11"/>
        <v>0</v>
      </c>
      <c r="I47" s="224">
        <f t="shared" si="12"/>
        <v>0</v>
      </c>
      <c r="J47" s="225"/>
      <c r="K47" s="226">
        <f t="shared" si="8"/>
        <v>0</v>
      </c>
      <c r="L47" s="227">
        <f t="shared" si="2"/>
        <v>0</v>
      </c>
      <c r="M47" s="228">
        <f t="shared" si="3"/>
        <v>0</v>
      </c>
      <c r="N47" s="222"/>
      <c r="O47" s="222"/>
      <c r="P47" s="223">
        <f t="shared" si="13"/>
        <v>0</v>
      </c>
      <c r="Q47" s="224">
        <f t="shared" si="14"/>
        <v>0</v>
      </c>
      <c r="R47" s="229">
        <f t="shared" si="6"/>
        <v>0</v>
      </c>
      <c r="S47" s="230">
        <f t="shared" si="7"/>
        <v>0</v>
      </c>
      <c r="T47" s="231">
        <v>0</v>
      </c>
      <c r="U47" s="232">
        <v>0</v>
      </c>
      <c r="V47" s="232">
        <v>0</v>
      </c>
      <c r="W47" s="232">
        <v>0</v>
      </c>
      <c r="X47" s="232">
        <v>0</v>
      </c>
      <c r="Y47" s="232">
        <v>0</v>
      </c>
      <c r="Z47" s="232">
        <v>0</v>
      </c>
      <c r="AA47" s="232">
        <v>0</v>
      </c>
      <c r="AB47" s="232">
        <v>0</v>
      </c>
      <c r="AC47" s="232">
        <v>0</v>
      </c>
      <c r="AD47" s="232">
        <v>0</v>
      </c>
      <c r="AE47" s="232">
        <v>0</v>
      </c>
      <c r="AF47" s="232">
        <v>0</v>
      </c>
      <c r="AG47" s="232">
        <v>0</v>
      </c>
      <c r="AH47" s="233">
        <v>0</v>
      </c>
      <c r="AI47" s="206"/>
    </row>
    <row r="48" spans="1:35" ht="14.25" customHeight="1" x14ac:dyDescent="0.3">
      <c r="A48" s="219"/>
      <c r="B48" s="220"/>
      <c r="C48" s="220"/>
      <c r="D48" s="221"/>
      <c r="E48" s="222"/>
      <c r="F48" s="222"/>
      <c r="G48" s="222"/>
      <c r="H48" s="223">
        <f t="shared" si="11"/>
        <v>0</v>
      </c>
      <c r="I48" s="224">
        <f t="shared" si="12"/>
        <v>0</v>
      </c>
      <c r="J48" s="225"/>
      <c r="K48" s="226">
        <f t="shared" si="8"/>
        <v>0</v>
      </c>
      <c r="L48" s="227">
        <f t="shared" si="2"/>
        <v>0</v>
      </c>
      <c r="M48" s="228">
        <f t="shared" si="3"/>
        <v>0</v>
      </c>
      <c r="N48" s="222"/>
      <c r="O48" s="222"/>
      <c r="P48" s="223">
        <f t="shared" si="13"/>
        <v>0</v>
      </c>
      <c r="Q48" s="224">
        <f t="shared" si="14"/>
        <v>0</v>
      </c>
      <c r="R48" s="229">
        <f t="shared" si="6"/>
        <v>0</v>
      </c>
      <c r="S48" s="230">
        <f t="shared" si="7"/>
        <v>0</v>
      </c>
      <c r="T48" s="231">
        <v>0</v>
      </c>
      <c r="U48" s="232">
        <v>0</v>
      </c>
      <c r="V48" s="232">
        <v>0</v>
      </c>
      <c r="W48" s="232">
        <v>0</v>
      </c>
      <c r="X48" s="232">
        <v>0</v>
      </c>
      <c r="Y48" s="232">
        <v>0</v>
      </c>
      <c r="Z48" s="232">
        <v>0</v>
      </c>
      <c r="AA48" s="232">
        <v>0</v>
      </c>
      <c r="AB48" s="232">
        <v>0</v>
      </c>
      <c r="AC48" s="232">
        <v>0</v>
      </c>
      <c r="AD48" s="232">
        <v>0</v>
      </c>
      <c r="AE48" s="232">
        <v>0</v>
      </c>
      <c r="AF48" s="232">
        <v>0</v>
      </c>
      <c r="AG48" s="232">
        <v>0</v>
      </c>
      <c r="AH48" s="233">
        <v>0</v>
      </c>
      <c r="AI48" s="206"/>
    </row>
    <row r="49" spans="1:35" ht="14.25" customHeight="1" x14ac:dyDescent="0.3">
      <c r="A49" s="219"/>
      <c r="B49" s="220"/>
      <c r="C49" s="220"/>
      <c r="D49" s="221"/>
      <c r="E49" s="222"/>
      <c r="F49" s="222"/>
      <c r="G49" s="222"/>
      <c r="H49" s="223">
        <f t="shared" si="11"/>
        <v>0</v>
      </c>
      <c r="I49" s="224">
        <f t="shared" si="12"/>
        <v>0</v>
      </c>
      <c r="J49" s="225"/>
      <c r="K49" s="226">
        <f t="shared" si="8"/>
        <v>0</v>
      </c>
      <c r="L49" s="227">
        <f t="shared" si="2"/>
        <v>0</v>
      </c>
      <c r="M49" s="228">
        <f t="shared" si="3"/>
        <v>0</v>
      </c>
      <c r="N49" s="222"/>
      <c r="O49" s="222"/>
      <c r="P49" s="223">
        <f t="shared" si="13"/>
        <v>0</v>
      </c>
      <c r="Q49" s="224">
        <f t="shared" si="14"/>
        <v>0</v>
      </c>
      <c r="R49" s="229">
        <f t="shared" si="6"/>
        <v>0</v>
      </c>
      <c r="S49" s="230">
        <f t="shared" si="7"/>
        <v>0</v>
      </c>
      <c r="T49" s="231">
        <v>0</v>
      </c>
      <c r="U49" s="232">
        <v>0</v>
      </c>
      <c r="V49" s="232">
        <v>0</v>
      </c>
      <c r="W49" s="232">
        <v>0</v>
      </c>
      <c r="X49" s="232">
        <v>0</v>
      </c>
      <c r="Y49" s="232">
        <v>0</v>
      </c>
      <c r="Z49" s="232">
        <v>0</v>
      </c>
      <c r="AA49" s="232">
        <v>0</v>
      </c>
      <c r="AB49" s="232">
        <v>0</v>
      </c>
      <c r="AC49" s="232">
        <v>0</v>
      </c>
      <c r="AD49" s="232">
        <v>0</v>
      </c>
      <c r="AE49" s="232">
        <v>0</v>
      </c>
      <c r="AF49" s="232">
        <v>0</v>
      </c>
      <c r="AG49" s="232">
        <v>0</v>
      </c>
      <c r="AH49" s="233">
        <v>0</v>
      </c>
      <c r="AI49" s="206"/>
    </row>
    <row r="50" spans="1:35" ht="14.25" customHeight="1" x14ac:dyDescent="0.3">
      <c r="A50" s="219"/>
      <c r="B50" s="220"/>
      <c r="C50" s="220"/>
      <c r="D50" s="221"/>
      <c r="E50" s="222"/>
      <c r="F50" s="222"/>
      <c r="G50" s="222"/>
      <c r="H50" s="223">
        <f t="shared" si="11"/>
        <v>0</v>
      </c>
      <c r="I50" s="224">
        <f t="shared" si="12"/>
        <v>0</v>
      </c>
      <c r="J50" s="225"/>
      <c r="K50" s="226">
        <f t="shared" si="8"/>
        <v>0</v>
      </c>
      <c r="L50" s="227">
        <f t="shared" si="2"/>
        <v>0</v>
      </c>
      <c r="M50" s="228">
        <f t="shared" si="3"/>
        <v>0</v>
      </c>
      <c r="N50" s="222"/>
      <c r="O50" s="222"/>
      <c r="P50" s="223">
        <f t="shared" si="13"/>
        <v>0</v>
      </c>
      <c r="Q50" s="224">
        <f t="shared" si="14"/>
        <v>0</v>
      </c>
      <c r="R50" s="229">
        <f t="shared" si="6"/>
        <v>0</v>
      </c>
      <c r="S50" s="230">
        <f t="shared" si="7"/>
        <v>0</v>
      </c>
      <c r="T50" s="231">
        <v>0</v>
      </c>
      <c r="U50" s="232">
        <v>0</v>
      </c>
      <c r="V50" s="232">
        <v>0</v>
      </c>
      <c r="W50" s="232">
        <v>0</v>
      </c>
      <c r="X50" s="232">
        <v>0</v>
      </c>
      <c r="Y50" s="232">
        <v>0</v>
      </c>
      <c r="Z50" s="232">
        <v>0</v>
      </c>
      <c r="AA50" s="232">
        <v>0</v>
      </c>
      <c r="AB50" s="232">
        <v>0</v>
      </c>
      <c r="AC50" s="232">
        <v>0</v>
      </c>
      <c r="AD50" s="232">
        <v>0</v>
      </c>
      <c r="AE50" s="232">
        <v>0</v>
      </c>
      <c r="AF50" s="232">
        <v>0</v>
      </c>
      <c r="AG50" s="232">
        <v>0</v>
      </c>
      <c r="AH50" s="233">
        <v>0</v>
      </c>
      <c r="AI50" s="206"/>
    </row>
    <row r="51" spans="1:35" ht="14.25" customHeight="1" x14ac:dyDescent="0.3">
      <c r="A51" s="219"/>
      <c r="B51" s="220"/>
      <c r="C51" s="220"/>
      <c r="D51" s="221"/>
      <c r="E51" s="222"/>
      <c r="F51" s="222"/>
      <c r="G51" s="222"/>
      <c r="H51" s="223">
        <f t="shared" si="11"/>
        <v>0</v>
      </c>
      <c r="I51" s="224">
        <f t="shared" si="12"/>
        <v>0</v>
      </c>
      <c r="J51" s="225"/>
      <c r="K51" s="226">
        <f t="shared" si="8"/>
        <v>0</v>
      </c>
      <c r="L51" s="227">
        <f t="shared" si="2"/>
        <v>0</v>
      </c>
      <c r="M51" s="228">
        <f t="shared" si="3"/>
        <v>0</v>
      </c>
      <c r="N51" s="222"/>
      <c r="O51" s="222"/>
      <c r="P51" s="223">
        <f t="shared" si="13"/>
        <v>0</v>
      </c>
      <c r="Q51" s="224">
        <f t="shared" si="14"/>
        <v>0</v>
      </c>
      <c r="R51" s="229">
        <f t="shared" si="6"/>
        <v>0</v>
      </c>
      <c r="S51" s="230">
        <f t="shared" si="7"/>
        <v>0</v>
      </c>
      <c r="T51" s="231">
        <v>0</v>
      </c>
      <c r="U51" s="232">
        <v>0</v>
      </c>
      <c r="V51" s="232">
        <v>0</v>
      </c>
      <c r="W51" s="232">
        <v>0</v>
      </c>
      <c r="X51" s="232">
        <v>0</v>
      </c>
      <c r="Y51" s="232">
        <v>0</v>
      </c>
      <c r="Z51" s="232">
        <v>0</v>
      </c>
      <c r="AA51" s="232">
        <v>0</v>
      </c>
      <c r="AB51" s="232">
        <v>0</v>
      </c>
      <c r="AC51" s="232">
        <v>0</v>
      </c>
      <c r="AD51" s="232">
        <v>0</v>
      </c>
      <c r="AE51" s="232">
        <v>0</v>
      </c>
      <c r="AF51" s="232">
        <v>0</v>
      </c>
      <c r="AG51" s="232">
        <v>0</v>
      </c>
      <c r="AH51" s="233">
        <v>0</v>
      </c>
      <c r="AI51" s="206"/>
    </row>
    <row r="52" spans="1:35" ht="14.25" customHeight="1" x14ac:dyDescent="0.3">
      <c r="A52" s="219"/>
      <c r="B52" s="220"/>
      <c r="C52" s="220"/>
      <c r="D52" s="221"/>
      <c r="E52" s="222"/>
      <c r="F52" s="222"/>
      <c r="G52" s="222"/>
      <c r="H52" s="223">
        <f t="shared" si="11"/>
        <v>0</v>
      </c>
      <c r="I52" s="224">
        <f t="shared" si="12"/>
        <v>0</v>
      </c>
      <c r="J52" s="225"/>
      <c r="K52" s="226">
        <f t="shared" si="8"/>
        <v>0</v>
      </c>
      <c r="L52" s="227">
        <f t="shared" si="2"/>
        <v>0</v>
      </c>
      <c r="M52" s="228">
        <f t="shared" si="3"/>
        <v>0</v>
      </c>
      <c r="N52" s="222"/>
      <c r="O52" s="222"/>
      <c r="P52" s="223">
        <f t="shared" si="13"/>
        <v>0</v>
      </c>
      <c r="Q52" s="224">
        <f t="shared" si="14"/>
        <v>0</v>
      </c>
      <c r="R52" s="229">
        <f t="shared" si="6"/>
        <v>0</v>
      </c>
      <c r="S52" s="230">
        <f t="shared" si="7"/>
        <v>0</v>
      </c>
      <c r="T52" s="231">
        <v>0</v>
      </c>
      <c r="U52" s="232">
        <v>0</v>
      </c>
      <c r="V52" s="232">
        <v>0</v>
      </c>
      <c r="W52" s="232">
        <v>0</v>
      </c>
      <c r="X52" s="232">
        <v>0</v>
      </c>
      <c r="Y52" s="232">
        <v>0</v>
      </c>
      <c r="Z52" s="232">
        <v>0</v>
      </c>
      <c r="AA52" s="232">
        <v>0</v>
      </c>
      <c r="AB52" s="232">
        <v>0</v>
      </c>
      <c r="AC52" s="232">
        <v>0</v>
      </c>
      <c r="AD52" s="232">
        <v>0</v>
      </c>
      <c r="AE52" s="232">
        <v>0</v>
      </c>
      <c r="AF52" s="232">
        <v>0</v>
      </c>
      <c r="AG52" s="232">
        <v>0</v>
      </c>
      <c r="AH52" s="233">
        <v>0</v>
      </c>
      <c r="AI52" s="206"/>
    </row>
    <row r="53" spans="1:35" ht="14.25" customHeight="1" x14ac:dyDescent="0.3">
      <c r="A53" s="219"/>
      <c r="B53" s="220"/>
      <c r="C53" s="220"/>
      <c r="D53" s="221"/>
      <c r="E53" s="222"/>
      <c r="F53" s="222"/>
      <c r="G53" s="222"/>
      <c r="H53" s="223">
        <f t="shared" si="11"/>
        <v>0</v>
      </c>
      <c r="I53" s="224">
        <f t="shared" si="12"/>
        <v>0</v>
      </c>
      <c r="J53" s="225"/>
      <c r="K53" s="226">
        <f t="shared" si="8"/>
        <v>0</v>
      </c>
      <c r="L53" s="227">
        <f t="shared" si="2"/>
        <v>0</v>
      </c>
      <c r="M53" s="228">
        <f t="shared" si="3"/>
        <v>0</v>
      </c>
      <c r="N53" s="222"/>
      <c r="O53" s="222"/>
      <c r="P53" s="223">
        <f t="shared" si="13"/>
        <v>0</v>
      </c>
      <c r="Q53" s="224">
        <f t="shared" si="14"/>
        <v>0</v>
      </c>
      <c r="R53" s="229">
        <f t="shared" si="6"/>
        <v>0</v>
      </c>
      <c r="S53" s="230">
        <f t="shared" si="7"/>
        <v>0</v>
      </c>
      <c r="T53" s="231">
        <v>0</v>
      </c>
      <c r="U53" s="232">
        <v>0</v>
      </c>
      <c r="V53" s="232">
        <v>0</v>
      </c>
      <c r="W53" s="232">
        <v>0</v>
      </c>
      <c r="X53" s="232">
        <v>0</v>
      </c>
      <c r="Y53" s="232">
        <v>0</v>
      </c>
      <c r="Z53" s="232">
        <v>0</v>
      </c>
      <c r="AA53" s="232">
        <v>0</v>
      </c>
      <c r="AB53" s="232">
        <v>0</v>
      </c>
      <c r="AC53" s="232">
        <v>0</v>
      </c>
      <c r="AD53" s="232">
        <v>0</v>
      </c>
      <c r="AE53" s="232">
        <v>0</v>
      </c>
      <c r="AF53" s="232">
        <v>0</v>
      </c>
      <c r="AG53" s="232">
        <v>0</v>
      </c>
      <c r="AH53" s="233">
        <v>0</v>
      </c>
      <c r="AI53" s="206"/>
    </row>
    <row r="54" spans="1:35" ht="14.25" customHeight="1" x14ac:dyDescent="0.3">
      <c r="A54" s="219"/>
      <c r="B54" s="220"/>
      <c r="C54" s="220"/>
      <c r="D54" s="221"/>
      <c r="E54" s="222"/>
      <c r="F54" s="222"/>
      <c r="G54" s="222"/>
      <c r="H54" s="223">
        <f t="shared" si="11"/>
        <v>0</v>
      </c>
      <c r="I54" s="224">
        <f t="shared" si="12"/>
        <v>0</v>
      </c>
      <c r="J54" s="225"/>
      <c r="K54" s="226">
        <f t="shared" si="8"/>
        <v>0</v>
      </c>
      <c r="L54" s="227">
        <f t="shared" si="2"/>
        <v>0</v>
      </c>
      <c r="M54" s="228">
        <f t="shared" si="3"/>
        <v>0</v>
      </c>
      <c r="N54" s="222"/>
      <c r="O54" s="222"/>
      <c r="P54" s="223">
        <f t="shared" si="13"/>
        <v>0</v>
      </c>
      <c r="Q54" s="224">
        <f t="shared" si="14"/>
        <v>0</v>
      </c>
      <c r="R54" s="229">
        <f t="shared" si="6"/>
        <v>0</v>
      </c>
      <c r="S54" s="230">
        <f t="shared" si="7"/>
        <v>0</v>
      </c>
      <c r="T54" s="231">
        <v>0</v>
      </c>
      <c r="U54" s="232">
        <v>0</v>
      </c>
      <c r="V54" s="232">
        <v>0</v>
      </c>
      <c r="W54" s="232">
        <v>0</v>
      </c>
      <c r="X54" s="232">
        <v>0</v>
      </c>
      <c r="Y54" s="232">
        <v>0</v>
      </c>
      <c r="Z54" s="232">
        <v>0</v>
      </c>
      <c r="AA54" s="232">
        <v>0</v>
      </c>
      <c r="AB54" s="232">
        <v>0</v>
      </c>
      <c r="AC54" s="232">
        <v>0</v>
      </c>
      <c r="AD54" s="232">
        <v>0</v>
      </c>
      <c r="AE54" s="232">
        <v>0</v>
      </c>
      <c r="AF54" s="232">
        <v>0</v>
      </c>
      <c r="AG54" s="232">
        <v>0</v>
      </c>
      <c r="AH54" s="233">
        <v>0</v>
      </c>
      <c r="AI54" s="206"/>
    </row>
    <row r="55" spans="1:35" ht="14.25" customHeight="1" x14ac:dyDescent="0.3">
      <c r="A55" s="219"/>
      <c r="B55" s="220"/>
      <c r="C55" s="220"/>
      <c r="D55" s="221"/>
      <c r="E55" s="222"/>
      <c r="F55" s="222"/>
      <c r="G55" s="222"/>
      <c r="H55" s="223">
        <f t="shared" si="11"/>
        <v>0</v>
      </c>
      <c r="I55" s="224">
        <f t="shared" si="12"/>
        <v>0</v>
      </c>
      <c r="J55" s="225"/>
      <c r="K55" s="226">
        <f t="shared" si="8"/>
        <v>0</v>
      </c>
      <c r="L55" s="227">
        <f t="shared" si="2"/>
        <v>0</v>
      </c>
      <c r="M55" s="228">
        <f t="shared" si="3"/>
        <v>0</v>
      </c>
      <c r="N55" s="222"/>
      <c r="O55" s="222"/>
      <c r="P55" s="223">
        <f t="shared" si="13"/>
        <v>0</v>
      </c>
      <c r="Q55" s="224">
        <f t="shared" si="14"/>
        <v>0</v>
      </c>
      <c r="R55" s="229">
        <f t="shared" si="6"/>
        <v>0</v>
      </c>
      <c r="S55" s="230">
        <f t="shared" si="7"/>
        <v>0</v>
      </c>
      <c r="T55" s="231">
        <v>0</v>
      </c>
      <c r="U55" s="232">
        <v>0</v>
      </c>
      <c r="V55" s="232">
        <v>0</v>
      </c>
      <c r="W55" s="232">
        <v>0</v>
      </c>
      <c r="X55" s="232">
        <v>0</v>
      </c>
      <c r="Y55" s="232">
        <v>0</v>
      </c>
      <c r="Z55" s="232">
        <v>0</v>
      </c>
      <c r="AA55" s="232">
        <v>0</v>
      </c>
      <c r="AB55" s="232">
        <v>0</v>
      </c>
      <c r="AC55" s="232">
        <v>0</v>
      </c>
      <c r="AD55" s="232">
        <v>0</v>
      </c>
      <c r="AE55" s="232">
        <v>0</v>
      </c>
      <c r="AF55" s="232">
        <v>0</v>
      </c>
      <c r="AG55" s="232">
        <v>0</v>
      </c>
      <c r="AH55" s="233">
        <v>0</v>
      </c>
      <c r="AI55" s="206"/>
    </row>
    <row r="56" spans="1:35" ht="14.25" customHeight="1" x14ac:dyDescent="0.3">
      <c r="A56" s="219"/>
      <c r="B56" s="220"/>
      <c r="C56" s="220"/>
      <c r="D56" s="221"/>
      <c r="E56" s="222"/>
      <c r="F56" s="222"/>
      <c r="G56" s="222"/>
      <c r="H56" s="223">
        <f t="shared" si="11"/>
        <v>0</v>
      </c>
      <c r="I56" s="224">
        <f t="shared" si="12"/>
        <v>0</v>
      </c>
      <c r="J56" s="225"/>
      <c r="K56" s="226">
        <f t="shared" si="8"/>
        <v>0</v>
      </c>
      <c r="L56" s="227">
        <f t="shared" si="2"/>
        <v>0</v>
      </c>
      <c r="M56" s="228">
        <f t="shared" si="3"/>
        <v>0</v>
      </c>
      <c r="N56" s="222"/>
      <c r="O56" s="222"/>
      <c r="P56" s="223">
        <f t="shared" si="13"/>
        <v>0</v>
      </c>
      <c r="Q56" s="224">
        <f t="shared" si="14"/>
        <v>0</v>
      </c>
      <c r="R56" s="229">
        <f t="shared" si="6"/>
        <v>0</v>
      </c>
      <c r="S56" s="230">
        <f t="shared" si="7"/>
        <v>0</v>
      </c>
      <c r="T56" s="231">
        <v>0</v>
      </c>
      <c r="U56" s="232">
        <v>0</v>
      </c>
      <c r="V56" s="232">
        <v>0</v>
      </c>
      <c r="W56" s="232">
        <v>0</v>
      </c>
      <c r="X56" s="232">
        <v>0</v>
      </c>
      <c r="Y56" s="232">
        <v>0</v>
      </c>
      <c r="Z56" s="232">
        <v>0</v>
      </c>
      <c r="AA56" s="232">
        <v>0</v>
      </c>
      <c r="AB56" s="232">
        <v>0</v>
      </c>
      <c r="AC56" s="232">
        <v>0</v>
      </c>
      <c r="AD56" s="232">
        <v>0</v>
      </c>
      <c r="AE56" s="232">
        <v>0</v>
      </c>
      <c r="AF56" s="232">
        <v>0</v>
      </c>
      <c r="AG56" s="232">
        <v>0</v>
      </c>
      <c r="AH56" s="233">
        <v>0</v>
      </c>
      <c r="AI56" s="206"/>
    </row>
    <row r="57" spans="1:35" ht="14.25" customHeight="1" x14ac:dyDescent="0.3">
      <c r="A57" s="219"/>
      <c r="B57" s="220"/>
      <c r="C57" s="220"/>
      <c r="D57" s="221"/>
      <c r="E57" s="222"/>
      <c r="F57" s="222"/>
      <c r="G57" s="222"/>
      <c r="H57" s="223">
        <f t="shared" si="11"/>
        <v>0</v>
      </c>
      <c r="I57" s="224">
        <f t="shared" si="12"/>
        <v>0</v>
      </c>
      <c r="J57" s="225"/>
      <c r="K57" s="226">
        <f t="shared" si="8"/>
        <v>0</v>
      </c>
      <c r="L57" s="227">
        <f t="shared" si="2"/>
        <v>0</v>
      </c>
      <c r="M57" s="228">
        <f t="shared" si="3"/>
        <v>0</v>
      </c>
      <c r="N57" s="222"/>
      <c r="O57" s="222"/>
      <c r="P57" s="223">
        <f t="shared" si="13"/>
        <v>0</v>
      </c>
      <c r="Q57" s="224">
        <f t="shared" si="14"/>
        <v>0</v>
      </c>
      <c r="R57" s="229">
        <f t="shared" si="6"/>
        <v>0</v>
      </c>
      <c r="S57" s="230">
        <f t="shared" si="7"/>
        <v>0</v>
      </c>
      <c r="T57" s="231">
        <v>0</v>
      </c>
      <c r="U57" s="232">
        <v>0</v>
      </c>
      <c r="V57" s="232">
        <v>0</v>
      </c>
      <c r="W57" s="232">
        <v>0</v>
      </c>
      <c r="X57" s="232">
        <v>0</v>
      </c>
      <c r="Y57" s="232">
        <v>0</v>
      </c>
      <c r="Z57" s="232">
        <v>0</v>
      </c>
      <c r="AA57" s="232">
        <v>0</v>
      </c>
      <c r="AB57" s="232">
        <v>0</v>
      </c>
      <c r="AC57" s="232">
        <v>0</v>
      </c>
      <c r="AD57" s="232">
        <v>0</v>
      </c>
      <c r="AE57" s="232">
        <v>0</v>
      </c>
      <c r="AF57" s="232">
        <v>0</v>
      </c>
      <c r="AG57" s="232">
        <v>0</v>
      </c>
      <c r="AH57" s="233">
        <v>0</v>
      </c>
      <c r="AI57" s="206"/>
    </row>
    <row r="58" spans="1:35" ht="14.25" customHeight="1" x14ac:dyDescent="0.3">
      <c r="A58" s="219"/>
      <c r="B58" s="220"/>
      <c r="C58" s="220"/>
      <c r="D58" s="221"/>
      <c r="E58" s="222"/>
      <c r="F58" s="222"/>
      <c r="G58" s="222"/>
      <c r="H58" s="223">
        <f t="shared" si="11"/>
        <v>0</v>
      </c>
      <c r="I58" s="224">
        <f t="shared" si="12"/>
        <v>0</v>
      </c>
      <c r="J58" s="225"/>
      <c r="K58" s="226">
        <f t="shared" si="8"/>
        <v>0</v>
      </c>
      <c r="L58" s="227">
        <f t="shared" si="2"/>
        <v>0</v>
      </c>
      <c r="M58" s="228">
        <f t="shared" si="3"/>
        <v>0</v>
      </c>
      <c r="N58" s="222"/>
      <c r="O58" s="222"/>
      <c r="P58" s="223">
        <f t="shared" si="13"/>
        <v>0</v>
      </c>
      <c r="Q58" s="224">
        <f t="shared" si="14"/>
        <v>0</v>
      </c>
      <c r="R58" s="229">
        <f t="shared" si="6"/>
        <v>0</v>
      </c>
      <c r="S58" s="230">
        <f t="shared" si="7"/>
        <v>0</v>
      </c>
      <c r="T58" s="231">
        <v>0</v>
      </c>
      <c r="U58" s="232">
        <v>0</v>
      </c>
      <c r="V58" s="232">
        <v>0</v>
      </c>
      <c r="W58" s="232">
        <v>0</v>
      </c>
      <c r="X58" s="232">
        <v>0</v>
      </c>
      <c r="Y58" s="232">
        <v>0</v>
      </c>
      <c r="Z58" s="232">
        <v>0</v>
      </c>
      <c r="AA58" s="232">
        <v>0</v>
      </c>
      <c r="AB58" s="232">
        <v>0</v>
      </c>
      <c r="AC58" s="232">
        <v>0</v>
      </c>
      <c r="AD58" s="232">
        <v>0</v>
      </c>
      <c r="AE58" s="232">
        <v>0</v>
      </c>
      <c r="AF58" s="232">
        <v>0</v>
      </c>
      <c r="AG58" s="232">
        <v>0</v>
      </c>
      <c r="AH58" s="233">
        <v>0</v>
      </c>
      <c r="AI58" s="206"/>
    </row>
    <row r="59" spans="1:35" ht="14.25" customHeight="1" x14ac:dyDescent="0.3">
      <c r="A59" s="219"/>
      <c r="B59" s="220"/>
      <c r="C59" s="220"/>
      <c r="D59" s="221"/>
      <c r="E59" s="222"/>
      <c r="F59" s="222"/>
      <c r="G59" s="222"/>
      <c r="H59" s="223">
        <f t="shared" si="11"/>
        <v>0</v>
      </c>
      <c r="I59" s="224">
        <f t="shared" si="12"/>
        <v>0</v>
      </c>
      <c r="J59" s="225"/>
      <c r="K59" s="226">
        <f t="shared" si="8"/>
        <v>0</v>
      </c>
      <c r="L59" s="227">
        <f t="shared" si="2"/>
        <v>0</v>
      </c>
      <c r="M59" s="228">
        <f t="shared" si="3"/>
        <v>0</v>
      </c>
      <c r="N59" s="222"/>
      <c r="O59" s="222"/>
      <c r="P59" s="223">
        <f t="shared" si="13"/>
        <v>0</v>
      </c>
      <c r="Q59" s="224">
        <f t="shared" si="14"/>
        <v>0</v>
      </c>
      <c r="R59" s="229">
        <f t="shared" si="6"/>
        <v>0</v>
      </c>
      <c r="S59" s="230">
        <f t="shared" si="7"/>
        <v>0</v>
      </c>
      <c r="T59" s="231">
        <v>0</v>
      </c>
      <c r="U59" s="232">
        <v>0</v>
      </c>
      <c r="V59" s="232">
        <v>0</v>
      </c>
      <c r="W59" s="232">
        <v>0</v>
      </c>
      <c r="X59" s="232">
        <v>0</v>
      </c>
      <c r="Y59" s="232">
        <v>0</v>
      </c>
      <c r="Z59" s="232">
        <v>0</v>
      </c>
      <c r="AA59" s="232">
        <v>0</v>
      </c>
      <c r="AB59" s="232">
        <v>0</v>
      </c>
      <c r="AC59" s="232">
        <v>0</v>
      </c>
      <c r="AD59" s="232">
        <v>0</v>
      </c>
      <c r="AE59" s="232">
        <v>0</v>
      </c>
      <c r="AF59" s="232">
        <v>0</v>
      </c>
      <c r="AG59" s="232">
        <v>0</v>
      </c>
      <c r="AH59" s="233">
        <v>0</v>
      </c>
      <c r="AI59" s="206"/>
    </row>
    <row r="60" spans="1:35" ht="14.25" customHeight="1" x14ac:dyDescent="0.3">
      <c r="A60" s="219"/>
      <c r="B60" s="220"/>
      <c r="C60" s="220"/>
      <c r="D60" s="221"/>
      <c r="E60" s="222"/>
      <c r="F60" s="222"/>
      <c r="G60" s="222"/>
      <c r="H60" s="223">
        <f t="shared" si="11"/>
        <v>0</v>
      </c>
      <c r="I60" s="224">
        <f t="shared" si="12"/>
        <v>0</v>
      </c>
      <c r="J60" s="225"/>
      <c r="K60" s="226">
        <f t="shared" si="8"/>
        <v>0</v>
      </c>
      <c r="L60" s="227">
        <f t="shared" si="2"/>
        <v>0</v>
      </c>
      <c r="M60" s="228">
        <f t="shared" si="3"/>
        <v>0</v>
      </c>
      <c r="N60" s="222"/>
      <c r="O60" s="222"/>
      <c r="P60" s="223">
        <f t="shared" si="13"/>
        <v>0</v>
      </c>
      <c r="Q60" s="224">
        <f t="shared" si="14"/>
        <v>0</v>
      </c>
      <c r="R60" s="229">
        <f t="shared" si="6"/>
        <v>0</v>
      </c>
      <c r="S60" s="230">
        <f t="shared" si="7"/>
        <v>0</v>
      </c>
      <c r="T60" s="231">
        <v>0</v>
      </c>
      <c r="U60" s="232">
        <v>0</v>
      </c>
      <c r="V60" s="232">
        <v>0</v>
      </c>
      <c r="W60" s="232">
        <v>0</v>
      </c>
      <c r="X60" s="232">
        <v>0</v>
      </c>
      <c r="Y60" s="232">
        <v>0</v>
      </c>
      <c r="Z60" s="232">
        <v>0</v>
      </c>
      <c r="AA60" s="232">
        <v>0</v>
      </c>
      <c r="AB60" s="232">
        <v>0</v>
      </c>
      <c r="AC60" s="232">
        <v>0</v>
      </c>
      <c r="AD60" s="232">
        <v>0</v>
      </c>
      <c r="AE60" s="232">
        <v>0</v>
      </c>
      <c r="AF60" s="232">
        <v>0</v>
      </c>
      <c r="AG60" s="232">
        <v>0</v>
      </c>
      <c r="AH60" s="233">
        <v>0</v>
      </c>
      <c r="AI60" s="206"/>
    </row>
    <row r="61" spans="1:35" ht="14.25" customHeight="1" x14ac:dyDescent="0.3">
      <c r="A61" s="219"/>
      <c r="B61" s="220"/>
      <c r="C61" s="220"/>
      <c r="D61" s="221"/>
      <c r="E61" s="222"/>
      <c r="F61" s="222"/>
      <c r="G61" s="222"/>
      <c r="H61" s="223">
        <f t="shared" si="11"/>
        <v>0</v>
      </c>
      <c r="I61" s="224">
        <f t="shared" si="12"/>
        <v>0</v>
      </c>
      <c r="J61" s="225"/>
      <c r="K61" s="226">
        <f t="shared" si="8"/>
        <v>0</v>
      </c>
      <c r="L61" s="227">
        <f t="shared" si="2"/>
        <v>0</v>
      </c>
      <c r="M61" s="228">
        <f t="shared" si="3"/>
        <v>0</v>
      </c>
      <c r="N61" s="222"/>
      <c r="O61" s="222"/>
      <c r="P61" s="223">
        <f t="shared" si="13"/>
        <v>0</v>
      </c>
      <c r="Q61" s="224">
        <f t="shared" si="14"/>
        <v>0</v>
      </c>
      <c r="R61" s="229">
        <f t="shared" si="6"/>
        <v>0</v>
      </c>
      <c r="S61" s="230">
        <f t="shared" si="7"/>
        <v>0</v>
      </c>
      <c r="T61" s="231">
        <v>0</v>
      </c>
      <c r="U61" s="232">
        <v>0</v>
      </c>
      <c r="V61" s="232">
        <v>0</v>
      </c>
      <c r="W61" s="232">
        <v>0</v>
      </c>
      <c r="X61" s="232">
        <v>0</v>
      </c>
      <c r="Y61" s="232">
        <v>0</v>
      </c>
      <c r="Z61" s="232">
        <v>0</v>
      </c>
      <c r="AA61" s="232">
        <v>0</v>
      </c>
      <c r="AB61" s="232">
        <v>0</v>
      </c>
      <c r="AC61" s="232">
        <v>0</v>
      </c>
      <c r="AD61" s="232">
        <v>0</v>
      </c>
      <c r="AE61" s="232">
        <v>0</v>
      </c>
      <c r="AF61" s="232">
        <v>0</v>
      </c>
      <c r="AG61" s="232">
        <v>0</v>
      </c>
      <c r="AH61" s="233">
        <v>0</v>
      </c>
      <c r="AI61" s="206"/>
    </row>
    <row r="62" spans="1:35" ht="14.25" customHeight="1" x14ac:dyDescent="0.3">
      <c r="A62" s="219"/>
      <c r="B62" s="220"/>
      <c r="C62" s="220"/>
      <c r="D62" s="221"/>
      <c r="E62" s="222"/>
      <c r="F62" s="222"/>
      <c r="G62" s="222"/>
      <c r="H62" s="223">
        <f t="shared" si="11"/>
        <v>0</v>
      </c>
      <c r="I62" s="224">
        <f t="shared" si="12"/>
        <v>0</v>
      </c>
      <c r="J62" s="225"/>
      <c r="K62" s="226">
        <f t="shared" si="8"/>
        <v>0</v>
      </c>
      <c r="L62" s="227">
        <f t="shared" si="2"/>
        <v>0</v>
      </c>
      <c r="M62" s="228">
        <f t="shared" si="3"/>
        <v>0</v>
      </c>
      <c r="N62" s="222"/>
      <c r="O62" s="222"/>
      <c r="P62" s="223">
        <f t="shared" si="13"/>
        <v>0</v>
      </c>
      <c r="Q62" s="224">
        <f t="shared" si="14"/>
        <v>0</v>
      </c>
      <c r="R62" s="229">
        <f t="shared" si="6"/>
        <v>0</v>
      </c>
      <c r="S62" s="230">
        <f t="shared" si="7"/>
        <v>0</v>
      </c>
      <c r="T62" s="231">
        <v>0</v>
      </c>
      <c r="U62" s="232">
        <v>0</v>
      </c>
      <c r="V62" s="232">
        <v>0</v>
      </c>
      <c r="W62" s="232">
        <v>0</v>
      </c>
      <c r="X62" s="232">
        <v>0</v>
      </c>
      <c r="Y62" s="232">
        <v>0</v>
      </c>
      <c r="Z62" s="232">
        <v>0</v>
      </c>
      <c r="AA62" s="232">
        <v>0</v>
      </c>
      <c r="AB62" s="232">
        <v>0</v>
      </c>
      <c r="AC62" s="232">
        <v>0</v>
      </c>
      <c r="AD62" s="232">
        <v>0</v>
      </c>
      <c r="AE62" s="232">
        <v>0</v>
      </c>
      <c r="AF62" s="232">
        <v>0</v>
      </c>
      <c r="AG62" s="232">
        <v>0</v>
      </c>
      <c r="AH62" s="233">
        <v>0</v>
      </c>
      <c r="AI62" s="206"/>
    </row>
    <row r="63" spans="1:35" ht="14.25" customHeight="1" x14ac:dyDescent="0.3">
      <c r="A63" s="219"/>
      <c r="B63" s="220"/>
      <c r="C63" s="220"/>
      <c r="D63" s="221"/>
      <c r="E63" s="222"/>
      <c r="F63" s="222"/>
      <c r="G63" s="222"/>
      <c r="H63" s="223">
        <f t="shared" si="11"/>
        <v>0</v>
      </c>
      <c r="I63" s="224">
        <f t="shared" si="12"/>
        <v>0</v>
      </c>
      <c r="J63" s="225"/>
      <c r="K63" s="226">
        <f t="shared" si="8"/>
        <v>0</v>
      </c>
      <c r="L63" s="227">
        <f t="shared" si="2"/>
        <v>0</v>
      </c>
      <c r="M63" s="228">
        <f t="shared" si="3"/>
        <v>0</v>
      </c>
      <c r="N63" s="222"/>
      <c r="O63" s="222"/>
      <c r="P63" s="223">
        <f t="shared" si="13"/>
        <v>0</v>
      </c>
      <c r="Q63" s="224">
        <f t="shared" si="14"/>
        <v>0</v>
      </c>
      <c r="R63" s="229">
        <f t="shared" si="6"/>
        <v>0</v>
      </c>
      <c r="S63" s="230">
        <f t="shared" si="7"/>
        <v>0</v>
      </c>
      <c r="T63" s="231">
        <v>0</v>
      </c>
      <c r="U63" s="232">
        <v>0</v>
      </c>
      <c r="V63" s="232">
        <v>0</v>
      </c>
      <c r="W63" s="232">
        <v>0</v>
      </c>
      <c r="X63" s="232">
        <v>0</v>
      </c>
      <c r="Y63" s="232">
        <v>0</v>
      </c>
      <c r="Z63" s="232">
        <v>0</v>
      </c>
      <c r="AA63" s="232">
        <v>0</v>
      </c>
      <c r="AB63" s="232">
        <v>0</v>
      </c>
      <c r="AC63" s="232">
        <v>0</v>
      </c>
      <c r="AD63" s="232">
        <v>0</v>
      </c>
      <c r="AE63" s="232">
        <v>0</v>
      </c>
      <c r="AF63" s="232">
        <v>0</v>
      </c>
      <c r="AG63" s="232">
        <v>0</v>
      </c>
      <c r="AH63" s="233">
        <v>0</v>
      </c>
      <c r="AI63" s="206"/>
    </row>
    <row r="64" spans="1:35" ht="14.25" customHeight="1" x14ac:dyDescent="0.3">
      <c r="A64" s="219"/>
      <c r="B64" s="220"/>
      <c r="C64" s="220"/>
      <c r="D64" s="221"/>
      <c r="E64" s="222"/>
      <c r="F64" s="222"/>
      <c r="G64" s="222"/>
      <c r="H64" s="223">
        <f t="shared" si="11"/>
        <v>0</v>
      </c>
      <c r="I64" s="224">
        <f t="shared" si="12"/>
        <v>0</v>
      </c>
      <c r="J64" s="225"/>
      <c r="K64" s="226">
        <f t="shared" si="8"/>
        <v>0</v>
      </c>
      <c r="L64" s="227">
        <f t="shared" si="2"/>
        <v>0</v>
      </c>
      <c r="M64" s="228">
        <f t="shared" si="3"/>
        <v>0</v>
      </c>
      <c r="N64" s="222"/>
      <c r="O64" s="222"/>
      <c r="P64" s="223">
        <f t="shared" si="13"/>
        <v>0</v>
      </c>
      <c r="Q64" s="224">
        <f t="shared" si="14"/>
        <v>0</v>
      </c>
      <c r="R64" s="229">
        <f t="shared" si="6"/>
        <v>0</v>
      </c>
      <c r="S64" s="230">
        <f t="shared" si="7"/>
        <v>0</v>
      </c>
      <c r="T64" s="231">
        <v>0</v>
      </c>
      <c r="U64" s="232">
        <v>0</v>
      </c>
      <c r="V64" s="232">
        <v>0</v>
      </c>
      <c r="W64" s="232">
        <v>0</v>
      </c>
      <c r="X64" s="232">
        <v>0</v>
      </c>
      <c r="Y64" s="232">
        <v>0</v>
      </c>
      <c r="Z64" s="232">
        <v>0</v>
      </c>
      <c r="AA64" s="232">
        <v>0</v>
      </c>
      <c r="AB64" s="232">
        <v>0</v>
      </c>
      <c r="AC64" s="232">
        <v>0</v>
      </c>
      <c r="AD64" s="232">
        <v>0</v>
      </c>
      <c r="AE64" s="232">
        <v>0</v>
      </c>
      <c r="AF64" s="232">
        <v>0</v>
      </c>
      <c r="AG64" s="232">
        <v>0</v>
      </c>
      <c r="AH64" s="233">
        <v>0</v>
      </c>
      <c r="AI64" s="206"/>
    </row>
    <row r="65" spans="1:35" ht="14.25" customHeight="1" x14ac:dyDescent="0.3">
      <c r="A65" s="219"/>
      <c r="B65" s="220"/>
      <c r="C65" s="220"/>
      <c r="D65" s="221"/>
      <c r="E65" s="222"/>
      <c r="F65" s="222"/>
      <c r="G65" s="222"/>
      <c r="H65" s="223">
        <f t="shared" si="11"/>
        <v>0</v>
      </c>
      <c r="I65" s="224">
        <f t="shared" si="12"/>
        <v>0</v>
      </c>
      <c r="J65" s="225"/>
      <c r="K65" s="226">
        <f t="shared" si="8"/>
        <v>0</v>
      </c>
      <c r="L65" s="227">
        <f t="shared" si="2"/>
        <v>0</v>
      </c>
      <c r="M65" s="228">
        <f t="shared" si="3"/>
        <v>0</v>
      </c>
      <c r="N65" s="222"/>
      <c r="O65" s="222"/>
      <c r="P65" s="223">
        <f t="shared" si="13"/>
        <v>0</v>
      </c>
      <c r="Q65" s="224">
        <f t="shared" si="14"/>
        <v>0</v>
      </c>
      <c r="R65" s="229">
        <f t="shared" si="6"/>
        <v>0</v>
      </c>
      <c r="S65" s="230">
        <f t="shared" si="7"/>
        <v>0</v>
      </c>
      <c r="T65" s="231">
        <v>0</v>
      </c>
      <c r="U65" s="232">
        <v>0</v>
      </c>
      <c r="V65" s="232">
        <v>0</v>
      </c>
      <c r="W65" s="232">
        <v>0</v>
      </c>
      <c r="X65" s="232">
        <v>0</v>
      </c>
      <c r="Y65" s="232">
        <v>0</v>
      </c>
      <c r="Z65" s="232">
        <v>0</v>
      </c>
      <c r="AA65" s="232">
        <v>0</v>
      </c>
      <c r="AB65" s="232">
        <v>0</v>
      </c>
      <c r="AC65" s="232">
        <v>0</v>
      </c>
      <c r="AD65" s="232">
        <v>0</v>
      </c>
      <c r="AE65" s="232">
        <v>0</v>
      </c>
      <c r="AF65" s="232">
        <v>0</v>
      </c>
      <c r="AG65" s="232">
        <v>0</v>
      </c>
      <c r="AH65" s="233">
        <v>0</v>
      </c>
      <c r="AI65" s="206"/>
    </row>
    <row r="66" spans="1:35" ht="14.25" customHeight="1" x14ac:dyDescent="0.3">
      <c r="A66" s="219"/>
      <c r="B66" s="220"/>
      <c r="C66" s="220"/>
      <c r="D66" s="221"/>
      <c r="E66" s="222"/>
      <c r="F66" s="222"/>
      <c r="G66" s="222"/>
      <c r="H66" s="223">
        <f t="shared" si="11"/>
        <v>0</v>
      </c>
      <c r="I66" s="224">
        <f t="shared" si="12"/>
        <v>0</v>
      </c>
      <c r="J66" s="225"/>
      <c r="K66" s="226">
        <f t="shared" si="8"/>
        <v>0</v>
      </c>
      <c r="L66" s="227">
        <f t="shared" si="2"/>
        <v>0</v>
      </c>
      <c r="M66" s="228">
        <f t="shared" si="3"/>
        <v>0</v>
      </c>
      <c r="N66" s="222"/>
      <c r="O66" s="222"/>
      <c r="P66" s="223">
        <f t="shared" si="13"/>
        <v>0</v>
      </c>
      <c r="Q66" s="224">
        <f t="shared" si="14"/>
        <v>0</v>
      </c>
      <c r="R66" s="229">
        <f t="shared" si="6"/>
        <v>0</v>
      </c>
      <c r="S66" s="230">
        <f t="shared" si="7"/>
        <v>0</v>
      </c>
      <c r="T66" s="231">
        <v>0</v>
      </c>
      <c r="U66" s="232">
        <v>0</v>
      </c>
      <c r="V66" s="232">
        <v>0</v>
      </c>
      <c r="W66" s="232">
        <v>0</v>
      </c>
      <c r="X66" s="232">
        <v>0</v>
      </c>
      <c r="Y66" s="232">
        <v>0</v>
      </c>
      <c r="Z66" s="232">
        <v>0</v>
      </c>
      <c r="AA66" s="232">
        <v>0</v>
      </c>
      <c r="AB66" s="232">
        <v>0</v>
      </c>
      <c r="AC66" s="232">
        <v>0</v>
      </c>
      <c r="AD66" s="232">
        <v>0</v>
      </c>
      <c r="AE66" s="232">
        <v>0</v>
      </c>
      <c r="AF66" s="232">
        <v>0</v>
      </c>
      <c r="AG66" s="232">
        <v>0</v>
      </c>
      <c r="AH66" s="233">
        <v>0</v>
      </c>
      <c r="AI66" s="206"/>
    </row>
    <row r="67" spans="1:35" ht="14.25" customHeight="1" x14ac:dyDescent="0.3">
      <c r="A67" s="219"/>
      <c r="B67" s="220"/>
      <c r="C67" s="220"/>
      <c r="D67" s="221"/>
      <c r="E67" s="222"/>
      <c r="F67" s="222"/>
      <c r="G67" s="222"/>
      <c r="H67" s="223">
        <f t="shared" si="11"/>
        <v>0</v>
      </c>
      <c r="I67" s="224">
        <f t="shared" si="12"/>
        <v>0</v>
      </c>
      <c r="J67" s="225"/>
      <c r="K67" s="226">
        <f t="shared" si="8"/>
        <v>0</v>
      </c>
      <c r="L67" s="227">
        <f t="shared" si="2"/>
        <v>0</v>
      </c>
      <c r="M67" s="228">
        <f t="shared" si="3"/>
        <v>0</v>
      </c>
      <c r="N67" s="222"/>
      <c r="O67" s="222"/>
      <c r="P67" s="223">
        <f t="shared" si="13"/>
        <v>0</v>
      </c>
      <c r="Q67" s="224">
        <f t="shared" si="14"/>
        <v>0</v>
      </c>
      <c r="R67" s="229">
        <f t="shared" si="6"/>
        <v>0</v>
      </c>
      <c r="S67" s="230">
        <f t="shared" si="7"/>
        <v>0</v>
      </c>
      <c r="T67" s="231">
        <v>0</v>
      </c>
      <c r="U67" s="232">
        <v>0</v>
      </c>
      <c r="V67" s="232">
        <v>0</v>
      </c>
      <c r="W67" s="232">
        <v>0</v>
      </c>
      <c r="X67" s="232">
        <v>0</v>
      </c>
      <c r="Y67" s="232">
        <v>0</v>
      </c>
      <c r="Z67" s="232">
        <v>0</v>
      </c>
      <c r="AA67" s="232">
        <v>0</v>
      </c>
      <c r="AB67" s="232">
        <v>0</v>
      </c>
      <c r="AC67" s="232">
        <v>0</v>
      </c>
      <c r="AD67" s="232">
        <v>0</v>
      </c>
      <c r="AE67" s="232">
        <v>0</v>
      </c>
      <c r="AF67" s="232">
        <v>0</v>
      </c>
      <c r="AG67" s="232">
        <v>0</v>
      </c>
      <c r="AH67" s="233">
        <v>0</v>
      </c>
      <c r="AI67" s="206"/>
    </row>
    <row r="68" spans="1:35" ht="14.25" customHeight="1" x14ac:dyDescent="0.3">
      <c r="A68" s="219"/>
      <c r="B68" s="220"/>
      <c r="C68" s="220"/>
      <c r="D68" s="221"/>
      <c r="E68" s="222"/>
      <c r="F68" s="222"/>
      <c r="G68" s="222"/>
      <c r="H68" s="223">
        <f t="shared" si="11"/>
        <v>0</v>
      </c>
      <c r="I68" s="224">
        <f t="shared" si="12"/>
        <v>0</v>
      </c>
      <c r="J68" s="225"/>
      <c r="K68" s="226">
        <f t="shared" si="8"/>
        <v>0</v>
      </c>
      <c r="L68" s="227">
        <f t="shared" si="2"/>
        <v>0</v>
      </c>
      <c r="M68" s="228">
        <f t="shared" si="3"/>
        <v>0</v>
      </c>
      <c r="N68" s="222"/>
      <c r="O68" s="222"/>
      <c r="P68" s="223">
        <f t="shared" si="13"/>
        <v>0</v>
      </c>
      <c r="Q68" s="224">
        <f t="shared" si="14"/>
        <v>0</v>
      </c>
      <c r="R68" s="229">
        <f t="shared" si="6"/>
        <v>0</v>
      </c>
      <c r="S68" s="230">
        <f t="shared" si="7"/>
        <v>0</v>
      </c>
      <c r="T68" s="231">
        <v>0</v>
      </c>
      <c r="U68" s="232">
        <v>0</v>
      </c>
      <c r="V68" s="232">
        <v>0</v>
      </c>
      <c r="W68" s="232">
        <v>0</v>
      </c>
      <c r="X68" s="232">
        <v>0</v>
      </c>
      <c r="Y68" s="232">
        <v>0</v>
      </c>
      <c r="Z68" s="232">
        <v>0</v>
      </c>
      <c r="AA68" s="232">
        <v>0</v>
      </c>
      <c r="AB68" s="232">
        <v>0</v>
      </c>
      <c r="AC68" s="232">
        <v>0</v>
      </c>
      <c r="AD68" s="232">
        <v>0</v>
      </c>
      <c r="AE68" s="232">
        <v>0</v>
      </c>
      <c r="AF68" s="232">
        <v>0</v>
      </c>
      <c r="AG68" s="232">
        <v>0</v>
      </c>
      <c r="AH68" s="233">
        <v>0</v>
      </c>
      <c r="AI68" s="206"/>
    </row>
    <row r="69" spans="1:35" ht="14.25" customHeight="1" x14ac:dyDescent="0.3">
      <c r="A69" s="219"/>
      <c r="B69" s="220"/>
      <c r="C69" s="220"/>
      <c r="D69" s="221"/>
      <c r="E69" s="222"/>
      <c r="F69" s="222"/>
      <c r="G69" s="222"/>
      <c r="H69" s="223">
        <f t="shared" si="11"/>
        <v>0</v>
      </c>
      <c r="I69" s="224">
        <f t="shared" si="12"/>
        <v>0</v>
      </c>
      <c r="J69" s="225"/>
      <c r="K69" s="226">
        <f t="shared" si="8"/>
        <v>0</v>
      </c>
      <c r="L69" s="227">
        <f t="shared" si="2"/>
        <v>0</v>
      </c>
      <c r="M69" s="228">
        <f t="shared" si="3"/>
        <v>0</v>
      </c>
      <c r="N69" s="222"/>
      <c r="O69" s="222"/>
      <c r="P69" s="223">
        <f t="shared" si="13"/>
        <v>0</v>
      </c>
      <c r="Q69" s="224">
        <f t="shared" si="14"/>
        <v>0</v>
      </c>
      <c r="R69" s="229">
        <f t="shared" si="6"/>
        <v>0</v>
      </c>
      <c r="S69" s="230">
        <f t="shared" si="7"/>
        <v>0</v>
      </c>
      <c r="T69" s="231">
        <v>0</v>
      </c>
      <c r="U69" s="232">
        <v>0</v>
      </c>
      <c r="V69" s="232">
        <v>0</v>
      </c>
      <c r="W69" s="232">
        <v>0</v>
      </c>
      <c r="X69" s="232">
        <v>0</v>
      </c>
      <c r="Y69" s="232">
        <v>0</v>
      </c>
      <c r="Z69" s="232">
        <v>0</v>
      </c>
      <c r="AA69" s="232">
        <v>0</v>
      </c>
      <c r="AB69" s="232">
        <v>0</v>
      </c>
      <c r="AC69" s="232">
        <v>0</v>
      </c>
      <c r="AD69" s="232">
        <v>0</v>
      </c>
      <c r="AE69" s="232">
        <v>0</v>
      </c>
      <c r="AF69" s="232">
        <v>0</v>
      </c>
      <c r="AG69" s="232">
        <v>0</v>
      </c>
      <c r="AH69" s="233">
        <v>0</v>
      </c>
      <c r="AI69" s="206"/>
    </row>
    <row r="70" spans="1:35" ht="14.25" customHeight="1" x14ac:dyDescent="0.3">
      <c r="A70" s="219"/>
      <c r="B70" s="220"/>
      <c r="C70" s="220"/>
      <c r="D70" s="221"/>
      <c r="E70" s="222"/>
      <c r="F70" s="222"/>
      <c r="G70" s="222"/>
      <c r="H70" s="223">
        <f t="shared" si="11"/>
        <v>0</v>
      </c>
      <c r="I70" s="224">
        <f t="shared" si="12"/>
        <v>0</v>
      </c>
      <c r="J70" s="225"/>
      <c r="K70" s="226">
        <f t="shared" si="8"/>
        <v>0</v>
      </c>
      <c r="L70" s="227">
        <f t="shared" si="2"/>
        <v>0</v>
      </c>
      <c r="M70" s="228">
        <f t="shared" si="3"/>
        <v>0</v>
      </c>
      <c r="N70" s="222"/>
      <c r="O70" s="222"/>
      <c r="P70" s="223">
        <f t="shared" si="13"/>
        <v>0</v>
      </c>
      <c r="Q70" s="224">
        <f t="shared" si="14"/>
        <v>0</v>
      </c>
      <c r="R70" s="229">
        <f t="shared" si="6"/>
        <v>0</v>
      </c>
      <c r="S70" s="230">
        <f t="shared" si="7"/>
        <v>0</v>
      </c>
      <c r="T70" s="231">
        <v>0</v>
      </c>
      <c r="U70" s="232">
        <v>0</v>
      </c>
      <c r="V70" s="232">
        <v>0</v>
      </c>
      <c r="W70" s="232">
        <v>0</v>
      </c>
      <c r="X70" s="232">
        <v>0</v>
      </c>
      <c r="Y70" s="232">
        <v>0</v>
      </c>
      <c r="Z70" s="232">
        <v>0</v>
      </c>
      <c r="AA70" s="232">
        <v>0</v>
      </c>
      <c r="AB70" s="232">
        <v>0</v>
      </c>
      <c r="AC70" s="232">
        <v>0</v>
      </c>
      <c r="AD70" s="232">
        <v>0</v>
      </c>
      <c r="AE70" s="232">
        <v>0</v>
      </c>
      <c r="AF70" s="232">
        <v>0</v>
      </c>
      <c r="AG70" s="232">
        <v>0</v>
      </c>
      <c r="AH70" s="233">
        <v>0</v>
      </c>
      <c r="AI70" s="206"/>
    </row>
    <row r="71" spans="1:35" ht="14.25" customHeight="1" x14ac:dyDescent="0.3">
      <c r="A71" s="219"/>
      <c r="B71" s="220"/>
      <c r="C71" s="220"/>
      <c r="D71" s="221"/>
      <c r="E71" s="222"/>
      <c r="F71" s="222"/>
      <c r="G71" s="222"/>
      <c r="H71" s="223">
        <f t="shared" si="11"/>
        <v>0</v>
      </c>
      <c r="I71" s="224">
        <f t="shared" si="12"/>
        <v>0</v>
      </c>
      <c r="J71" s="225"/>
      <c r="K71" s="226">
        <f t="shared" si="8"/>
        <v>0</v>
      </c>
      <c r="L71" s="227">
        <f t="shared" si="2"/>
        <v>0</v>
      </c>
      <c r="M71" s="228">
        <f t="shared" si="3"/>
        <v>0</v>
      </c>
      <c r="N71" s="222"/>
      <c r="O71" s="222"/>
      <c r="P71" s="223">
        <f t="shared" si="13"/>
        <v>0</v>
      </c>
      <c r="Q71" s="224">
        <f t="shared" si="14"/>
        <v>0</v>
      </c>
      <c r="R71" s="229">
        <f t="shared" si="6"/>
        <v>0</v>
      </c>
      <c r="S71" s="230">
        <f t="shared" si="7"/>
        <v>0</v>
      </c>
      <c r="T71" s="231">
        <v>0</v>
      </c>
      <c r="U71" s="232">
        <v>0</v>
      </c>
      <c r="V71" s="232">
        <v>0</v>
      </c>
      <c r="W71" s="232">
        <v>0</v>
      </c>
      <c r="X71" s="232">
        <v>0</v>
      </c>
      <c r="Y71" s="232">
        <v>0</v>
      </c>
      <c r="Z71" s="232">
        <v>0</v>
      </c>
      <c r="AA71" s="232">
        <v>0</v>
      </c>
      <c r="AB71" s="232">
        <v>0</v>
      </c>
      <c r="AC71" s="232">
        <v>0</v>
      </c>
      <c r="AD71" s="232">
        <v>0</v>
      </c>
      <c r="AE71" s="232">
        <v>0</v>
      </c>
      <c r="AF71" s="232">
        <v>0</v>
      </c>
      <c r="AG71" s="232">
        <v>0</v>
      </c>
      <c r="AH71" s="233">
        <v>0</v>
      </c>
      <c r="AI71" s="206"/>
    </row>
    <row r="72" spans="1:35" ht="14.25" customHeight="1" x14ac:dyDescent="0.3">
      <c r="A72" s="219"/>
      <c r="B72" s="220"/>
      <c r="C72" s="220"/>
      <c r="D72" s="221"/>
      <c r="E72" s="222"/>
      <c r="F72" s="222"/>
      <c r="G72" s="222"/>
      <c r="H72" s="223">
        <f t="shared" si="11"/>
        <v>0</v>
      </c>
      <c r="I72" s="224">
        <f t="shared" si="12"/>
        <v>0</v>
      </c>
      <c r="J72" s="225"/>
      <c r="K72" s="226">
        <f t="shared" si="8"/>
        <v>0</v>
      </c>
      <c r="L72" s="227">
        <f t="shared" si="2"/>
        <v>0</v>
      </c>
      <c r="M72" s="228">
        <f t="shared" si="3"/>
        <v>0</v>
      </c>
      <c r="N72" s="222"/>
      <c r="O72" s="222"/>
      <c r="P72" s="223">
        <f t="shared" si="13"/>
        <v>0</v>
      </c>
      <c r="Q72" s="224">
        <f t="shared" si="14"/>
        <v>0</v>
      </c>
      <c r="R72" s="229">
        <f t="shared" si="6"/>
        <v>0</v>
      </c>
      <c r="S72" s="230">
        <f t="shared" si="7"/>
        <v>0</v>
      </c>
      <c r="T72" s="231">
        <v>0</v>
      </c>
      <c r="U72" s="232">
        <v>0</v>
      </c>
      <c r="V72" s="232">
        <v>0</v>
      </c>
      <c r="W72" s="232">
        <v>0</v>
      </c>
      <c r="X72" s="232">
        <v>0</v>
      </c>
      <c r="Y72" s="232">
        <v>0</v>
      </c>
      <c r="Z72" s="232">
        <v>0</v>
      </c>
      <c r="AA72" s="232">
        <v>0</v>
      </c>
      <c r="AB72" s="232">
        <v>0</v>
      </c>
      <c r="AC72" s="232">
        <v>0</v>
      </c>
      <c r="AD72" s="232">
        <v>0</v>
      </c>
      <c r="AE72" s="232">
        <v>0</v>
      </c>
      <c r="AF72" s="232">
        <v>0</v>
      </c>
      <c r="AG72" s="232">
        <v>0</v>
      </c>
      <c r="AH72" s="233">
        <v>0</v>
      </c>
      <c r="AI72" s="206"/>
    </row>
    <row r="73" spans="1:35" ht="14.25" customHeight="1" x14ac:dyDescent="0.3">
      <c r="A73" s="219"/>
      <c r="B73" s="220"/>
      <c r="C73" s="220"/>
      <c r="D73" s="221"/>
      <c r="E73" s="222"/>
      <c r="F73" s="222"/>
      <c r="G73" s="222"/>
      <c r="H73" s="223">
        <f t="shared" si="11"/>
        <v>0</v>
      </c>
      <c r="I73" s="224">
        <f t="shared" si="12"/>
        <v>0</v>
      </c>
      <c r="J73" s="225"/>
      <c r="K73" s="226">
        <f t="shared" si="8"/>
        <v>0</v>
      </c>
      <c r="L73" s="227">
        <f t="shared" ref="L73:L99" si="15">E73-M73</f>
        <v>0</v>
      </c>
      <c r="M73" s="228">
        <f t="shared" si="3"/>
        <v>0</v>
      </c>
      <c r="N73" s="222"/>
      <c r="O73" s="222"/>
      <c r="P73" s="223">
        <f t="shared" si="13"/>
        <v>0</v>
      </c>
      <c r="Q73" s="224">
        <f t="shared" si="14"/>
        <v>0</v>
      </c>
      <c r="R73" s="229">
        <f t="shared" si="6"/>
        <v>0</v>
      </c>
      <c r="S73" s="230">
        <f t="shared" si="7"/>
        <v>0</v>
      </c>
      <c r="T73" s="231">
        <v>0</v>
      </c>
      <c r="U73" s="232">
        <v>0</v>
      </c>
      <c r="V73" s="232">
        <v>0</v>
      </c>
      <c r="W73" s="232">
        <v>0</v>
      </c>
      <c r="X73" s="232">
        <v>0</v>
      </c>
      <c r="Y73" s="232">
        <v>0</v>
      </c>
      <c r="Z73" s="232">
        <v>0</v>
      </c>
      <c r="AA73" s="232">
        <v>0</v>
      </c>
      <c r="AB73" s="232">
        <v>0</v>
      </c>
      <c r="AC73" s="232">
        <v>0</v>
      </c>
      <c r="AD73" s="232">
        <v>0</v>
      </c>
      <c r="AE73" s="232">
        <v>0</v>
      </c>
      <c r="AF73" s="232">
        <v>0</v>
      </c>
      <c r="AG73" s="232">
        <v>0</v>
      </c>
      <c r="AH73" s="233">
        <v>0</v>
      </c>
      <c r="AI73" s="206"/>
    </row>
    <row r="74" spans="1:35" ht="14.25" customHeight="1" x14ac:dyDescent="0.3">
      <c r="A74" s="219"/>
      <c r="B74" s="220"/>
      <c r="C74" s="220"/>
      <c r="D74" s="221"/>
      <c r="E74" s="222"/>
      <c r="F74" s="222"/>
      <c r="G74" s="222"/>
      <c r="H74" s="223">
        <f t="shared" si="11"/>
        <v>0</v>
      </c>
      <c r="I74" s="224">
        <f t="shared" si="12"/>
        <v>0</v>
      </c>
      <c r="J74" s="225"/>
      <c r="K74" s="226">
        <f t="shared" si="8"/>
        <v>0</v>
      </c>
      <c r="L74" s="227">
        <f t="shared" si="15"/>
        <v>0</v>
      </c>
      <c r="M74" s="228">
        <f t="shared" ref="M74:M99" si="16">T74+U74+V74+W74+X74+Y74+Z74+AA74+AB74+AC74+AD74+AE74+AF74+AG74+AH74</f>
        <v>0</v>
      </c>
      <c r="N74" s="222"/>
      <c r="O74" s="222"/>
      <c r="P74" s="223">
        <f t="shared" si="13"/>
        <v>0</v>
      </c>
      <c r="Q74" s="224">
        <f t="shared" si="14"/>
        <v>0</v>
      </c>
      <c r="R74" s="229">
        <f t="shared" ref="R74:R82" si="17">J74</f>
        <v>0</v>
      </c>
      <c r="S74" s="230">
        <f t="shared" ref="S74:S99" si="18">Q74*R74</f>
        <v>0</v>
      </c>
      <c r="T74" s="231">
        <v>0</v>
      </c>
      <c r="U74" s="232">
        <v>0</v>
      </c>
      <c r="V74" s="232">
        <v>0</v>
      </c>
      <c r="W74" s="232">
        <v>0</v>
      </c>
      <c r="X74" s="232">
        <v>0</v>
      </c>
      <c r="Y74" s="232">
        <v>0</v>
      </c>
      <c r="Z74" s="232">
        <v>0</v>
      </c>
      <c r="AA74" s="232">
        <v>0</v>
      </c>
      <c r="AB74" s="232">
        <v>0</v>
      </c>
      <c r="AC74" s="232">
        <v>0</v>
      </c>
      <c r="AD74" s="232">
        <v>0</v>
      </c>
      <c r="AE74" s="232">
        <v>0</v>
      </c>
      <c r="AF74" s="232">
        <v>0</v>
      </c>
      <c r="AG74" s="232">
        <v>0</v>
      </c>
      <c r="AH74" s="233">
        <v>0</v>
      </c>
      <c r="AI74" s="206"/>
    </row>
    <row r="75" spans="1:35" ht="14.25" customHeight="1" x14ac:dyDescent="0.3">
      <c r="A75" s="219"/>
      <c r="B75" s="220"/>
      <c r="C75" s="220"/>
      <c r="D75" s="221"/>
      <c r="E75" s="222"/>
      <c r="F75" s="222"/>
      <c r="G75" s="222"/>
      <c r="H75" s="223">
        <f t="shared" si="11"/>
        <v>0</v>
      </c>
      <c r="I75" s="224">
        <f t="shared" si="12"/>
        <v>0</v>
      </c>
      <c r="J75" s="225"/>
      <c r="K75" s="226">
        <f t="shared" ref="K75:K99" si="19">J75*I75</f>
        <v>0</v>
      </c>
      <c r="L75" s="227">
        <f t="shared" si="15"/>
        <v>0</v>
      </c>
      <c r="M75" s="228">
        <f t="shared" si="16"/>
        <v>0</v>
      </c>
      <c r="N75" s="222"/>
      <c r="O75" s="222"/>
      <c r="P75" s="223">
        <f t="shared" si="13"/>
        <v>0</v>
      </c>
      <c r="Q75" s="224">
        <f t="shared" si="14"/>
        <v>0</v>
      </c>
      <c r="R75" s="229">
        <f t="shared" si="17"/>
        <v>0</v>
      </c>
      <c r="S75" s="230">
        <f t="shared" si="18"/>
        <v>0</v>
      </c>
      <c r="T75" s="231">
        <v>0</v>
      </c>
      <c r="U75" s="232">
        <v>0</v>
      </c>
      <c r="V75" s="232">
        <v>0</v>
      </c>
      <c r="W75" s="232">
        <v>0</v>
      </c>
      <c r="X75" s="232">
        <v>0</v>
      </c>
      <c r="Y75" s="232">
        <v>0</v>
      </c>
      <c r="Z75" s="232">
        <v>0</v>
      </c>
      <c r="AA75" s="232">
        <v>0</v>
      </c>
      <c r="AB75" s="232">
        <v>0</v>
      </c>
      <c r="AC75" s="232">
        <v>0</v>
      </c>
      <c r="AD75" s="232">
        <v>0</v>
      </c>
      <c r="AE75" s="232">
        <v>0</v>
      </c>
      <c r="AF75" s="232">
        <v>0</v>
      </c>
      <c r="AG75" s="232">
        <v>0</v>
      </c>
      <c r="AH75" s="233">
        <v>0</v>
      </c>
      <c r="AI75" s="206"/>
    </row>
    <row r="76" spans="1:35" ht="14.25" customHeight="1" x14ac:dyDescent="0.3">
      <c r="A76" s="219"/>
      <c r="B76" s="220"/>
      <c r="C76" s="220"/>
      <c r="D76" s="221"/>
      <c r="E76" s="222"/>
      <c r="F76" s="222"/>
      <c r="G76" s="222"/>
      <c r="H76" s="223">
        <f t="shared" si="11"/>
        <v>0</v>
      </c>
      <c r="I76" s="224">
        <f t="shared" si="12"/>
        <v>0</v>
      </c>
      <c r="J76" s="225"/>
      <c r="K76" s="226">
        <f t="shared" si="19"/>
        <v>0</v>
      </c>
      <c r="L76" s="227">
        <f t="shared" si="15"/>
        <v>0</v>
      </c>
      <c r="M76" s="228">
        <f t="shared" si="16"/>
        <v>0</v>
      </c>
      <c r="N76" s="222"/>
      <c r="O76" s="222"/>
      <c r="P76" s="223">
        <f t="shared" si="13"/>
        <v>0</v>
      </c>
      <c r="Q76" s="224">
        <f t="shared" si="14"/>
        <v>0</v>
      </c>
      <c r="R76" s="229">
        <f t="shared" si="17"/>
        <v>0</v>
      </c>
      <c r="S76" s="230">
        <f t="shared" si="18"/>
        <v>0</v>
      </c>
      <c r="T76" s="231">
        <v>0</v>
      </c>
      <c r="U76" s="232">
        <v>0</v>
      </c>
      <c r="V76" s="232">
        <v>0</v>
      </c>
      <c r="W76" s="232">
        <v>0</v>
      </c>
      <c r="X76" s="232">
        <v>0</v>
      </c>
      <c r="Y76" s="232">
        <v>0</v>
      </c>
      <c r="Z76" s="232">
        <v>0</v>
      </c>
      <c r="AA76" s="232">
        <v>0</v>
      </c>
      <c r="AB76" s="232">
        <v>0</v>
      </c>
      <c r="AC76" s="232">
        <v>0</v>
      </c>
      <c r="AD76" s="232">
        <v>0</v>
      </c>
      <c r="AE76" s="232">
        <v>0</v>
      </c>
      <c r="AF76" s="232">
        <v>0</v>
      </c>
      <c r="AG76" s="232">
        <v>0</v>
      </c>
      <c r="AH76" s="233">
        <v>0</v>
      </c>
      <c r="AI76" s="206"/>
    </row>
    <row r="77" spans="1:35" ht="14.25" customHeight="1" x14ac:dyDescent="0.3">
      <c r="A77" s="219"/>
      <c r="B77" s="220"/>
      <c r="C77" s="220"/>
      <c r="D77" s="221"/>
      <c r="E77" s="222"/>
      <c r="F77" s="222"/>
      <c r="G77" s="222"/>
      <c r="H77" s="223">
        <f t="shared" si="11"/>
        <v>0</v>
      </c>
      <c r="I77" s="224">
        <f t="shared" si="12"/>
        <v>0</v>
      </c>
      <c r="J77" s="225"/>
      <c r="K77" s="226">
        <f t="shared" si="19"/>
        <v>0</v>
      </c>
      <c r="L77" s="227">
        <f t="shared" si="15"/>
        <v>0</v>
      </c>
      <c r="M77" s="228">
        <f t="shared" si="16"/>
        <v>0</v>
      </c>
      <c r="N77" s="222"/>
      <c r="O77" s="222"/>
      <c r="P77" s="223">
        <f t="shared" si="13"/>
        <v>0</v>
      </c>
      <c r="Q77" s="224">
        <f t="shared" si="14"/>
        <v>0</v>
      </c>
      <c r="R77" s="229">
        <f t="shared" si="17"/>
        <v>0</v>
      </c>
      <c r="S77" s="230">
        <f t="shared" si="18"/>
        <v>0</v>
      </c>
      <c r="T77" s="231">
        <v>0</v>
      </c>
      <c r="U77" s="232">
        <v>0</v>
      </c>
      <c r="V77" s="232">
        <v>0</v>
      </c>
      <c r="W77" s="232">
        <v>0</v>
      </c>
      <c r="X77" s="232">
        <v>0</v>
      </c>
      <c r="Y77" s="232">
        <v>0</v>
      </c>
      <c r="Z77" s="232">
        <v>0</v>
      </c>
      <c r="AA77" s="232">
        <v>0</v>
      </c>
      <c r="AB77" s="232">
        <v>0</v>
      </c>
      <c r="AC77" s="232">
        <v>0</v>
      </c>
      <c r="AD77" s="232">
        <v>0</v>
      </c>
      <c r="AE77" s="232">
        <v>0</v>
      </c>
      <c r="AF77" s="232">
        <v>0</v>
      </c>
      <c r="AG77" s="232">
        <v>0</v>
      </c>
      <c r="AH77" s="233">
        <v>0</v>
      </c>
      <c r="AI77" s="206"/>
    </row>
    <row r="78" spans="1:35" ht="14.25" customHeight="1" x14ac:dyDescent="0.3">
      <c r="A78" s="234"/>
      <c r="B78" s="235"/>
      <c r="C78" s="235"/>
      <c r="D78" s="236"/>
      <c r="E78" s="237"/>
      <c r="F78" s="237"/>
      <c r="G78" s="237"/>
      <c r="H78" s="238">
        <f t="shared" si="11"/>
        <v>0</v>
      </c>
      <c r="I78" s="239">
        <f t="shared" si="12"/>
        <v>0</v>
      </c>
      <c r="J78" s="240"/>
      <c r="K78" s="241">
        <f t="shared" si="19"/>
        <v>0</v>
      </c>
      <c r="L78" s="227">
        <f t="shared" si="15"/>
        <v>0</v>
      </c>
      <c r="M78" s="228">
        <f t="shared" si="16"/>
        <v>0</v>
      </c>
      <c r="N78" s="237"/>
      <c r="O78" s="237"/>
      <c r="P78" s="238">
        <f t="shared" si="13"/>
        <v>0</v>
      </c>
      <c r="Q78" s="239">
        <f t="shared" si="14"/>
        <v>0</v>
      </c>
      <c r="R78" s="242">
        <f t="shared" si="17"/>
        <v>0</v>
      </c>
      <c r="S78" s="243">
        <f t="shared" si="18"/>
        <v>0</v>
      </c>
      <c r="T78" s="244">
        <v>0</v>
      </c>
      <c r="U78" s="245">
        <v>0</v>
      </c>
      <c r="V78" s="245">
        <v>0</v>
      </c>
      <c r="W78" s="245">
        <v>0</v>
      </c>
      <c r="X78" s="245">
        <v>0</v>
      </c>
      <c r="Y78" s="245">
        <v>0</v>
      </c>
      <c r="Z78" s="245">
        <v>0</v>
      </c>
      <c r="AA78" s="245">
        <v>0</v>
      </c>
      <c r="AB78" s="245">
        <v>0</v>
      </c>
      <c r="AC78" s="245">
        <v>0</v>
      </c>
      <c r="AD78" s="245">
        <v>0</v>
      </c>
      <c r="AE78" s="245">
        <v>0</v>
      </c>
      <c r="AF78" s="245">
        <v>0</v>
      </c>
      <c r="AG78" s="245">
        <v>0</v>
      </c>
      <c r="AH78" s="246">
        <v>0</v>
      </c>
      <c r="AI78" s="206"/>
    </row>
    <row r="79" spans="1:35" ht="14.25" customHeight="1" x14ac:dyDescent="0.3">
      <c r="A79" s="234"/>
      <c r="B79" s="235"/>
      <c r="C79" s="235"/>
      <c r="D79" s="236"/>
      <c r="E79" s="237"/>
      <c r="F79" s="237"/>
      <c r="G79" s="237"/>
      <c r="H79" s="238">
        <f t="shared" si="11"/>
        <v>0</v>
      </c>
      <c r="I79" s="239">
        <f t="shared" si="12"/>
        <v>0</v>
      </c>
      <c r="J79" s="240"/>
      <c r="K79" s="241">
        <f t="shared" si="19"/>
        <v>0</v>
      </c>
      <c r="L79" s="227">
        <f t="shared" si="15"/>
        <v>0</v>
      </c>
      <c r="M79" s="228">
        <f t="shared" si="16"/>
        <v>0</v>
      </c>
      <c r="N79" s="237"/>
      <c r="O79" s="237"/>
      <c r="P79" s="238">
        <f t="shared" si="13"/>
        <v>0</v>
      </c>
      <c r="Q79" s="239">
        <f t="shared" si="14"/>
        <v>0</v>
      </c>
      <c r="R79" s="242">
        <f t="shared" si="17"/>
        <v>0</v>
      </c>
      <c r="S79" s="243">
        <f t="shared" si="18"/>
        <v>0</v>
      </c>
      <c r="T79" s="244">
        <v>0</v>
      </c>
      <c r="U79" s="245">
        <v>0</v>
      </c>
      <c r="V79" s="245">
        <v>0</v>
      </c>
      <c r="W79" s="245">
        <v>0</v>
      </c>
      <c r="X79" s="245">
        <v>0</v>
      </c>
      <c r="Y79" s="245">
        <v>0</v>
      </c>
      <c r="Z79" s="245">
        <v>0</v>
      </c>
      <c r="AA79" s="245">
        <v>0</v>
      </c>
      <c r="AB79" s="245">
        <v>0</v>
      </c>
      <c r="AC79" s="245">
        <v>0</v>
      </c>
      <c r="AD79" s="245">
        <v>0</v>
      </c>
      <c r="AE79" s="245">
        <v>0</v>
      </c>
      <c r="AF79" s="245">
        <v>0</v>
      </c>
      <c r="AG79" s="245">
        <v>0</v>
      </c>
      <c r="AH79" s="246">
        <v>0</v>
      </c>
      <c r="AI79" s="206"/>
    </row>
    <row r="80" spans="1:35" ht="14.25" customHeight="1" x14ac:dyDescent="0.3">
      <c r="A80" s="234"/>
      <c r="B80" s="235"/>
      <c r="C80" s="235"/>
      <c r="D80" s="236"/>
      <c r="E80" s="237"/>
      <c r="F80" s="237"/>
      <c r="G80" s="237"/>
      <c r="H80" s="238">
        <f t="shared" si="11"/>
        <v>0</v>
      </c>
      <c r="I80" s="239">
        <f t="shared" si="12"/>
        <v>0</v>
      </c>
      <c r="J80" s="240"/>
      <c r="K80" s="241">
        <f t="shared" si="19"/>
        <v>0</v>
      </c>
      <c r="L80" s="227">
        <f t="shared" si="15"/>
        <v>0</v>
      </c>
      <c r="M80" s="228">
        <f t="shared" si="16"/>
        <v>0</v>
      </c>
      <c r="N80" s="237"/>
      <c r="O80" s="237"/>
      <c r="P80" s="238">
        <f t="shared" si="13"/>
        <v>0</v>
      </c>
      <c r="Q80" s="239">
        <f t="shared" si="14"/>
        <v>0</v>
      </c>
      <c r="R80" s="242">
        <f t="shared" si="17"/>
        <v>0</v>
      </c>
      <c r="S80" s="243">
        <f t="shared" si="18"/>
        <v>0</v>
      </c>
      <c r="T80" s="244">
        <v>0</v>
      </c>
      <c r="U80" s="245">
        <v>0</v>
      </c>
      <c r="V80" s="245">
        <v>0</v>
      </c>
      <c r="W80" s="245">
        <v>0</v>
      </c>
      <c r="X80" s="245">
        <v>0</v>
      </c>
      <c r="Y80" s="245">
        <v>0</v>
      </c>
      <c r="Z80" s="245">
        <v>0</v>
      </c>
      <c r="AA80" s="245">
        <v>0</v>
      </c>
      <c r="AB80" s="245">
        <v>0</v>
      </c>
      <c r="AC80" s="245">
        <v>0</v>
      </c>
      <c r="AD80" s="245">
        <v>0</v>
      </c>
      <c r="AE80" s="245">
        <v>0</v>
      </c>
      <c r="AF80" s="245">
        <v>0</v>
      </c>
      <c r="AG80" s="245">
        <v>0</v>
      </c>
      <c r="AH80" s="246">
        <v>0</v>
      </c>
      <c r="AI80" s="206"/>
    </row>
    <row r="81" spans="1:35" ht="14.25" customHeight="1" x14ac:dyDescent="0.3">
      <c r="A81" s="234"/>
      <c r="B81" s="235"/>
      <c r="C81" s="235"/>
      <c r="D81" s="236"/>
      <c r="E81" s="237"/>
      <c r="F81" s="237"/>
      <c r="G81" s="237"/>
      <c r="H81" s="238">
        <f t="shared" si="11"/>
        <v>0</v>
      </c>
      <c r="I81" s="239">
        <f t="shared" si="12"/>
        <v>0</v>
      </c>
      <c r="J81" s="240"/>
      <c r="K81" s="241">
        <f t="shared" si="19"/>
        <v>0</v>
      </c>
      <c r="L81" s="227">
        <f t="shared" si="15"/>
        <v>0</v>
      </c>
      <c r="M81" s="228">
        <f t="shared" si="16"/>
        <v>0</v>
      </c>
      <c r="N81" s="237"/>
      <c r="O81" s="237"/>
      <c r="P81" s="238">
        <f t="shared" si="13"/>
        <v>0</v>
      </c>
      <c r="Q81" s="239">
        <f t="shared" si="14"/>
        <v>0</v>
      </c>
      <c r="R81" s="242">
        <f t="shared" si="17"/>
        <v>0</v>
      </c>
      <c r="S81" s="243">
        <f t="shared" si="18"/>
        <v>0</v>
      </c>
      <c r="T81" s="244">
        <v>0</v>
      </c>
      <c r="U81" s="245">
        <v>0</v>
      </c>
      <c r="V81" s="245">
        <v>0</v>
      </c>
      <c r="W81" s="245">
        <v>0</v>
      </c>
      <c r="X81" s="245">
        <v>0</v>
      </c>
      <c r="Y81" s="245">
        <v>0</v>
      </c>
      <c r="Z81" s="245">
        <v>0</v>
      </c>
      <c r="AA81" s="245">
        <v>0</v>
      </c>
      <c r="AB81" s="245">
        <v>0</v>
      </c>
      <c r="AC81" s="245">
        <v>0</v>
      </c>
      <c r="AD81" s="245">
        <v>0</v>
      </c>
      <c r="AE81" s="245">
        <v>0</v>
      </c>
      <c r="AF81" s="245">
        <v>0</v>
      </c>
      <c r="AG81" s="245">
        <v>0</v>
      </c>
      <c r="AH81" s="246">
        <v>0</v>
      </c>
      <c r="AI81" s="206"/>
    </row>
    <row r="82" spans="1:35" ht="14.25" customHeight="1" x14ac:dyDescent="0.3">
      <c r="A82" s="247"/>
      <c r="B82" s="248"/>
      <c r="C82" s="248"/>
      <c r="D82" s="249"/>
      <c r="E82" s="250"/>
      <c r="F82" s="250"/>
      <c r="G82" s="250"/>
      <c r="H82" s="251">
        <f t="shared" si="11"/>
        <v>0</v>
      </c>
      <c r="I82" s="252">
        <f t="shared" si="12"/>
        <v>0</v>
      </c>
      <c r="J82" s="253"/>
      <c r="K82" s="254">
        <f t="shared" si="19"/>
        <v>0</v>
      </c>
      <c r="L82" s="227">
        <f t="shared" si="15"/>
        <v>0</v>
      </c>
      <c r="M82" s="228">
        <f t="shared" si="16"/>
        <v>0</v>
      </c>
      <c r="N82" s="250"/>
      <c r="O82" s="250"/>
      <c r="P82" s="251">
        <f t="shared" si="13"/>
        <v>0</v>
      </c>
      <c r="Q82" s="252">
        <f t="shared" si="14"/>
        <v>0</v>
      </c>
      <c r="R82" s="255">
        <f t="shared" si="17"/>
        <v>0</v>
      </c>
      <c r="S82" s="256">
        <f t="shared" si="18"/>
        <v>0</v>
      </c>
      <c r="T82" s="257"/>
      <c r="U82" s="258">
        <v>0</v>
      </c>
      <c r="V82" s="258">
        <v>0</v>
      </c>
      <c r="W82" s="258">
        <v>0</v>
      </c>
      <c r="X82" s="258">
        <v>0</v>
      </c>
      <c r="Y82" s="258">
        <v>0</v>
      </c>
      <c r="Z82" s="258">
        <v>0</v>
      </c>
      <c r="AA82" s="258">
        <v>0</v>
      </c>
      <c r="AB82" s="258">
        <v>0</v>
      </c>
      <c r="AC82" s="258">
        <v>0</v>
      </c>
      <c r="AD82" s="258">
        <v>0</v>
      </c>
      <c r="AE82" s="258">
        <v>0</v>
      </c>
      <c r="AF82" s="258">
        <v>0</v>
      </c>
      <c r="AG82" s="258">
        <v>0</v>
      </c>
      <c r="AH82" s="259">
        <v>0</v>
      </c>
      <c r="AI82" s="206"/>
    </row>
    <row r="83" spans="1:35" ht="14.25" customHeight="1" x14ac:dyDescent="0.3">
      <c r="A83" s="247"/>
      <c r="B83" s="248"/>
      <c r="C83" s="248"/>
      <c r="D83" s="249"/>
      <c r="E83" s="250"/>
      <c r="F83" s="250"/>
      <c r="G83" s="250"/>
      <c r="H83" s="251">
        <f t="shared" si="11"/>
        <v>0</v>
      </c>
      <c r="I83" s="252">
        <f t="shared" si="12"/>
        <v>0</v>
      </c>
      <c r="J83" s="253"/>
      <c r="K83" s="254">
        <f t="shared" si="19"/>
        <v>0</v>
      </c>
      <c r="L83" s="227">
        <f t="shared" si="15"/>
        <v>0</v>
      </c>
      <c r="M83" s="228">
        <f t="shared" si="16"/>
        <v>0</v>
      </c>
      <c r="N83" s="250"/>
      <c r="O83" s="250"/>
      <c r="P83" s="251">
        <f t="shared" si="13"/>
        <v>0</v>
      </c>
      <c r="Q83" s="252">
        <f t="shared" si="14"/>
        <v>0</v>
      </c>
      <c r="R83" s="255">
        <f t="shared" ref="R83:R99" si="20">J83</f>
        <v>0</v>
      </c>
      <c r="S83" s="256">
        <f t="shared" si="18"/>
        <v>0</v>
      </c>
      <c r="T83" s="257"/>
      <c r="U83" s="258">
        <v>0</v>
      </c>
      <c r="V83" s="258">
        <v>0</v>
      </c>
      <c r="W83" s="258">
        <v>0</v>
      </c>
      <c r="X83" s="258">
        <v>0</v>
      </c>
      <c r="Y83" s="258">
        <v>0</v>
      </c>
      <c r="Z83" s="258">
        <v>0</v>
      </c>
      <c r="AA83" s="258">
        <v>0</v>
      </c>
      <c r="AB83" s="258">
        <v>0</v>
      </c>
      <c r="AC83" s="258">
        <v>0</v>
      </c>
      <c r="AD83" s="258">
        <v>0</v>
      </c>
      <c r="AE83" s="258">
        <v>0</v>
      </c>
      <c r="AF83" s="258">
        <v>0</v>
      </c>
      <c r="AG83" s="258">
        <v>0</v>
      </c>
      <c r="AH83" s="259">
        <v>0</v>
      </c>
      <c r="AI83" s="206"/>
    </row>
    <row r="84" spans="1:35" ht="14.25" customHeight="1" x14ac:dyDescent="0.3">
      <c r="A84" s="247"/>
      <c r="B84" s="248"/>
      <c r="C84" s="248"/>
      <c r="D84" s="249"/>
      <c r="E84" s="250"/>
      <c r="F84" s="250"/>
      <c r="G84" s="250"/>
      <c r="H84" s="251">
        <f t="shared" si="11"/>
        <v>0</v>
      </c>
      <c r="I84" s="252">
        <f t="shared" si="12"/>
        <v>0</v>
      </c>
      <c r="J84" s="253"/>
      <c r="K84" s="254">
        <f t="shared" si="19"/>
        <v>0</v>
      </c>
      <c r="L84" s="227">
        <f t="shared" si="15"/>
        <v>0</v>
      </c>
      <c r="M84" s="228">
        <f t="shared" si="16"/>
        <v>0</v>
      </c>
      <c r="N84" s="250"/>
      <c r="O84" s="250"/>
      <c r="P84" s="251">
        <f t="shared" si="13"/>
        <v>0</v>
      </c>
      <c r="Q84" s="252">
        <f t="shared" si="14"/>
        <v>0</v>
      </c>
      <c r="R84" s="255">
        <f t="shared" si="20"/>
        <v>0</v>
      </c>
      <c r="S84" s="256">
        <f t="shared" si="18"/>
        <v>0</v>
      </c>
      <c r="T84" s="257"/>
      <c r="U84" s="258">
        <v>0</v>
      </c>
      <c r="V84" s="258">
        <v>0</v>
      </c>
      <c r="W84" s="258">
        <v>0</v>
      </c>
      <c r="X84" s="258">
        <v>0</v>
      </c>
      <c r="Y84" s="258">
        <v>0</v>
      </c>
      <c r="Z84" s="258">
        <v>0</v>
      </c>
      <c r="AA84" s="258">
        <v>0</v>
      </c>
      <c r="AB84" s="258">
        <v>0</v>
      </c>
      <c r="AC84" s="258">
        <v>0</v>
      </c>
      <c r="AD84" s="258">
        <v>0</v>
      </c>
      <c r="AE84" s="258">
        <v>0</v>
      </c>
      <c r="AF84" s="258">
        <v>0</v>
      </c>
      <c r="AG84" s="258">
        <v>0</v>
      </c>
      <c r="AH84" s="259">
        <v>0</v>
      </c>
      <c r="AI84" s="206"/>
    </row>
    <row r="85" spans="1:35" ht="14.25" customHeight="1" x14ac:dyDescent="0.3">
      <c r="A85" s="247"/>
      <c r="B85" s="248"/>
      <c r="C85" s="248"/>
      <c r="D85" s="249"/>
      <c r="E85" s="250"/>
      <c r="F85" s="250"/>
      <c r="G85" s="250"/>
      <c r="H85" s="251">
        <f t="shared" si="11"/>
        <v>0</v>
      </c>
      <c r="I85" s="252">
        <f t="shared" si="12"/>
        <v>0</v>
      </c>
      <c r="J85" s="253"/>
      <c r="K85" s="254">
        <f t="shared" si="19"/>
        <v>0</v>
      </c>
      <c r="L85" s="227">
        <f t="shared" si="15"/>
        <v>0</v>
      </c>
      <c r="M85" s="228">
        <f t="shared" si="16"/>
        <v>0</v>
      </c>
      <c r="N85" s="250"/>
      <c r="O85" s="250"/>
      <c r="P85" s="251">
        <f t="shared" si="13"/>
        <v>0</v>
      </c>
      <c r="Q85" s="252">
        <f t="shared" si="14"/>
        <v>0</v>
      </c>
      <c r="R85" s="255">
        <f t="shared" si="20"/>
        <v>0</v>
      </c>
      <c r="S85" s="256">
        <f t="shared" si="18"/>
        <v>0</v>
      </c>
      <c r="T85" s="257">
        <v>0</v>
      </c>
      <c r="U85" s="258">
        <v>0</v>
      </c>
      <c r="V85" s="258">
        <v>0</v>
      </c>
      <c r="W85" s="258">
        <v>0</v>
      </c>
      <c r="X85" s="258">
        <v>0</v>
      </c>
      <c r="Y85" s="258">
        <v>0</v>
      </c>
      <c r="Z85" s="258">
        <v>0</v>
      </c>
      <c r="AA85" s="258">
        <v>0</v>
      </c>
      <c r="AB85" s="258">
        <v>0</v>
      </c>
      <c r="AC85" s="258">
        <v>0</v>
      </c>
      <c r="AD85" s="258">
        <v>0</v>
      </c>
      <c r="AE85" s="258">
        <v>0</v>
      </c>
      <c r="AF85" s="258">
        <v>0</v>
      </c>
      <c r="AG85" s="258">
        <v>0</v>
      </c>
      <c r="AH85" s="259">
        <v>0</v>
      </c>
      <c r="AI85" s="206"/>
    </row>
    <row r="86" spans="1:35" ht="14.25" customHeight="1" x14ac:dyDescent="0.3">
      <c r="A86" s="247"/>
      <c r="B86" s="248"/>
      <c r="C86" s="248"/>
      <c r="D86" s="249"/>
      <c r="E86" s="250"/>
      <c r="F86" s="250"/>
      <c r="G86" s="250"/>
      <c r="H86" s="251">
        <f t="shared" si="11"/>
        <v>0</v>
      </c>
      <c r="I86" s="252">
        <f t="shared" si="12"/>
        <v>0</v>
      </c>
      <c r="J86" s="253"/>
      <c r="K86" s="254">
        <f t="shared" si="19"/>
        <v>0</v>
      </c>
      <c r="L86" s="227">
        <f t="shared" si="15"/>
        <v>0</v>
      </c>
      <c r="M86" s="228">
        <f t="shared" si="16"/>
        <v>0</v>
      </c>
      <c r="N86" s="250"/>
      <c r="O86" s="250"/>
      <c r="P86" s="251">
        <f t="shared" si="13"/>
        <v>0</v>
      </c>
      <c r="Q86" s="252">
        <f t="shared" si="14"/>
        <v>0</v>
      </c>
      <c r="R86" s="255">
        <f t="shared" si="20"/>
        <v>0</v>
      </c>
      <c r="S86" s="256">
        <f t="shared" si="18"/>
        <v>0</v>
      </c>
      <c r="T86" s="257">
        <v>0</v>
      </c>
      <c r="U86" s="258">
        <v>0</v>
      </c>
      <c r="V86" s="258">
        <v>0</v>
      </c>
      <c r="W86" s="258">
        <v>0</v>
      </c>
      <c r="X86" s="258">
        <v>0</v>
      </c>
      <c r="Y86" s="258">
        <v>0</v>
      </c>
      <c r="Z86" s="258">
        <v>0</v>
      </c>
      <c r="AA86" s="258">
        <v>0</v>
      </c>
      <c r="AB86" s="258">
        <v>0</v>
      </c>
      <c r="AC86" s="258">
        <v>0</v>
      </c>
      <c r="AD86" s="258">
        <v>0</v>
      </c>
      <c r="AE86" s="258">
        <v>0</v>
      </c>
      <c r="AF86" s="258">
        <v>0</v>
      </c>
      <c r="AG86" s="258">
        <v>0</v>
      </c>
      <c r="AH86" s="259">
        <v>0</v>
      </c>
      <c r="AI86" s="206"/>
    </row>
    <row r="87" spans="1:35" ht="14.25" customHeight="1" x14ac:dyDescent="0.3">
      <c r="A87" s="247"/>
      <c r="B87" s="248"/>
      <c r="C87" s="248"/>
      <c r="D87" s="249"/>
      <c r="E87" s="250"/>
      <c r="F87" s="250"/>
      <c r="G87" s="250"/>
      <c r="H87" s="251">
        <f t="shared" si="11"/>
        <v>0</v>
      </c>
      <c r="I87" s="252">
        <f t="shared" si="12"/>
        <v>0</v>
      </c>
      <c r="J87" s="253"/>
      <c r="K87" s="254">
        <f t="shared" si="19"/>
        <v>0</v>
      </c>
      <c r="L87" s="227">
        <f t="shared" si="15"/>
        <v>0</v>
      </c>
      <c r="M87" s="228">
        <f t="shared" si="16"/>
        <v>0</v>
      </c>
      <c r="N87" s="250"/>
      <c r="O87" s="250"/>
      <c r="P87" s="251">
        <f t="shared" si="13"/>
        <v>0</v>
      </c>
      <c r="Q87" s="252">
        <f t="shared" si="14"/>
        <v>0</v>
      </c>
      <c r="R87" s="255">
        <f t="shared" si="20"/>
        <v>0</v>
      </c>
      <c r="S87" s="256">
        <f t="shared" si="18"/>
        <v>0</v>
      </c>
      <c r="T87" s="257">
        <v>0</v>
      </c>
      <c r="U87" s="258">
        <v>0</v>
      </c>
      <c r="V87" s="258">
        <v>0</v>
      </c>
      <c r="W87" s="258">
        <v>0</v>
      </c>
      <c r="X87" s="258">
        <v>0</v>
      </c>
      <c r="Y87" s="258">
        <v>0</v>
      </c>
      <c r="Z87" s="258">
        <v>0</v>
      </c>
      <c r="AA87" s="258">
        <v>0</v>
      </c>
      <c r="AB87" s="258">
        <v>0</v>
      </c>
      <c r="AC87" s="258">
        <v>0</v>
      </c>
      <c r="AD87" s="258">
        <v>0</v>
      </c>
      <c r="AE87" s="258">
        <v>0</v>
      </c>
      <c r="AF87" s="258">
        <v>0</v>
      </c>
      <c r="AG87" s="258">
        <v>0</v>
      </c>
      <c r="AH87" s="259">
        <v>0</v>
      </c>
      <c r="AI87" s="206"/>
    </row>
    <row r="88" spans="1:35" ht="14.25" customHeight="1" x14ac:dyDescent="0.3">
      <c r="A88" s="247"/>
      <c r="B88" s="248"/>
      <c r="C88" s="248"/>
      <c r="D88" s="249"/>
      <c r="E88" s="250"/>
      <c r="F88" s="250"/>
      <c r="G88" s="250"/>
      <c r="H88" s="251">
        <f t="shared" si="11"/>
        <v>0</v>
      </c>
      <c r="I88" s="252">
        <f t="shared" si="12"/>
        <v>0</v>
      </c>
      <c r="J88" s="253"/>
      <c r="K88" s="254">
        <f t="shared" si="19"/>
        <v>0</v>
      </c>
      <c r="L88" s="227">
        <f t="shared" si="15"/>
        <v>0</v>
      </c>
      <c r="M88" s="228">
        <f t="shared" si="16"/>
        <v>0</v>
      </c>
      <c r="N88" s="250"/>
      <c r="O88" s="250"/>
      <c r="P88" s="251">
        <f t="shared" si="13"/>
        <v>0</v>
      </c>
      <c r="Q88" s="252">
        <f t="shared" si="14"/>
        <v>0</v>
      </c>
      <c r="R88" s="255">
        <f t="shared" si="20"/>
        <v>0</v>
      </c>
      <c r="S88" s="256">
        <f t="shared" si="18"/>
        <v>0</v>
      </c>
      <c r="T88" s="257">
        <v>0</v>
      </c>
      <c r="U88" s="258">
        <v>0</v>
      </c>
      <c r="V88" s="258">
        <v>0</v>
      </c>
      <c r="W88" s="258">
        <v>0</v>
      </c>
      <c r="X88" s="258">
        <v>0</v>
      </c>
      <c r="Y88" s="258">
        <v>0</v>
      </c>
      <c r="Z88" s="258">
        <v>0</v>
      </c>
      <c r="AA88" s="258">
        <v>0</v>
      </c>
      <c r="AB88" s="258">
        <v>0</v>
      </c>
      <c r="AC88" s="258">
        <v>0</v>
      </c>
      <c r="AD88" s="258">
        <v>0</v>
      </c>
      <c r="AE88" s="258">
        <v>0</v>
      </c>
      <c r="AF88" s="258">
        <v>0</v>
      </c>
      <c r="AG88" s="258">
        <v>0</v>
      </c>
      <c r="AH88" s="259">
        <v>0</v>
      </c>
      <c r="AI88" s="206"/>
    </row>
    <row r="89" spans="1:35" ht="14.25" customHeight="1" x14ac:dyDescent="0.3">
      <c r="A89" s="247"/>
      <c r="B89" s="248"/>
      <c r="C89" s="248"/>
      <c r="D89" s="249"/>
      <c r="E89" s="250"/>
      <c r="F89" s="250"/>
      <c r="G89" s="250"/>
      <c r="H89" s="251">
        <f t="shared" si="11"/>
        <v>0</v>
      </c>
      <c r="I89" s="252">
        <f t="shared" si="12"/>
        <v>0</v>
      </c>
      <c r="J89" s="253"/>
      <c r="K89" s="254">
        <f t="shared" si="19"/>
        <v>0</v>
      </c>
      <c r="L89" s="227">
        <f t="shared" si="15"/>
        <v>0</v>
      </c>
      <c r="M89" s="228">
        <f t="shared" si="16"/>
        <v>0</v>
      </c>
      <c r="N89" s="250"/>
      <c r="O89" s="250"/>
      <c r="P89" s="251">
        <f t="shared" si="13"/>
        <v>0</v>
      </c>
      <c r="Q89" s="252">
        <f t="shared" si="14"/>
        <v>0</v>
      </c>
      <c r="R89" s="255">
        <f t="shared" si="20"/>
        <v>0</v>
      </c>
      <c r="S89" s="256">
        <f t="shared" si="18"/>
        <v>0</v>
      </c>
      <c r="T89" s="257">
        <v>0</v>
      </c>
      <c r="U89" s="258">
        <v>0</v>
      </c>
      <c r="V89" s="258">
        <v>0</v>
      </c>
      <c r="W89" s="258">
        <v>0</v>
      </c>
      <c r="X89" s="258">
        <v>0</v>
      </c>
      <c r="Y89" s="258">
        <v>0</v>
      </c>
      <c r="Z89" s="258">
        <v>0</v>
      </c>
      <c r="AA89" s="258">
        <v>0</v>
      </c>
      <c r="AB89" s="258">
        <v>0</v>
      </c>
      <c r="AC89" s="258">
        <v>0</v>
      </c>
      <c r="AD89" s="258">
        <v>0</v>
      </c>
      <c r="AE89" s="258">
        <v>0</v>
      </c>
      <c r="AF89" s="258">
        <v>0</v>
      </c>
      <c r="AG89" s="258">
        <v>0</v>
      </c>
      <c r="AH89" s="259">
        <v>0</v>
      </c>
      <c r="AI89" s="206"/>
    </row>
    <row r="90" spans="1:35" ht="14.25" customHeight="1" x14ac:dyDescent="0.3">
      <c r="A90" s="247"/>
      <c r="B90" s="248"/>
      <c r="C90" s="248"/>
      <c r="D90" s="249"/>
      <c r="E90" s="250"/>
      <c r="F90" s="250"/>
      <c r="G90" s="250"/>
      <c r="H90" s="251">
        <f t="shared" si="11"/>
        <v>0</v>
      </c>
      <c r="I90" s="252">
        <f t="shared" si="12"/>
        <v>0</v>
      </c>
      <c r="J90" s="253"/>
      <c r="K90" s="254">
        <f t="shared" si="19"/>
        <v>0</v>
      </c>
      <c r="L90" s="227">
        <f t="shared" si="15"/>
        <v>0</v>
      </c>
      <c r="M90" s="228">
        <f t="shared" si="16"/>
        <v>0</v>
      </c>
      <c r="N90" s="250"/>
      <c r="O90" s="250"/>
      <c r="P90" s="251">
        <f t="shared" si="13"/>
        <v>0</v>
      </c>
      <c r="Q90" s="252">
        <f t="shared" si="14"/>
        <v>0</v>
      </c>
      <c r="R90" s="255">
        <f t="shared" si="20"/>
        <v>0</v>
      </c>
      <c r="S90" s="256">
        <f t="shared" si="18"/>
        <v>0</v>
      </c>
      <c r="T90" s="257">
        <v>0</v>
      </c>
      <c r="U90" s="258">
        <v>0</v>
      </c>
      <c r="V90" s="258">
        <v>0</v>
      </c>
      <c r="W90" s="258">
        <v>0</v>
      </c>
      <c r="X90" s="258">
        <v>0</v>
      </c>
      <c r="Y90" s="258">
        <v>0</v>
      </c>
      <c r="Z90" s="258">
        <v>0</v>
      </c>
      <c r="AA90" s="258">
        <v>0</v>
      </c>
      <c r="AB90" s="258">
        <v>0</v>
      </c>
      <c r="AC90" s="258">
        <v>0</v>
      </c>
      <c r="AD90" s="258">
        <v>0</v>
      </c>
      <c r="AE90" s="258">
        <v>0</v>
      </c>
      <c r="AF90" s="258">
        <v>0</v>
      </c>
      <c r="AG90" s="258">
        <v>0</v>
      </c>
      <c r="AH90" s="259">
        <v>0</v>
      </c>
      <c r="AI90" s="206"/>
    </row>
    <row r="91" spans="1:35" ht="14.25" customHeight="1" x14ac:dyDescent="0.3">
      <c r="A91" s="247"/>
      <c r="B91" s="248"/>
      <c r="C91" s="248"/>
      <c r="D91" s="249"/>
      <c r="E91" s="250"/>
      <c r="F91" s="250"/>
      <c r="G91" s="250"/>
      <c r="H91" s="251">
        <f t="shared" si="11"/>
        <v>0</v>
      </c>
      <c r="I91" s="252">
        <f t="shared" si="12"/>
        <v>0</v>
      </c>
      <c r="J91" s="253"/>
      <c r="K91" s="254">
        <f t="shared" si="19"/>
        <v>0</v>
      </c>
      <c r="L91" s="227">
        <f t="shared" si="15"/>
        <v>0</v>
      </c>
      <c r="M91" s="228">
        <f t="shared" si="16"/>
        <v>0</v>
      </c>
      <c r="N91" s="250"/>
      <c r="O91" s="250"/>
      <c r="P91" s="251">
        <f t="shared" si="13"/>
        <v>0</v>
      </c>
      <c r="Q91" s="252">
        <f t="shared" si="14"/>
        <v>0</v>
      </c>
      <c r="R91" s="255">
        <f t="shared" si="20"/>
        <v>0</v>
      </c>
      <c r="S91" s="256">
        <f t="shared" si="18"/>
        <v>0</v>
      </c>
      <c r="T91" s="257">
        <v>0</v>
      </c>
      <c r="U91" s="258">
        <v>0</v>
      </c>
      <c r="V91" s="258">
        <v>0</v>
      </c>
      <c r="W91" s="258">
        <v>0</v>
      </c>
      <c r="X91" s="258">
        <v>0</v>
      </c>
      <c r="Y91" s="258">
        <v>0</v>
      </c>
      <c r="Z91" s="258">
        <v>0</v>
      </c>
      <c r="AA91" s="258">
        <v>0</v>
      </c>
      <c r="AB91" s="258">
        <v>0</v>
      </c>
      <c r="AC91" s="258">
        <v>0</v>
      </c>
      <c r="AD91" s="258">
        <v>0</v>
      </c>
      <c r="AE91" s="258">
        <v>0</v>
      </c>
      <c r="AF91" s="258">
        <v>0</v>
      </c>
      <c r="AG91" s="258">
        <v>0</v>
      </c>
      <c r="AH91" s="259">
        <v>0</v>
      </c>
      <c r="AI91" s="206"/>
    </row>
    <row r="92" spans="1:35" ht="14.25" customHeight="1" x14ac:dyDescent="0.3">
      <c r="A92" s="247"/>
      <c r="B92" s="248"/>
      <c r="C92" s="248"/>
      <c r="D92" s="249"/>
      <c r="E92" s="250"/>
      <c r="F92" s="250"/>
      <c r="G92" s="250"/>
      <c r="H92" s="251">
        <f t="shared" si="11"/>
        <v>0</v>
      </c>
      <c r="I92" s="252">
        <f t="shared" si="12"/>
        <v>0</v>
      </c>
      <c r="J92" s="253"/>
      <c r="K92" s="254">
        <f t="shared" si="19"/>
        <v>0</v>
      </c>
      <c r="L92" s="227">
        <f t="shared" si="15"/>
        <v>0</v>
      </c>
      <c r="M92" s="228">
        <f t="shared" si="16"/>
        <v>0</v>
      </c>
      <c r="N92" s="250"/>
      <c r="O92" s="250"/>
      <c r="P92" s="251">
        <f t="shared" si="13"/>
        <v>0</v>
      </c>
      <c r="Q92" s="252">
        <f t="shared" si="14"/>
        <v>0</v>
      </c>
      <c r="R92" s="255">
        <f t="shared" si="20"/>
        <v>0</v>
      </c>
      <c r="S92" s="256">
        <f t="shared" si="18"/>
        <v>0</v>
      </c>
      <c r="T92" s="257">
        <v>0</v>
      </c>
      <c r="U92" s="258">
        <v>0</v>
      </c>
      <c r="V92" s="258">
        <v>0</v>
      </c>
      <c r="W92" s="258">
        <v>0</v>
      </c>
      <c r="X92" s="258">
        <v>0</v>
      </c>
      <c r="Y92" s="258">
        <v>0</v>
      </c>
      <c r="Z92" s="258">
        <v>0</v>
      </c>
      <c r="AA92" s="258">
        <v>0</v>
      </c>
      <c r="AB92" s="258">
        <v>0</v>
      </c>
      <c r="AC92" s="258">
        <v>0</v>
      </c>
      <c r="AD92" s="258">
        <v>0</v>
      </c>
      <c r="AE92" s="258">
        <v>0</v>
      </c>
      <c r="AF92" s="258">
        <v>0</v>
      </c>
      <c r="AG92" s="258">
        <v>0</v>
      </c>
      <c r="AH92" s="259">
        <v>0</v>
      </c>
      <c r="AI92" s="206"/>
    </row>
    <row r="93" spans="1:35" ht="14.25" customHeight="1" x14ac:dyDescent="0.3">
      <c r="A93" s="247"/>
      <c r="B93" s="248"/>
      <c r="C93" s="248"/>
      <c r="D93" s="249"/>
      <c r="E93" s="250"/>
      <c r="F93" s="250"/>
      <c r="G93" s="250"/>
      <c r="H93" s="251">
        <f t="shared" si="11"/>
        <v>0</v>
      </c>
      <c r="I93" s="252">
        <f t="shared" si="12"/>
        <v>0</v>
      </c>
      <c r="J93" s="253"/>
      <c r="K93" s="254">
        <f t="shared" si="19"/>
        <v>0</v>
      </c>
      <c r="L93" s="227">
        <f t="shared" si="15"/>
        <v>0</v>
      </c>
      <c r="M93" s="228">
        <f t="shared" si="16"/>
        <v>0</v>
      </c>
      <c r="N93" s="250"/>
      <c r="O93" s="250"/>
      <c r="P93" s="251">
        <f t="shared" si="13"/>
        <v>0</v>
      </c>
      <c r="Q93" s="252">
        <f t="shared" si="14"/>
        <v>0</v>
      </c>
      <c r="R93" s="255">
        <f t="shared" si="20"/>
        <v>0</v>
      </c>
      <c r="S93" s="256">
        <f t="shared" si="18"/>
        <v>0</v>
      </c>
      <c r="T93" s="257">
        <v>0</v>
      </c>
      <c r="U93" s="258">
        <v>0</v>
      </c>
      <c r="V93" s="258">
        <v>0</v>
      </c>
      <c r="W93" s="258">
        <v>0</v>
      </c>
      <c r="X93" s="258">
        <v>0</v>
      </c>
      <c r="Y93" s="258">
        <v>0</v>
      </c>
      <c r="Z93" s="258">
        <v>0</v>
      </c>
      <c r="AA93" s="258">
        <v>0</v>
      </c>
      <c r="AB93" s="258">
        <v>0</v>
      </c>
      <c r="AC93" s="258">
        <v>0</v>
      </c>
      <c r="AD93" s="258">
        <v>0</v>
      </c>
      <c r="AE93" s="258">
        <v>0</v>
      </c>
      <c r="AF93" s="258">
        <v>0</v>
      </c>
      <c r="AG93" s="258">
        <v>0</v>
      </c>
      <c r="AH93" s="259">
        <v>0</v>
      </c>
      <c r="AI93" s="206"/>
    </row>
    <row r="94" spans="1:35" ht="14.25" customHeight="1" x14ac:dyDescent="0.3">
      <c r="A94" s="247"/>
      <c r="B94" s="248"/>
      <c r="C94" s="248"/>
      <c r="D94" s="249"/>
      <c r="E94" s="250"/>
      <c r="F94" s="250"/>
      <c r="G94" s="250"/>
      <c r="H94" s="251">
        <f t="shared" si="11"/>
        <v>0</v>
      </c>
      <c r="I94" s="252">
        <f t="shared" si="12"/>
        <v>0</v>
      </c>
      <c r="J94" s="253"/>
      <c r="K94" s="254">
        <f t="shared" si="19"/>
        <v>0</v>
      </c>
      <c r="L94" s="227">
        <f t="shared" si="15"/>
        <v>0</v>
      </c>
      <c r="M94" s="228">
        <f t="shared" si="16"/>
        <v>0</v>
      </c>
      <c r="N94" s="250"/>
      <c r="O94" s="250"/>
      <c r="P94" s="251">
        <f t="shared" si="13"/>
        <v>0</v>
      </c>
      <c r="Q94" s="252">
        <f t="shared" si="14"/>
        <v>0</v>
      </c>
      <c r="R94" s="255">
        <f t="shared" si="20"/>
        <v>0</v>
      </c>
      <c r="S94" s="256">
        <f t="shared" si="18"/>
        <v>0</v>
      </c>
      <c r="T94" s="257">
        <v>0</v>
      </c>
      <c r="U94" s="258">
        <v>0</v>
      </c>
      <c r="V94" s="258">
        <v>0</v>
      </c>
      <c r="W94" s="258">
        <v>0</v>
      </c>
      <c r="X94" s="258">
        <v>0</v>
      </c>
      <c r="Y94" s="258">
        <v>0</v>
      </c>
      <c r="Z94" s="258">
        <v>0</v>
      </c>
      <c r="AA94" s="258">
        <v>0</v>
      </c>
      <c r="AB94" s="258">
        <v>0</v>
      </c>
      <c r="AC94" s="258">
        <v>0</v>
      </c>
      <c r="AD94" s="258">
        <v>0</v>
      </c>
      <c r="AE94" s="258">
        <v>0</v>
      </c>
      <c r="AF94" s="258">
        <v>0</v>
      </c>
      <c r="AG94" s="258">
        <v>0</v>
      </c>
      <c r="AH94" s="259">
        <v>0</v>
      </c>
      <c r="AI94" s="206"/>
    </row>
    <row r="95" spans="1:35" ht="14.25" customHeight="1" x14ac:dyDescent="0.3">
      <c r="A95" s="247"/>
      <c r="B95" s="248"/>
      <c r="C95" s="248"/>
      <c r="D95" s="249"/>
      <c r="E95" s="250"/>
      <c r="F95" s="250"/>
      <c r="G95" s="250"/>
      <c r="H95" s="251">
        <f t="shared" si="11"/>
        <v>0</v>
      </c>
      <c r="I95" s="252">
        <f t="shared" si="12"/>
        <v>0</v>
      </c>
      <c r="J95" s="253"/>
      <c r="K95" s="254">
        <f t="shared" si="19"/>
        <v>0</v>
      </c>
      <c r="L95" s="227">
        <f t="shared" si="15"/>
        <v>0</v>
      </c>
      <c r="M95" s="228">
        <f t="shared" si="16"/>
        <v>0</v>
      </c>
      <c r="N95" s="250"/>
      <c r="O95" s="250"/>
      <c r="P95" s="251">
        <f t="shared" si="13"/>
        <v>0</v>
      </c>
      <c r="Q95" s="252">
        <f t="shared" si="14"/>
        <v>0</v>
      </c>
      <c r="R95" s="255">
        <f t="shared" si="20"/>
        <v>0</v>
      </c>
      <c r="S95" s="256">
        <f t="shared" si="18"/>
        <v>0</v>
      </c>
      <c r="T95" s="257">
        <v>0</v>
      </c>
      <c r="U95" s="258">
        <v>0</v>
      </c>
      <c r="V95" s="258">
        <v>0</v>
      </c>
      <c r="W95" s="258">
        <v>0</v>
      </c>
      <c r="X95" s="258">
        <v>0</v>
      </c>
      <c r="Y95" s="258">
        <v>0</v>
      </c>
      <c r="Z95" s="258">
        <v>0</v>
      </c>
      <c r="AA95" s="258">
        <v>0</v>
      </c>
      <c r="AB95" s="258">
        <v>0</v>
      </c>
      <c r="AC95" s="258">
        <v>0</v>
      </c>
      <c r="AD95" s="258">
        <v>0</v>
      </c>
      <c r="AE95" s="258">
        <v>0</v>
      </c>
      <c r="AF95" s="258">
        <v>0</v>
      </c>
      <c r="AG95" s="258">
        <v>0</v>
      </c>
      <c r="AH95" s="259">
        <v>0</v>
      </c>
      <c r="AI95" s="206"/>
    </row>
    <row r="96" spans="1:35" ht="14.25" customHeight="1" x14ac:dyDescent="0.3">
      <c r="A96" s="247"/>
      <c r="B96" s="248"/>
      <c r="C96" s="248"/>
      <c r="D96" s="249"/>
      <c r="E96" s="250"/>
      <c r="F96" s="250"/>
      <c r="G96" s="250"/>
      <c r="H96" s="251">
        <f t="shared" si="11"/>
        <v>0</v>
      </c>
      <c r="I96" s="252">
        <f t="shared" si="12"/>
        <v>0</v>
      </c>
      <c r="J96" s="253"/>
      <c r="K96" s="254">
        <f t="shared" si="19"/>
        <v>0</v>
      </c>
      <c r="L96" s="227">
        <f t="shared" si="15"/>
        <v>0</v>
      </c>
      <c r="M96" s="228">
        <f t="shared" si="16"/>
        <v>0</v>
      </c>
      <c r="N96" s="250"/>
      <c r="O96" s="250"/>
      <c r="P96" s="251">
        <f t="shared" si="13"/>
        <v>0</v>
      </c>
      <c r="Q96" s="252">
        <f t="shared" si="14"/>
        <v>0</v>
      </c>
      <c r="R96" s="255">
        <f t="shared" si="20"/>
        <v>0</v>
      </c>
      <c r="S96" s="256">
        <f t="shared" si="18"/>
        <v>0</v>
      </c>
      <c r="T96" s="257">
        <v>0</v>
      </c>
      <c r="U96" s="258">
        <v>0</v>
      </c>
      <c r="V96" s="258">
        <v>0</v>
      </c>
      <c r="W96" s="258">
        <v>0</v>
      </c>
      <c r="X96" s="258">
        <v>0</v>
      </c>
      <c r="Y96" s="258">
        <v>0</v>
      </c>
      <c r="Z96" s="258">
        <v>0</v>
      </c>
      <c r="AA96" s="258">
        <v>0</v>
      </c>
      <c r="AB96" s="258">
        <v>0</v>
      </c>
      <c r="AC96" s="258">
        <v>0</v>
      </c>
      <c r="AD96" s="258">
        <v>0</v>
      </c>
      <c r="AE96" s="258">
        <v>0</v>
      </c>
      <c r="AF96" s="258">
        <v>0</v>
      </c>
      <c r="AG96" s="258">
        <v>0</v>
      </c>
      <c r="AH96" s="259">
        <v>0</v>
      </c>
      <c r="AI96" s="206"/>
    </row>
    <row r="97" spans="1:35" ht="14.25" customHeight="1" x14ac:dyDescent="0.3">
      <c r="A97" s="247"/>
      <c r="B97" s="248"/>
      <c r="C97" s="248"/>
      <c r="D97" s="249"/>
      <c r="E97" s="250"/>
      <c r="F97" s="250"/>
      <c r="G97" s="250"/>
      <c r="H97" s="251">
        <f t="shared" si="11"/>
        <v>0</v>
      </c>
      <c r="I97" s="252">
        <f t="shared" si="12"/>
        <v>0</v>
      </c>
      <c r="J97" s="253"/>
      <c r="K97" s="254">
        <f t="shared" si="19"/>
        <v>0</v>
      </c>
      <c r="L97" s="227">
        <f t="shared" si="15"/>
        <v>0</v>
      </c>
      <c r="M97" s="228">
        <f t="shared" si="16"/>
        <v>0</v>
      </c>
      <c r="N97" s="250"/>
      <c r="O97" s="250"/>
      <c r="P97" s="251">
        <f t="shared" si="13"/>
        <v>0</v>
      </c>
      <c r="Q97" s="252">
        <f t="shared" si="14"/>
        <v>0</v>
      </c>
      <c r="R97" s="255">
        <f t="shared" si="20"/>
        <v>0</v>
      </c>
      <c r="S97" s="256">
        <f t="shared" si="18"/>
        <v>0</v>
      </c>
      <c r="T97" s="257">
        <v>0</v>
      </c>
      <c r="U97" s="258">
        <v>0</v>
      </c>
      <c r="V97" s="258">
        <v>0</v>
      </c>
      <c r="W97" s="258">
        <v>0</v>
      </c>
      <c r="X97" s="258">
        <v>0</v>
      </c>
      <c r="Y97" s="258">
        <v>0</v>
      </c>
      <c r="Z97" s="258">
        <v>0</v>
      </c>
      <c r="AA97" s="258">
        <v>0</v>
      </c>
      <c r="AB97" s="258">
        <v>0</v>
      </c>
      <c r="AC97" s="258">
        <v>0</v>
      </c>
      <c r="AD97" s="258">
        <v>0</v>
      </c>
      <c r="AE97" s="258">
        <v>0</v>
      </c>
      <c r="AF97" s="258">
        <v>0</v>
      </c>
      <c r="AG97" s="258">
        <v>0</v>
      </c>
      <c r="AH97" s="259">
        <v>0</v>
      </c>
      <c r="AI97" s="206"/>
    </row>
    <row r="98" spans="1:35" ht="14.25" customHeight="1" x14ac:dyDescent="0.3">
      <c r="A98" s="247"/>
      <c r="B98" s="248"/>
      <c r="C98" s="248"/>
      <c r="D98" s="249"/>
      <c r="E98" s="250"/>
      <c r="F98" s="250"/>
      <c r="G98" s="250"/>
      <c r="H98" s="251">
        <f t="shared" si="11"/>
        <v>0</v>
      </c>
      <c r="I98" s="252">
        <f t="shared" si="12"/>
        <v>0</v>
      </c>
      <c r="J98" s="253"/>
      <c r="K98" s="254">
        <f t="shared" si="19"/>
        <v>0</v>
      </c>
      <c r="L98" s="227">
        <f t="shared" si="15"/>
        <v>0</v>
      </c>
      <c r="M98" s="228">
        <f t="shared" si="16"/>
        <v>0</v>
      </c>
      <c r="N98" s="250"/>
      <c r="O98" s="250"/>
      <c r="P98" s="251">
        <f t="shared" si="13"/>
        <v>0</v>
      </c>
      <c r="Q98" s="252">
        <f t="shared" si="14"/>
        <v>0</v>
      </c>
      <c r="R98" s="255">
        <f t="shared" si="20"/>
        <v>0</v>
      </c>
      <c r="S98" s="256">
        <f t="shared" si="18"/>
        <v>0</v>
      </c>
      <c r="T98" s="257">
        <v>0</v>
      </c>
      <c r="U98" s="258">
        <v>0</v>
      </c>
      <c r="V98" s="258">
        <v>0</v>
      </c>
      <c r="W98" s="258">
        <v>0</v>
      </c>
      <c r="X98" s="258">
        <v>0</v>
      </c>
      <c r="Y98" s="258">
        <v>0</v>
      </c>
      <c r="Z98" s="258">
        <v>0</v>
      </c>
      <c r="AA98" s="258">
        <v>0</v>
      </c>
      <c r="AB98" s="258">
        <v>0</v>
      </c>
      <c r="AC98" s="258">
        <v>0</v>
      </c>
      <c r="AD98" s="258">
        <v>0</v>
      </c>
      <c r="AE98" s="258">
        <v>0</v>
      </c>
      <c r="AF98" s="258">
        <v>0</v>
      </c>
      <c r="AG98" s="258">
        <v>0</v>
      </c>
      <c r="AH98" s="259">
        <v>0</v>
      </c>
      <c r="AI98" s="206"/>
    </row>
    <row r="99" spans="1:35" ht="14.25" customHeight="1" thickBot="1" x14ac:dyDescent="0.35">
      <c r="A99" s="260"/>
      <c r="B99" s="261"/>
      <c r="C99" s="261"/>
      <c r="D99" s="262"/>
      <c r="E99" s="263"/>
      <c r="F99" s="263"/>
      <c r="G99" s="263"/>
      <c r="H99" s="264">
        <f t="shared" si="11"/>
        <v>0</v>
      </c>
      <c r="I99" s="265">
        <f t="shared" si="12"/>
        <v>0</v>
      </c>
      <c r="J99" s="266"/>
      <c r="K99" s="267">
        <f t="shared" si="19"/>
        <v>0</v>
      </c>
      <c r="L99" s="268">
        <f t="shared" si="15"/>
        <v>0</v>
      </c>
      <c r="M99" s="269">
        <f t="shared" si="16"/>
        <v>0</v>
      </c>
      <c r="N99" s="263"/>
      <c r="O99" s="263"/>
      <c r="P99" s="264">
        <f t="shared" si="13"/>
        <v>0</v>
      </c>
      <c r="Q99" s="265">
        <f t="shared" si="14"/>
        <v>0</v>
      </c>
      <c r="R99" s="270">
        <f t="shared" si="20"/>
        <v>0</v>
      </c>
      <c r="S99" s="271">
        <f t="shared" si="18"/>
        <v>0</v>
      </c>
      <c r="T99" s="272">
        <v>0</v>
      </c>
      <c r="U99" s="273">
        <v>0</v>
      </c>
      <c r="V99" s="273">
        <v>0</v>
      </c>
      <c r="W99" s="273">
        <v>0</v>
      </c>
      <c r="X99" s="273">
        <v>0</v>
      </c>
      <c r="Y99" s="273">
        <v>0</v>
      </c>
      <c r="Z99" s="273">
        <v>0</v>
      </c>
      <c r="AA99" s="273">
        <v>0</v>
      </c>
      <c r="AB99" s="273">
        <v>0</v>
      </c>
      <c r="AC99" s="273">
        <v>0</v>
      </c>
      <c r="AD99" s="273">
        <v>0</v>
      </c>
      <c r="AE99" s="273">
        <v>0</v>
      </c>
      <c r="AF99" s="273">
        <v>0</v>
      </c>
      <c r="AG99" s="273">
        <v>0</v>
      </c>
      <c r="AH99" s="274">
        <v>0</v>
      </c>
      <c r="AI99" s="206"/>
    </row>
    <row r="100" spans="1:35" ht="14.25" customHeight="1" x14ac:dyDescent="0.3">
      <c r="A100" s="206"/>
      <c r="B100" s="206"/>
      <c r="C100" s="206"/>
      <c r="D100" s="206"/>
      <c r="E100" s="206">
        <f>SUM(E9:E99)</f>
        <v>0</v>
      </c>
      <c r="F100" s="206"/>
      <c r="G100" s="206"/>
      <c r="H100" s="206"/>
      <c r="I100" s="275">
        <f>SUM(I9:I99)</f>
        <v>0</v>
      </c>
      <c r="J100" s="654"/>
      <c r="K100" s="276">
        <f>SUM(K9:K99)</f>
        <v>0</v>
      </c>
      <c r="L100" s="277">
        <f>SUM(L9:L99)</f>
        <v>0</v>
      </c>
      <c r="M100" s="278">
        <f>SUM(M9:M99)</f>
        <v>0</v>
      </c>
      <c r="N100" s="279"/>
      <c r="O100" s="279"/>
      <c r="P100" s="279"/>
      <c r="Q100" s="280">
        <f>SUM(Q9:Q99)</f>
        <v>0</v>
      </c>
      <c r="R100" s="281"/>
      <c r="S100" s="282">
        <f>SUM(S9:S99)</f>
        <v>0</v>
      </c>
      <c r="T100" s="298"/>
      <c r="U100" s="298"/>
      <c r="V100" s="298"/>
      <c r="W100" s="298"/>
      <c r="X100" s="298"/>
      <c r="Y100" s="298"/>
      <c r="Z100" s="206"/>
      <c r="AA100" s="206"/>
      <c r="AB100" s="206"/>
      <c r="AC100" s="206"/>
      <c r="AD100" s="206"/>
      <c r="AE100" s="206"/>
      <c r="AF100" s="206"/>
      <c r="AG100" s="206"/>
      <c r="AH100" s="206"/>
      <c r="AI100" s="206"/>
    </row>
    <row r="101" spans="1:35" ht="14.25" customHeight="1" thickBot="1" x14ac:dyDescent="0.35">
      <c r="A101" s="206"/>
      <c r="B101" s="206"/>
      <c r="C101" s="206"/>
      <c r="D101" s="206"/>
      <c r="E101" s="206"/>
      <c r="F101" s="206"/>
      <c r="G101" s="206"/>
      <c r="H101" s="206"/>
      <c r="I101" s="283" t="s">
        <v>63</v>
      </c>
      <c r="J101" s="654"/>
      <c r="K101" s="284" t="s">
        <v>64</v>
      </c>
      <c r="L101" s="206"/>
      <c r="M101" s="206"/>
      <c r="N101" s="206"/>
      <c r="O101" s="206"/>
      <c r="P101" s="206"/>
      <c r="Q101" s="283" t="s">
        <v>63</v>
      </c>
      <c r="R101" s="285"/>
      <c r="S101" s="284" t="s">
        <v>64</v>
      </c>
      <c r="T101" s="298"/>
      <c r="U101" s="298"/>
      <c r="V101" s="298"/>
      <c r="W101" s="298"/>
      <c r="X101" s="298"/>
      <c r="Y101" s="298"/>
      <c r="Z101" s="206"/>
      <c r="AA101" s="206"/>
      <c r="AB101" s="206"/>
      <c r="AC101" s="206"/>
      <c r="AD101" s="206"/>
      <c r="AE101" s="206"/>
      <c r="AF101" s="206"/>
      <c r="AG101" s="206"/>
      <c r="AH101" s="206"/>
      <c r="AI101" s="206"/>
    </row>
    <row r="102" spans="1:35" ht="14.25" customHeight="1" x14ac:dyDescent="0.3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98"/>
      <c r="U102" s="298"/>
      <c r="V102" s="298"/>
      <c r="W102" s="298"/>
      <c r="X102" s="298"/>
      <c r="Y102" s="298"/>
      <c r="Z102" s="206"/>
      <c r="AA102" s="206"/>
      <c r="AB102" s="206"/>
      <c r="AC102" s="206"/>
      <c r="AD102" s="206"/>
      <c r="AE102" s="206"/>
      <c r="AF102" s="206"/>
      <c r="AG102" s="206"/>
      <c r="AH102" s="206"/>
      <c r="AI102" s="206"/>
    </row>
    <row r="103" spans="1:35" ht="14.25" customHeight="1" x14ac:dyDescent="0.3">
      <c r="A103" s="206"/>
      <c r="B103" s="206"/>
      <c r="C103" s="206"/>
      <c r="D103" s="286"/>
      <c r="E103" s="286"/>
      <c r="F103" s="286"/>
      <c r="G103" s="286"/>
      <c r="H103" s="286"/>
      <c r="I103" s="206"/>
      <c r="J103" s="287"/>
      <c r="K103" s="288"/>
      <c r="L103" s="206"/>
      <c r="M103" s="206"/>
      <c r="N103" s="206"/>
      <c r="O103" s="206"/>
      <c r="P103" s="206"/>
      <c r="Q103" s="206"/>
      <c r="R103" s="287"/>
      <c r="S103" s="287"/>
      <c r="T103" s="631" t="s">
        <v>65</v>
      </c>
      <c r="U103" s="631"/>
      <c r="V103" s="631"/>
      <c r="W103" s="631"/>
      <c r="X103" s="631"/>
      <c r="Y103" s="631"/>
      <c r="Z103" s="631"/>
      <c r="AA103" s="631"/>
      <c r="AB103" s="631"/>
      <c r="AC103" s="631"/>
      <c r="AD103" s="631"/>
      <c r="AE103" s="631"/>
      <c r="AF103" s="631"/>
      <c r="AG103" s="631"/>
      <c r="AH103" s="631"/>
      <c r="AI103" s="206"/>
    </row>
    <row r="104" spans="1:35" ht="14.25" customHeight="1" x14ac:dyDescent="0.3">
      <c r="A104" s="206"/>
      <c r="B104" s="206"/>
      <c r="C104" s="206"/>
      <c r="D104" s="289"/>
      <c r="E104" s="289"/>
      <c r="F104" s="289"/>
      <c r="G104" s="289"/>
      <c r="H104" s="289"/>
      <c r="I104" s="206"/>
      <c r="J104" s="287"/>
      <c r="K104" s="290"/>
      <c r="L104" s="206"/>
      <c r="M104" s="206"/>
      <c r="N104" s="206"/>
      <c r="O104" s="206"/>
      <c r="P104" s="206"/>
      <c r="Q104" s="206"/>
      <c r="R104" s="287"/>
      <c r="S104" s="287"/>
      <c r="T104" s="291" t="s">
        <v>46</v>
      </c>
      <c r="U104" s="291" t="s">
        <v>47</v>
      </c>
      <c r="V104" s="291" t="s">
        <v>48</v>
      </c>
      <c r="W104" s="291" t="s">
        <v>49</v>
      </c>
      <c r="X104" s="291" t="s">
        <v>50</v>
      </c>
      <c r="Y104" s="291" t="s">
        <v>51</v>
      </c>
      <c r="Z104" s="291" t="s">
        <v>52</v>
      </c>
      <c r="AA104" s="291" t="s">
        <v>53</v>
      </c>
      <c r="AB104" s="291" t="s">
        <v>54</v>
      </c>
      <c r="AC104" s="291" t="s">
        <v>55</v>
      </c>
      <c r="AD104" s="291" t="s">
        <v>56</v>
      </c>
      <c r="AE104" s="291" t="s">
        <v>57</v>
      </c>
      <c r="AF104" s="291" t="s">
        <v>58</v>
      </c>
      <c r="AG104" s="291" t="s">
        <v>59</v>
      </c>
      <c r="AH104" s="291" t="s">
        <v>60</v>
      </c>
      <c r="AI104" s="206"/>
    </row>
    <row r="105" spans="1:35" ht="14.25" customHeight="1" x14ac:dyDescent="0.3">
      <c r="A105" s="206"/>
      <c r="B105" s="206"/>
      <c r="C105" s="206"/>
      <c r="D105" s="289"/>
      <c r="E105" s="292"/>
      <c r="F105" s="292"/>
      <c r="G105" s="292"/>
      <c r="H105" s="292"/>
      <c r="I105" s="206"/>
      <c r="J105" s="287"/>
      <c r="K105" s="293"/>
      <c r="L105" s="206"/>
      <c r="M105" s="206"/>
      <c r="N105" s="206"/>
      <c r="O105" s="206"/>
      <c r="P105" s="206"/>
      <c r="Q105" s="206"/>
      <c r="R105" s="287"/>
      <c r="S105" s="287"/>
      <c r="T105" s="291" t="s">
        <v>62</v>
      </c>
      <c r="U105" s="291" t="s">
        <v>62</v>
      </c>
      <c r="V105" s="291" t="s">
        <v>62</v>
      </c>
      <c r="W105" s="291" t="s">
        <v>62</v>
      </c>
      <c r="X105" s="291" t="s">
        <v>62</v>
      </c>
      <c r="Y105" s="291" t="s">
        <v>62</v>
      </c>
      <c r="Z105" s="291" t="s">
        <v>62</v>
      </c>
      <c r="AA105" s="291" t="s">
        <v>62</v>
      </c>
      <c r="AB105" s="291" t="s">
        <v>62</v>
      </c>
      <c r="AC105" s="291" t="s">
        <v>62</v>
      </c>
      <c r="AD105" s="291" t="s">
        <v>62</v>
      </c>
      <c r="AE105" s="291" t="s">
        <v>62</v>
      </c>
      <c r="AF105" s="291" t="s">
        <v>62</v>
      </c>
      <c r="AG105" s="291" t="s">
        <v>62</v>
      </c>
      <c r="AH105" s="291" t="s">
        <v>62</v>
      </c>
      <c r="AI105" s="206"/>
    </row>
    <row r="106" spans="1:35" ht="14.25" customHeight="1" x14ac:dyDescent="0.3">
      <c r="A106" s="206"/>
      <c r="B106" s="206"/>
      <c r="C106" s="206"/>
      <c r="D106" s="289"/>
      <c r="E106" s="292"/>
      <c r="F106" s="292"/>
      <c r="G106" s="292"/>
      <c r="H106" s="292"/>
      <c r="I106" s="206"/>
      <c r="J106" s="287"/>
      <c r="K106" s="294"/>
      <c r="L106" s="206"/>
      <c r="M106" s="206"/>
      <c r="N106" s="206"/>
      <c r="O106" s="206"/>
      <c r="P106" s="206"/>
      <c r="Q106" s="206"/>
      <c r="R106" s="287"/>
      <c r="S106" s="287"/>
      <c r="T106" s="301">
        <v>45524</v>
      </c>
      <c r="U106" s="302"/>
      <c r="V106" s="302"/>
      <c r="W106" s="302"/>
      <c r="X106" s="302"/>
      <c r="Y106" s="302"/>
      <c r="Z106" s="295"/>
      <c r="AA106" s="295"/>
      <c r="AB106" s="295"/>
      <c r="AC106" s="295"/>
      <c r="AD106" s="295"/>
      <c r="AE106" s="295"/>
      <c r="AF106" s="295"/>
      <c r="AG106" s="295"/>
      <c r="AH106" s="295"/>
      <c r="AI106" s="206"/>
    </row>
    <row r="107" spans="1:35" ht="14.25" customHeight="1" x14ac:dyDescent="0.3">
      <c r="A107" s="206"/>
      <c r="B107" s="206"/>
      <c r="C107" s="206"/>
      <c r="D107" s="289"/>
      <c r="E107" s="292"/>
      <c r="F107" s="292"/>
      <c r="G107" s="292"/>
      <c r="H107" s="292"/>
      <c r="I107" s="206"/>
      <c r="J107" s="287"/>
      <c r="K107" s="294"/>
      <c r="L107" s="206"/>
      <c r="M107" s="206"/>
      <c r="N107" s="206"/>
      <c r="O107" s="206"/>
      <c r="P107" s="206"/>
      <c r="Q107" s="206"/>
      <c r="R107" s="287"/>
      <c r="S107" s="296" t="s">
        <v>66</v>
      </c>
      <c r="T107" s="303">
        <v>24428.34</v>
      </c>
      <c r="U107" s="303">
        <v>0</v>
      </c>
      <c r="V107" s="303">
        <v>0</v>
      </c>
      <c r="W107" s="303">
        <v>0</v>
      </c>
      <c r="X107" s="303">
        <v>0</v>
      </c>
      <c r="Y107" s="303">
        <v>0</v>
      </c>
      <c r="Z107" s="297">
        <v>0</v>
      </c>
      <c r="AA107" s="297">
        <v>0</v>
      </c>
      <c r="AB107" s="297">
        <v>0</v>
      </c>
      <c r="AC107" s="297">
        <v>0</v>
      </c>
      <c r="AD107" s="297">
        <v>0</v>
      </c>
      <c r="AE107" s="297">
        <v>0</v>
      </c>
      <c r="AF107" s="297">
        <v>0</v>
      </c>
      <c r="AG107" s="297">
        <v>0</v>
      </c>
      <c r="AH107" s="297">
        <v>0</v>
      </c>
      <c r="AI107" s="206"/>
    </row>
    <row r="108" spans="1:35" ht="14.25" customHeight="1" thickBot="1" x14ac:dyDescent="0.35">
      <c r="A108" s="206"/>
      <c r="B108" s="206"/>
      <c r="C108" s="206"/>
      <c r="D108" s="289"/>
      <c r="E108" s="292"/>
      <c r="F108" s="292"/>
      <c r="G108" s="292"/>
      <c r="H108" s="292"/>
      <c r="I108" s="206"/>
      <c r="J108" s="287"/>
      <c r="K108" s="293"/>
      <c r="L108" s="206"/>
      <c r="M108" s="206"/>
      <c r="N108" s="206"/>
      <c r="O108" s="206"/>
      <c r="P108" s="206"/>
      <c r="Q108" s="206"/>
      <c r="R108" s="287"/>
      <c r="S108" s="287"/>
      <c r="T108" s="298"/>
      <c r="U108" s="298"/>
      <c r="V108" s="298"/>
      <c r="W108" s="298"/>
      <c r="X108" s="298"/>
      <c r="Y108" s="298"/>
      <c r="Z108" s="206"/>
      <c r="AA108" s="206"/>
      <c r="AB108" s="206"/>
      <c r="AC108" s="206"/>
      <c r="AD108" s="206"/>
      <c r="AE108" s="206"/>
      <c r="AF108" s="206"/>
      <c r="AG108" s="206"/>
      <c r="AH108" s="206"/>
      <c r="AI108" s="206"/>
    </row>
    <row r="109" spans="1:35" ht="14.25" customHeight="1" x14ac:dyDescent="0.3">
      <c r="A109" s="206"/>
      <c r="B109" s="206"/>
      <c r="C109" s="206"/>
      <c r="D109" s="289"/>
      <c r="E109" s="292"/>
      <c r="F109" s="292"/>
      <c r="G109" s="292"/>
      <c r="H109" s="292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616" t="s">
        <v>67</v>
      </c>
      <c r="U109" s="619">
        <f>S6</f>
        <v>1750000</v>
      </c>
      <c r="V109" s="620"/>
      <c r="W109" s="298"/>
      <c r="X109" s="298"/>
      <c r="Y109" s="298"/>
      <c r="Z109" s="206"/>
      <c r="AA109" s="206"/>
      <c r="AB109" s="206"/>
      <c r="AC109" s="206"/>
      <c r="AD109" s="206"/>
      <c r="AE109" s="206"/>
      <c r="AF109" s="206"/>
      <c r="AG109" s="206"/>
      <c r="AH109" s="206"/>
      <c r="AI109" s="206"/>
    </row>
    <row r="110" spans="1:35" ht="14.25" customHeight="1" thickBot="1" x14ac:dyDescent="0.35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617"/>
      <c r="U110" s="621" t="s">
        <v>68</v>
      </c>
      <c r="V110" s="622"/>
      <c r="W110" s="298"/>
      <c r="X110" s="298"/>
      <c r="Y110" s="298"/>
      <c r="Z110" s="206"/>
      <c r="AA110" s="206"/>
      <c r="AB110" s="206"/>
      <c r="AC110" s="206"/>
      <c r="AD110" s="206"/>
      <c r="AE110" s="206"/>
      <c r="AF110" s="206"/>
      <c r="AG110" s="206"/>
      <c r="AH110" s="206"/>
      <c r="AI110" s="206"/>
    </row>
    <row r="111" spans="1:35" ht="14.25" customHeight="1" thickBot="1" x14ac:dyDescent="0.35">
      <c r="A111" s="206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617"/>
      <c r="U111" s="623">
        <v>1</v>
      </c>
      <c r="V111" s="624"/>
      <c r="W111" s="298"/>
      <c r="X111" s="298"/>
      <c r="Y111" s="298"/>
      <c r="Z111" s="206"/>
      <c r="AA111" s="206"/>
      <c r="AB111" s="206"/>
      <c r="AC111" s="206"/>
      <c r="AD111" s="206"/>
      <c r="AE111" s="206"/>
      <c r="AF111" s="206"/>
      <c r="AG111" s="206"/>
      <c r="AH111" s="206"/>
      <c r="AI111" s="206"/>
    </row>
    <row r="112" spans="1:35" ht="14.25" customHeight="1" x14ac:dyDescent="0.3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617"/>
      <c r="U112" s="625" t="s">
        <v>69</v>
      </c>
      <c r="V112" s="626"/>
      <c r="W112" s="298"/>
      <c r="X112" s="298"/>
      <c r="Y112" s="298"/>
      <c r="Z112" s="206"/>
      <c r="AA112" s="206"/>
      <c r="AB112" s="206"/>
      <c r="AC112" s="206"/>
      <c r="AD112" s="206"/>
      <c r="AE112" s="206"/>
      <c r="AF112" s="206"/>
      <c r="AG112" s="206"/>
      <c r="AH112" s="206"/>
      <c r="AI112" s="206"/>
    </row>
    <row r="113" spans="1:35" ht="14.25" customHeight="1" thickBot="1" x14ac:dyDescent="0.35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617"/>
      <c r="U113" s="627"/>
      <c r="V113" s="628"/>
      <c r="W113" s="298"/>
      <c r="X113" s="298"/>
      <c r="Y113" s="298"/>
      <c r="Z113" s="206"/>
      <c r="AA113" s="206"/>
      <c r="AB113" s="206"/>
      <c r="AC113" s="206"/>
      <c r="AD113" s="206"/>
      <c r="AE113" s="206"/>
      <c r="AF113" s="206"/>
      <c r="AG113" s="206"/>
      <c r="AH113" s="206"/>
      <c r="AI113" s="206"/>
    </row>
    <row r="114" spans="1:35" ht="14.25" customHeight="1" thickBot="1" x14ac:dyDescent="0.35">
      <c r="A114" s="206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618"/>
      <c r="U114" s="629">
        <f>S100/U109</f>
        <v>0</v>
      </c>
      <c r="V114" s="630"/>
      <c r="W114" s="298"/>
      <c r="X114" s="298"/>
      <c r="Y114" s="298"/>
      <c r="Z114" s="206"/>
      <c r="AA114" s="206"/>
      <c r="AB114" s="206"/>
      <c r="AC114" s="206"/>
      <c r="AD114" s="206"/>
      <c r="AE114" s="206"/>
      <c r="AF114" s="206"/>
      <c r="AG114" s="206"/>
      <c r="AH114" s="206"/>
      <c r="AI114" s="206"/>
    </row>
    <row r="115" spans="1:35" ht="14.25" customHeight="1" x14ac:dyDescent="0.3">
      <c r="E115" s="17"/>
      <c r="F115" s="17"/>
      <c r="G115" s="41"/>
    </row>
    <row r="116" spans="1:35" ht="14.25" customHeight="1" x14ac:dyDescent="0.3">
      <c r="E116" s="17"/>
      <c r="F116" s="17"/>
      <c r="G116" s="41"/>
    </row>
    <row r="117" spans="1:35" ht="14.25" customHeight="1" x14ac:dyDescent="0.3">
      <c r="E117" s="17"/>
      <c r="F117" s="17"/>
      <c r="G117" s="41"/>
    </row>
    <row r="118" spans="1:35" ht="14.25" customHeight="1" x14ac:dyDescent="0.3">
      <c r="E118" s="17"/>
      <c r="F118" s="17"/>
      <c r="G118" s="41"/>
    </row>
    <row r="119" spans="1:35" ht="14.25" customHeight="1" x14ac:dyDescent="0.3">
      <c r="E119" s="17"/>
      <c r="F119" s="17"/>
      <c r="G119" s="41"/>
    </row>
    <row r="120" spans="1:35" ht="14.25" customHeight="1" x14ac:dyDescent="0.3">
      <c r="E120" s="17"/>
      <c r="F120" s="17"/>
      <c r="G120" s="41"/>
    </row>
    <row r="121" spans="1:35" ht="14.25" customHeight="1" x14ac:dyDescent="0.3">
      <c r="E121" s="17"/>
      <c r="F121" s="17"/>
      <c r="G121" s="41"/>
    </row>
    <row r="122" spans="1:35" ht="14.25" customHeight="1" x14ac:dyDescent="0.3">
      <c r="E122" s="17"/>
      <c r="F122" s="17"/>
      <c r="G122" s="41"/>
    </row>
    <row r="123" spans="1:35" ht="14.25" customHeight="1" x14ac:dyDescent="0.3">
      <c r="E123" s="17"/>
      <c r="F123" s="17"/>
      <c r="G123" s="41"/>
    </row>
    <row r="124" spans="1:35" ht="14.25" customHeight="1" x14ac:dyDescent="0.3">
      <c r="E124" s="17"/>
      <c r="F124" s="17"/>
      <c r="G124" s="41"/>
    </row>
    <row r="125" spans="1:35" ht="14.25" customHeight="1" x14ac:dyDescent="0.3">
      <c r="E125" s="17"/>
      <c r="F125" s="17"/>
      <c r="G125" s="41"/>
    </row>
    <row r="126" spans="1:35" ht="14.25" customHeight="1" x14ac:dyDescent="0.3">
      <c r="E126" s="17"/>
      <c r="F126" s="17"/>
      <c r="G126" s="41"/>
    </row>
    <row r="127" spans="1:35" ht="14.25" customHeight="1" x14ac:dyDescent="0.3">
      <c r="E127" s="17"/>
      <c r="F127" s="17"/>
      <c r="G127" s="41"/>
    </row>
    <row r="128" spans="1:35" ht="14.25" customHeight="1" x14ac:dyDescent="0.3">
      <c r="E128" s="17"/>
      <c r="F128" s="17"/>
      <c r="G128" s="41"/>
    </row>
    <row r="129" spans="5:7" ht="14.25" customHeight="1" x14ac:dyDescent="0.3">
      <c r="E129" s="17"/>
      <c r="F129" s="17"/>
      <c r="G129" s="41"/>
    </row>
    <row r="130" spans="5:7" ht="14.25" customHeight="1" x14ac:dyDescent="0.3">
      <c r="E130" s="17"/>
      <c r="F130" s="17"/>
      <c r="G130" s="41"/>
    </row>
    <row r="131" spans="5:7" ht="14.25" customHeight="1" x14ac:dyDescent="0.3">
      <c r="E131" s="17"/>
      <c r="F131" s="17"/>
      <c r="G131" s="41"/>
    </row>
    <row r="132" spans="5:7" ht="14.25" customHeight="1" x14ac:dyDescent="0.3">
      <c r="E132" s="17"/>
      <c r="F132" s="17"/>
      <c r="G132" s="41"/>
    </row>
    <row r="133" spans="5:7" ht="14.25" customHeight="1" x14ac:dyDescent="0.3">
      <c r="E133" s="17"/>
      <c r="F133" s="17"/>
      <c r="G133" s="41"/>
    </row>
    <row r="134" spans="5:7" ht="14.25" customHeight="1" x14ac:dyDescent="0.3">
      <c r="E134" s="17"/>
      <c r="F134" s="17"/>
      <c r="G134" s="41"/>
    </row>
    <row r="135" spans="5:7" ht="14.25" customHeight="1" x14ac:dyDescent="0.3">
      <c r="E135" s="17"/>
      <c r="F135" s="17"/>
      <c r="G135" s="41"/>
    </row>
    <row r="136" spans="5:7" ht="14.25" customHeight="1" x14ac:dyDescent="0.3">
      <c r="E136" s="17"/>
      <c r="F136" s="17"/>
      <c r="G136" s="41"/>
    </row>
    <row r="137" spans="5:7" ht="14.25" customHeight="1" x14ac:dyDescent="0.3">
      <c r="E137" s="17"/>
      <c r="F137" s="17"/>
      <c r="G137" s="41"/>
    </row>
    <row r="138" spans="5:7" ht="14.25" customHeight="1" x14ac:dyDescent="0.3">
      <c r="E138" s="17"/>
      <c r="F138" s="17"/>
      <c r="G138" s="41"/>
    </row>
    <row r="139" spans="5:7" ht="14.25" customHeight="1" x14ac:dyDescent="0.3">
      <c r="E139" s="17"/>
      <c r="F139" s="17"/>
      <c r="G139" s="41"/>
    </row>
    <row r="140" spans="5:7" ht="14.25" customHeight="1" x14ac:dyDescent="0.3">
      <c r="E140" s="17"/>
      <c r="F140" s="17"/>
      <c r="G140" s="41"/>
    </row>
    <row r="141" spans="5:7" ht="14.25" customHeight="1" x14ac:dyDescent="0.3">
      <c r="E141" s="17"/>
      <c r="F141" s="17"/>
      <c r="G141" s="41"/>
    </row>
    <row r="142" spans="5:7" ht="14.25" customHeight="1" x14ac:dyDescent="0.3">
      <c r="E142" s="17"/>
      <c r="F142" s="17"/>
      <c r="G142" s="41"/>
    </row>
    <row r="143" spans="5:7" ht="14.25" customHeight="1" x14ac:dyDescent="0.3">
      <c r="E143" s="17"/>
      <c r="F143" s="17"/>
      <c r="G143" s="41"/>
    </row>
    <row r="144" spans="5:7" ht="14.25" customHeight="1" x14ac:dyDescent="0.3">
      <c r="E144" s="17"/>
      <c r="F144" s="17"/>
      <c r="G144" s="41"/>
    </row>
    <row r="145" spans="5:7" ht="14.25" customHeight="1" x14ac:dyDescent="0.3">
      <c r="E145" s="17"/>
      <c r="F145" s="17"/>
      <c r="G145" s="41"/>
    </row>
    <row r="146" spans="5:7" ht="14.25" customHeight="1" x14ac:dyDescent="0.3">
      <c r="E146" s="17"/>
      <c r="F146" s="17"/>
      <c r="G146" s="41"/>
    </row>
    <row r="147" spans="5:7" ht="14.25" customHeight="1" x14ac:dyDescent="0.3">
      <c r="E147" s="17"/>
      <c r="F147" s="17"/>
      <c r="G147" s="41"/>
    </row>
    <row r="148" spans="5:7" ht="14.25" customHeight="1" x14ac:dyDescent="0.3">
      <c r="E148" s="17"/>
      <c r="F148" s="17"/>
      <c r="G148" s="41"/>
    </row>
    <row r="149" spans="5:7" ht="14.25" customHeight="1" x14ac:dyDescent="0.3">
      <c r="E149" s="17"/>
      <c r="F149" s="17"/>
      <c r="G149" s="41"/>
    </row>
    <row r="150" spans="5:7" ht="14.25" customHeight="1" x14ac:dyDescent="0.3">
      <c r="E150" s="17"/>
      <c r="F150" s="17"/>
      <c r="G150" s="41"/>
    </row>
    <row r="151" spans="5:7" ht="14.25" customHeight="1" x14ac:dyDescent="0.3">
      <c r="E151" s="17"/>
      <c r="F151" s="17"/>
      <c r="G151" s="41"/>
    </row>
    <row r="152" spans="5:7" ht="14.25" customHeight="1" x14ac:dyDescent="0.3">
      <c r="E152" s="17"/>
      <c r="F152" s="17"/>
      <c r="G152" s="41"/>
    </row>
    <row r="153" spans="5:7" ht="14.25" customHeight="1" x14ac:dyDescent="0.3">
      <c r="E153" s="17"/>
      <c r="F153" s="17"/>
      <c r="G153" s="41"/>
    </row>
    <row r="154" spans="5:7" ht="14.25" customHeight="1" x14ac:dyDescent="0.3">
      <c r="E154" s="17"/>
      <c r="F154" s="17"/>
      <c r="G154" s="41"/>
    </row>
    <row r="155" spans="5:7" ht="14.25" customHeight="1" x14ac:dyDescent="0.3">
      <c r="E155" s="17"/>
      <c r="F155" s="17"/>
      <c r="G155" s="41"/>
    </row>
    <row r="156" spans="5:7" ht="14.25" customHeight="1" x14ac:dyDescent="0.3">
      <c r="E156" s="17"/>
      <c r="F156" s="17"/>
      <c r="G156" s="41"/>
    </row>
    <row r="157" spans="5:7" ht="14.25" customHeight="1" x14ac:dyDescent="0.3">
      <c r="E157" s="17"/>
      <c r="F157" s="17"/>
      <c r="G157" s="41"/>
    </row>
    <row r="158" spans="5:7" ht="14.25" customHeight="1" x14ac:dyDescent="0.3">
      <c r="E158" s="17"/>
      <c r="F158" s="17"/>
      <c r="G158" s="41"/>
    </row>
    <row r="159" spans="5:7" ht="14.25" customHeight="1" x14ac:dyDescent="0.3">
      <c r="E159" s="17"/>
      <c r="F159" s="17"/>
      <c r="G159" s="41"/>
    </row>
    <row r="160" spans="5:7" ht="14.25" customHeight="1" x14ac:dyDescent="0.3">
      <c r="E160" s="17"/>
      <c r="F160" s="17"/>
      <c r="G160" s="41"/>
    </row>
    <row r="161" spans="5:7" ht="14.25" customHeight="1" x14ac:dyDescent="0.3">
      <c r="E161" s="17"/>
      <c r="F161" s="17"/>
      <c r="G161" s="41"/>
    </row>
    <row r="162" spans="5:7" ht="14.25" customHeight="1" x14ac:dyDescent="0.3">
      <c r="E162" s="17"/>
      <c r="F162" s="17"/>
      <c r="G162" s="41"/>
    </row>
    <row r="163" spans="5:7" ht="14.25" customHeight="1" x14ac:dyDescent="0.3">
      <c r="E163" s="17"/>
      <c r="F163" s="17"/>
      <c r="G163" s="41"/>
    </row>
    <row r="164" spans="5:7" ht="14.25" customHeight="1" x14ac:dyDescent="0.3">
      <c r="E164" s="17"/>
      <c r="F164" s="17"/>
      <c r="G164" s="41"/>
    </row>
    <row r="165" spans="5:7" ht="14.25" customHeight="1" x14ac:dyDescent="0.3">
      <c r="E165" s="17"/>
      <c r="F165" s="17"/>
      <c r="G165" s="41"/>
    </row>
    <row r="166" spans="5:7" ht="14.25" customHeight="1" x14ac:dyDescent="0.3">
      <c r="E166" s="17"/>
      <c r="F166" s="17"/>
      <c r="G166" s="41"/>
    </row>
    <row r="167" spans="5:7" ht="14.25" customHeight="1" x14ac:dyDescent="0.3">
      <c r="E167" s="17"/>
      <c r="F167" s="17"/>
      <c r="G167" s="41"/>
    </row>
    <row r="168" spans="5:7" ht="14.25" customHeight="1" x14ac:dyDescent="0.3">
      <c r="E168" s="17"/>
      <c r="F168" s="17"/>
      <c r="G168" s="41"/>
    </row>
    <row r="169" spans="5:7" ht="14.25" customHeight="1" x14ac:dyDescent="0.3">
      <c r="E169" s="17"/>
      <c r="F169" s="17"/>
      <c r="G169" s="41"/>
    </row>
    <row r="170" spans="5:7" ht="14.25" customHeight="1" x14ac:dyDescent="0.3">
      <c r="E170" s="17"/>
      <c r="F170" s="17"/>
      <c r="G170" s="41"/>
    </row>
    <row r="171" spans="5:7" ht="14.25" customHeight="1" x14ac:dyDescent="0.3">
      <c r="E171" s="17"/>
      <c r="F171" s="17"/>
      <c r="G171" s="41"/>
    </row>
    <row r="172" spans="5:7" ht="14.25" customHeight="1" x14ac:dyDescent="0.3">
      <c r="E172" s="17"/>
      <c r="F172" s="17"/>
      <c r="G172" s="41"/>
    </row>
    <row r="173" spans="5:7" ht="14.25" customHeight="1" x14ac:dyDescent="0.3">
      <c r="E173" s="17"/>
      <c r="F173" s="17"/>
      <c r="G173" s="41"/>
    </row>
    <row r="174" spans="5:7" ht="14.25" customHeight="1" x14ac:dyDescent="0.3">
      <c r="E174" s="17"/>
      <c r="F174" s="17"/>
      <c r="G174" s="41"/>
    </row>
    <row r="175" spans="5:7" ht="14.25" customHeight="1" x14ac:dyDescent="0.3">
      <c r="E175" s="17"/>
      <c r="F175" s="17"/>
      <c r="G175" s="41"/>
    </row>
    <row r="176" spans="5:7" ht="14.25" customHeight="1" x14ac:dyDescent="0.3">
      <c r="E176" s="17"/>
      <c r="F176" s="17"/>
      <c r="G176" s="41"/>
    </row>
    <row r="177" spans="5:7" ht="14.25" customHeight="1" x14ac:dyDescent="0.3">
      <c r="E177" s="17"/>
      <c r="F177" s="17"/>
      <c r="G177" s="41"/>
    </row>
    <row r="178" spans="5:7" ht="14.25" customHeight="1" x14ac:dyDescent="0.3">
      <c r="E178" s="17"/>
      <c r="F178" s="17"/>
      <c r="G178" s="41"/>
    </row>
    <row r="179" spans="5:7" ht="14.25" customHeight="1" x14ac:dyDescent="0.3">
      <c r="E179" s="17"/>
      <c r="F179" s="17"/>
      <c r="G179" s="41"/>
    </row>
    <row r="180" spans="5:7" ht="14.25" customHeight="1" x14ac:dyDescent="0.3">
      <c r="E180" s="17"/>
      <c r="F180" s="17"/>
      <c r="G180" s="41"/>
    </row>
    <row r="181" spans="5:7" ht="14.25" customHeight="1" x14ac:dyDescent="0.3">
      <c r="E181" s="17"/>
      <c r="F181" s="17"/>
      <c r="G181" s="41"/>
    </row>
    <row r="182" spans="5:7" ht="14.25" customHeight="1" x14ac:dyDescent="0.3">
      <c r="E182" s="17"/>
      <c r="F182" s="17"/>
      <c r="G182" s="41"/>
    </row>
    <row r="183" spans="5:7" ht="14.25" customHeight="1" x14ac:dyDescent="0.3">
      <c r="E183" s="17"/>
      <c r="F183" s="17"/>
      <c r="G183" s="41"/>
    </row>
    <row r="184" spans="5:7" ht="14.25" customHeight="1" x14ac:dyDescent="0.3">
      <c r="E184" s="17"/>
      <c r="F184" s="17"/>
      <c r="G184" s="41"/>
    </row>
    <row r="185" spans="5:7" ht="14.25" customHeight="1" x14ac:dyDescent="0.3">
      <c r="E185" s="17"/>
      <c r="F185" s="17"/>
      <c r="G185" s="41"/>
    </row>
    <row r="186" spans="5:7" ht="14.25" customHeight="1" x14ac:dyDescent="0.3">
      <c r="E186" s="17"/>
      <c r="F186" s="17"/>
      <c r="G186" s="41"/>
    </row>
    <row r="187" spans="5:7" ht="14.25" customHeight="1" x14ac:dyDescent="0.3">
      <c r="E187" s="17"/>
      <c r="F187" s="17"/>
      <c r="G187" s="41"/>
    </row>
    <row r="188" spans="5:7" ht="14.25" customHeight="1" x14ac:dyDescent="0.3">
      <c r="E188" s="17"/>
      <c r="F188" s="17"/>
      <c r="G188" s="41"/>
    </row>
    <row r="189" spans="5:7" ht="14.25" customHeight="1" x14ac:dyDescent="0.3">
      <c r="E189" s="17"/>
      <c r="F189" s="17"/>
      <c r="G189" s="41"/>
    </row>
    <row r="190" spans="5:7" ht="14.25" customHeight="1" x14ac:dyDescent="0.3">
      <c r="E190" s="17"/>
      <c r="F190" s="17"/>
      <c r="G190" s="41"/>
    </row>
    <row r="191" spans="5:7" ht="14.25" customHeight="1" x14ac:dyDescent="0.3">
      <c r="E191" s="17"/>
      <c r="F191" s="17"/>
      <c r="G191" s="41"/>
    </row>
    <row r="192" spans="5:7" ht="14.25" customHeight="1" x14ac:dyDescent="0.3">
      <c r="E192" s="17"/>
      <c r="F192" s="17"/>
      <c r="G192" s="41"/>
    </row>
    <row r="193" spans="5:7" ht="14.25" customHeight="1" x14ac:dyDescent="0.3">
      <c r="E193" s="17"/>
      <c r="F193" s="17"/>
      <c r="G193" s="41"/>
    </row>
    <row r="194" spans="5:7" ht="14.25" customHeight="1" x14ac:dyDescent="0.3">
      <c r="E194" s="17"/>
      <c r="F194" s="17"/>
      <c r="G194" s="41"/>
    </row>
    <row r="195" spans="5:7" ht="14.25" customHeight="1" x14ac:dyDescent="0.3">
      <c r="E195" s="17"/>
      <c r="F195" s="17"/>
      <c r="G195" s="41"/>
    </row>
    <row r="196" spans="5:7" ht="14.25" customHeight="1" x14ac:dyDescent="0.3">
      <c r="E196" s="17"/>
      <c r="F196" s="17"/>
      <c r="G196" s="41"/>
    </row>
    <row r="197" spans="5:7" ht="14.25" customHeight="1" x14ac:dyDescent="0.3">
      <c r="E197" s="17"/>
      <c r="F197" s="17"/>
      <c r="G197" s="41"/>
    </row>
    <row r="198" spans="5:7" ht="14.25" customHeight="1" x14ac:dyDescent="0.3">
      <c r="E198" s="17"/>
      <c r="F198" s="17"/>
      <c r="G198" s="41"/>
    </row>
    <row r="199" spans="5:7" ht="14.25" customHeight="1" x14ac:dyDescent="0.3">
      <c r="E199" s="17"/>
      <c r="F199" s="17"/>
      <c r="G199" s="41"/>
    </row>
    <row r="200" spans="5:7" ht="14.25" customHeight="1" x14ac:dyDescent="0.3">
      <c r="E200" s="17"/>
      <c r="F200" s="17"/>
      <c r="G200" s="41"/>
    </row>
    <row r="201" spans="5:7" ht="14.25" customHeight="1" x14ac:dyDescent="0.3">
      <c r="E201" s="17"/>
      <c r="F201" s="17"/>
      <c r="G201" s="41"/>
    </row>
    <row r="202" spans="5:7" ht="14.25" customHeight="1" x14ac:dyDescent="0.3">
      <c r="E202" s="17"/>
      <c r="F202" s="17"/>
      <c r="G202" s="41"/>
    </row>
    <row r="203" spans="5:7" ht="14.25" customHeight="1" x14ac:dyDescent="0.3">
      <c r="E203" s="17"/>
      <c r="F203" s="17"/>
      <c r="G203" s="41"/>
    </row>
    <row r="204" spans="5:7" ht="14.25" customHeight="1" x14ac:dyDescent="0.3">
      <c r="E204" s="17"/>
      <c r="F204" s="17"/>
      <c r="G204" s="41"/>
    </row>
    <row r="205" spans="5:7" ht="14.25" customHeight="1" x14ac:dyDescent="0.3">
      <c r="E205" s="17"/>
      <c r="F205" s="17"/>
      <c r="G205" s="41"/>
    </row>
    <row r="206" spans="5:7" ht="14.25" customHeight="1" x14ac:dyDescent="0.3">
      <c r="E206" s="17"/>
      <c r="F206" s="17"/>
      <c r="G206" s="41"/>
    </row>
    <row r="207" spans="5:7" ht="14.25" customHeight="1" x14ac:dyDescent="0.3">
      <c r="E207" s="17"/>
      <c r="F207" s="17"/>
      <c r="G207" s="41"/>
    </row>
    <row r="208" spans="5:7" ht="14.25" customHeight="1" x14ac:dyDescent="0.3">
      <c r="E208" s="17"/>
      <c r="F208" s="17"/>
      <c r="G208" s="41"/>
    </row>
    <row r="209" spans="5:7" ht="14.25" customHeight="1" x14ac:dyDescent="0.3">
      <c r="E209" s="17"/>
      <c r="F209" s="17"/>
      <c r="G209" s="41"/>
    </row>
    <row r="210" spans="5:7" ht="14.25" customHeight="1" x14ac:dyDescent="0.3">
      <c r="E210" s="17"/>
      <c r="F210" s="17"/>
      <c r="G210" s="41"/>
    </row>
    <row r="211" spans="5:7" ht="14.25" customHeight="1" x14ac:dyDescent="0.3">
      <c r="E211" s="17"/>
      <c r="F211" s="17"/>
      <c r="G211" s="41"/>
    </row>
    <row r="212" spans="5:7" ht="14.25" customHeight="1" x14ac:dyDescent="0.3">
      <c r="E212" s="17"/>
      <c r="F212" s="17"/>
      <c r="G212" s="41"/>
    </row>
    <row r="213" spans="5:7" ht="14.25" customHeight="1" x14ac:dyDescent="0.3">
      <c r="E213" s="17"/>
      <c r="F213" s="17"/>
      <c r="G213" s="41"/>
    </row>
    <row r="214" spans="5:7" ht="14.25" customHeight="1" x14ac:dyDescent="0.3">
      <c r="E214" s="17"/>
      <c r="F214" s="17"/>
      <c r="G214" s="41"/>
    </row>
    <row r="215" spans="5:7" ht="14.25" customHeight="1" x14ac:dyDescent="0.3">
      <c r="E215" s="17"/>
      <c r="F215" s="17"/>
      <c r="G215" s="41"/>
    </row>
    <row r="216" spans="5:7" ht="14.25" customHeight="1" x14ac:dyDescent="0.3">
      <c r="E216" s="17"/>
      <c r="F216" s="17"/>
      <c r="G216" s="41"/>
    </row>
    <row r="217" spans="5:7" ht="14.25" customHeight="1" x14ac:dyDescent="0.3">
      <c r="E217" s="17"/>
      <c r="F217" s="17"/>
      <c r="G217" s="41"/>
    </row>
    <row r="218" spans="5:7" ht="14.25" customHeight="1" x14ac:dyDescent="0.3">
      <c r="E218" s="17"/>
      <c r="F218" s="17"/>
      <c r="G218" s="41"/>
    </row>
    <row r="219" spans="5:7" ht="14.25" customHeight="1" x14ac:dyDescent="0.3">
      <c r="E219" s="17"/>
      <c r="F219" s="17"/>
      <c r="G219" s="41"/>
    </row>
    <row r="220" spans="5:7" ht="14.25" customHeight="1" x14ac:dyDescent="0.3">
      <c r="E220" s="17"/>
      <c r="F220" s="17"/>
      <c r="G220" s="41"/>
    </row>
    <row r="221" spans="5:7" ht="14.25" customHeight="1" x14ac:dyDescent="0.3">
      <c r="E221" s="17"/>
      <c r="F221" s="17"/>
      <c r="G221" s="41"/>
    </row>
    <row r="222" spans="5:7" ht="14.25" customHeight="1" x14ac:dyDescent="0.3">
      <c r="E222" s="17"/>
      <c r="F222" s="17"/>
      <c r="G222" s="41"/>
    </row>
    <row r="223" spans="5:7" ht="14.25" customHeight="1" x14ac:dyDescent="0.3">
      <c r="E223" s="17"/>
      <c r="F223" s="17"/>
      <c r="G223" s="41"/>
    </row>
    <row r="224" spans="5:7" ht="14.25" customHeight="1" x14ac:dyDescent="0.3">
      <c r="E224" s="17"/>
      <c r="F224" s="17"/>
      <c r="G224" s="41"/>
    </row>
    <row r="225" spans="5:7" ht="14.25" customHeight="1" x14ac:dyDescent="0.3">
      <c r="E225" s="17"/>
      <c r="F225" s="17"/>
      <c r="G225" s="41"/>
    </row>
    <row r="226" spans="5:7" ht="14.25" customHeight="1" x14ac:dyDescent="0.3">
      <c r="E226" s="17"/>
      <c r="F226" s="17"/>
      <c r="G226" s="41"/>
    </row>
    <row r="227" spans="5:7" ht="14.25" customHeight="1" x14ac:dyDescent="0.3">
      <c r="E227" s="17"/>
      <c r="F227" s="17"/>
      <c r="G227" s="41"/>
    </row>
    <row r="228" spans="5:7" ht="14.25" customHeight="1" x14ac:dyDescent="0.3">
      <c r="E228" s="17"/>
      <c r="F228" s="17"/>
      <c r="G228" s="41"/>
    </row>
    <row r="229" spans="5:7" ht="14.25" customHeight="1" x14ac:dyDescent="0.3">
      <c r="E229" s="17"/>
      <c r="F229" s="17"/>
      <c r="G229" s="41"/>
    </row>
    <row r="230" spans="5:7" ht="14.25" customHeight="1" x14ac:dyDescent="0.3">
      <c r="E230" s="17"/>
      <c r="F230" s="17"/>
      <c r="G230" s="41"/>
    </row>
    <row r="231" spans="5:7" ht="14.25" customHeight="1" x14ac:dyDescent="0.3">
      <c r="E231" s="17"/>
      <c r="F231" s="17"/>
      <c r="G231" s="41"/>
    </row>
    <row r="232" spans="5:7" ht="14.25" customHeight="1" x14ac:dyDescent="0.3">
      <c r="E232" s="17"/>
      <c r="F232" s="17"/>
      <c r="G232" s="41"/>
    </row>
    <row r="233" spans="5:7" ht="14.25" customHeight="1" x14ac:dyDescent="0.3">
      <c r="E233" s="17"/>
      <c r="F233" s="17"/>
      <c r="G233" s="41"/>
    </row>
    <row r="234" spans="5:7" ht="14.25" customHeight="1" x14ac:dyDescent="0.3">
      <c r="E234" s="17"/>
      <c r="F234" s="17"/>
      <c r="G234" s="41"/>
    </row>
    <row r="235" spans="5:7" ht="14.25" customHeight="1" x14ac:dyDescent="0.3">
      <c r="E235" s="17"/>
      <c r="F235" s="17"/>
      <c r="G235" s="41"/>
    </row>
    <row r="236" spans="5:7" ht="14.25" customHeight="1" x14ac:dyDescent="0.3">
      <c r="E236" s="17"/>
      <c r="F236" s="17"/>
      <c r="G236" s="41"/>
    </row>
    <row r="237" spans="5:7" ht="14.25" customHeight="1" x14ac:dyDescent="0.3">
      <c r="E237" s="17"/>
      <c r="F237" s="17"/>
      <c r="G237" s="41"/>
    </row>
    <row r="238" spans="5:7" ht="14.25" customHeight="1" x14ac:dyDescent="0.3">
      <c r="E238" s="17"/>
      <c r="F238" s="17"/>
      <c r="G238" s="41"/>
    </row>
    <row r="239" spans="5:7" ht="14.25" customHeight="1" x14ac:dyDescent="0.3">
      <c r="E239" s="17"/>
      <c r="F239" s="17"/>
      <c r="G239" s="41"/>
    </row>
    <row r="240" spans="5:7" ht="14.25" customHeight="1" x14ac:dyDescent="0.3">
      <c r="E240" s="17"/>
      <c r="F240" s="17"/>
      <c r="G240" s="41"/>
    </row>
    <row r="241" spans="5:7" ht="14.25" customHeight="1" x14ac:dyDescent="0.3">
      <c r="E241" s="17"/>
      <c r="F241" s="17"/>
      <c r="G241" s="41"/>
    </row>
    <row r="242" spans="5:7" ht="14.25" customHeight="1" x14ac:dyDescent="0.3">
      <c r="E242" s="17"/>
      <c r="F242" s="17"/>
      <c r="G242" s="41"/>
    </row>
    <row r="243" spans="5:7" ht="14.25" customHeight="1" x14ac:dyDescent="0.3">
      <c r="E243" s="17"/>
      <c r="F243" s="17"/>
      <c r="G243" s="41"/>
    </row>
    <row r="244" spans="5:7" ht="14.25" customHeight="1" x14ac:dyDescent="0.3">
      <c r="E244" s="17"/>
      <c r="F244" s="17"/>
      <c r="G244" s="41"/>
    </row>
    <row r="245" spans="5:7" ht="14.25" customHeight="1" x14ac:dyDescent="0.3">
      <c r="E245" s="17"/>
      <c r="F245" s="17"/>
      <c r="G245" s="41"/>
    </row>
    <row r="246" spans="5:7" ht="14.25" customHeight="1" x14ac:dyDescent="0.3">
      <c r="E246" s="17"/>
      <c r="F246" s="17"/>
      <c r="G246" s="41"/>
    </row>
    <row r="247" spans="5:7" ht="14.25" customHeight="1" x14ac:dyDescent="0.3">
      <c r="E247" s="17"/>
      <c r="F247" s="17"/>
      <c r="G247" s="41"/>
    </row>
    <row r="248" spans="5:7" ht="14.25" customHeight="1" x14ac:dyDescent="0.3">
      <c r="E248" s="17"/>
      <c r="F248" s="17"/>
      <c r="G248" s="41"/>
    </row>
    <row r="249" spans="5:7" ht="14.25" customHeight="1" x14ac:dyDescent="0.3">
      <c r="E249" s="17"/>
      <c r="F249" s="17"/>
      <c r="G249" s="41"/>
    </row>
    <row r="250" spans="5:7" ht="14.25" customHeight="1" x14ac:dyDescent="0.3">
      <c r="E250" s="17"/>
      <c r="F250" s="17"/>
      <c r="G250" s="41"/>
    </row>
    <row r="251" spans="5:7" ht="14.25" customHeight="1" x14ac:dyDescent="0.3">
      <c r="E251" s="17"/>
      <c r="F251" s="17"/>
      <c r="G251" s="41"/>
    </row>
    <row r="252" spans="5:7" ht="14.25" customHeight="1" x14ac:dyDescent="0.3">
      <c r="E252" s="17"/>
      <c r="F252" s="17"/>
      <c r="G252" s="41"/>
    </row>
    <row r="253" spans="5:7" ht="14.25" customHeight="1" x14ac:dyDescent="0.3">
      <c r="E253" s="17"/>
      <c r="F253" s="17"/>
      <c r="G253" s="41"/>
    </row>
    <row r="254" spans="5:7" ht="14.25" customHeight="1" x14ac:dyDescent="0.3">
      <c r="E254" s="17"/>
      <c r="F254" s="17"/>
      <c r="G254" s="41"/>
    </row>
    <row r="255" spans="5:7" ht="14.25" customHeight="1" x14ac:dyDescent="0.3">
      <c r="E255" s="17"/>
      <c r="F255" s="17"/>
      <c r="G255" s="41"/>
    </row>
    <row r="256" spans="5:7" ht="14.25" customHeight="1" x14ac:dyDescent="0.3">
      <c r="E256" s="17"/>
      <c r="F256" s="17"/>
      <c r="G256" s="41"/>
    </row>
    <row r="257" spans="5:7" ht="14.25" customHeight="1" x14ac:dyDescent="0.3">
      <c r="E257" s="17"/>
      <c r="F257" s="17"/>
      <c r="G257" s="41"/>
    </row>
    <row r="258" spans="5:7" ht="14.25" customHeight="1" x14ac:dyDescent="0.3">
      <c r="E258" s="17"/>
      <c r="F258" s="17"/>
      <c r="G258" s="41"/>
    </row>
    <row r="259" spans="5:7" ht="14.25" customHeight="1" x14ac:dyDescent="0.3">
      <c r="E259" s="17"/>
      <c r="F259" s="17"/>
      <c r="G259" s="41"/>
    </row>
    <row r="260" spans="5:7" ht="14.25" customHeight="1" x14ac:dyDescent="0.3">
      <c r="E260" s="17"/>
      <c r="F260" s="17"/>
      <c r="G260" s="41"/>
    </row>
    <row r="261" spans="5:7" ht="14.25" customHeight="1" x14ac:dyDescent="0.3">
      <c r="E261" s="17"/>
      <c r="F261" s="17"/>
      <c r="G261" s="41"/>
    </row>
    <row r="262" spans="5:7" ht="14.25" customHeight="1" x14ac:dyDescent="0.3">
      <c r="E262" s="17"/>
      <c r="F262" s="17"/>
      <c r="G262" s="41"/>
    </row>
    <row r="263" spans="5:7" ht="14.25" customHeight="1" x14ac:dyDescent="0.3">
      <c r="E263" s="17"/>
      <c r="F263" s="17"/>
      <c r="G263" s="41"/>
    </row>
    <row r="264" spans="5:7" ht="14.25" customHeight="1" x14ac:dyDescent="0.3">
      <c r="E264" s="17"/>
      <c r="F264" s="17"/>
      <c r="G264" s="41"/>
    </row>
    <row r="265" spans="5:7" ht="14.25" customHeight="1" x14ac:dyDescent="0.3">
      <c r="E265" s="17"/>
      <c r="F265" s="17"/>
      <c r="G265" s="41"/>
    </row>
    <row r="266" spans="5:7" ht="14.25" customHeight="1" x14ac:dyDescent="0.3">
      <c r="E266" s="17"/>
      <c r="F266" s="17"/>
      <c r="G266" s="41"/>
    </row>
    <row r="267" spans="5:7" ht="14.25" customHeight="1" x14ac:dyDescent="0.3">
      <c r="E267" s="17"/>
      <c r="F267" s="17"/>
      <c r="G267" s="41"/>
    </row>
    <row r="268" spans="5:7" ht="14.25" customHeight="1" x14ac:dyDescent="0.3">
      <c r="E268" s="17"/>
      <c r="F268" s="17"/>
      <c r="G268" s="41"/>
    </row>
    <row r="269" spans="5:7" ht="14.25" customHeight="1" x14ac:dyDescent="0.3">
      <c r="E269" s="17"/>
      <c r="F269" s="17"/>
      <c r="G269" s="41"/>
    </row>
    <row r="270" spans="5:7" ht="14.25" customHeight="1" x14ac:dyDescent="0.3">
      <c r="E270" s="17"/>
      <c r="F270" s="17"/>
      <c r="G270" s="41"/>
    </row>
    <row r="271" spans="5:7" ht="14.25" customHeight="1" x14ac:dyDescent="0.3">
      <c r="E271" s="17"/>
      <c r="F271" s="17"/>
      <c r="G271" s="41"/>
    </row>
    <row r="272" spans="5:7" ht="14.25" customHeight="1" x14ac:dyDescent="0.3">
      <c r="E272" s="17"/>
      <c r="F272" s="17"/>
      <c r="G272" s="41"/>
    </row>
    <row r="273" spans="5:7" ht="14.25" customHeight="1" x14ac:dyDescent="0.3">
      <c r="E273" s="17"/>
      <c r="F273" s="17"/>
      <c r="G273" s="41"/>
    </row>
    <row r="274" spans="5:7" ht="14.25" customHeight="1" x14ac:dyDescent="0.3">
      <c r="E274" s="17"/>
      <c r="F274" s="17"/>
      <c r="G274" s="41"/>
    </row>
    <row r="275" spans="5:7" ht="14.25" customHeight="1" x14ac:dyDescent="0.3">
      <c r="E275" s="17"/>
      <c r="F275" s="17"/>
      <c r="G275" s="41"/>
    </row>
    <row r="276" spans="5:7" ht="14.25" customHeight="1" x14ac:dyDescent="0.3">
      <c r="E276" s="17"/>
      <c r="F276" s="17"/>
      <c r="G276" s="41"/>
    </row>
    <row r="277" spans="5:7" ht="14.25" customHeight="1" x14ac:dyDescent="0.3">
      <c r="E277" s="17"/>
      <c r="F277" s="17"/>
      <c r="G277" s="41"/>
    </row>
    <row r="278" spans="5:7" ht="14.25" customHeight="1" x14ac:dyDescent="0.3">
      <c r="E278" s="17"/>
      <c r="F278" s="17"/>
      <c r="G278" s="41"/>
    </row>
    <row r="279" spans="5:7" ht="14.25" customHeight="1" x14ac:dyDescent="0.3">
      <c r="E279" s="17"/>
      <c r="F279" s="17"/>
      <c r="G279" s="41"/>
    </row>
    <row r="280" spans="5:7" ht="14.25" customHeight="1" x14ac:dyDescent="0.3">
      <c r="E280" s="17"/>
      <c r="F280" s="17"/>
      <c r="G280" s="41"/>
    </row>
    <row r="281" spans="5:7" ht="14.25" customHeight="1" x14ac:dyDescent="0.3">
      <c r="E281" s="17"/>
      <c r="F281" s="17"/>
      <c r="G281" s="41"/>
    </row>
    <row r="282" spans="5:7" ht="14.25" customHeight="1" x14ac:dyDescent="0.3">
      <c r="E282" s="17"/>
      <c r="F282" s="17"/>
      <c r="G282" s="41"/>
    </row>
    <row r="283" spans="5:7" ht="14.25" customHeight="1" x14ac:dyDescent="0.3">
      <c r="E283" s="17"/>
      <c r="F283" s="17"/>
      <c r="G283" s="41"/>
    </row>
    <row r="284" spans="5:7" ht="14.25" customHeight="1" x14ac:dyDescent="0.3">
      <c r="E284" s="17"/>
      <c r="F284" s="17"/>
      <c r="G284" s="41"/>
    </row>
    <row r="285" spans="5:7" ht="14.25" customHeight="1" x14ac:dyDescent="0.3">
      <c r="E285" s="17"/>
      <c r="F285" s="17"/>
      <c r="G285" s="41"/>
    </row>
    <row r="286" spans="5:7" ht="14.25" customHeight="1" x14ac:dyDescent="0.3">
      <c r="E286" s="17"/>
      <c r="F286" s="17"/>
      <c r="G286" s="41"/>
    </row>
    <row r="287" spans="5:7" ht="14.25" customHeight="1" x14ac:dyDescent="0.3">
      <c r="E287" s="17"/>
      <c r="F287" s="17"/>
      <c r="G287" s="41"/>
    </row>
    <row r="288" spans="5:7" ht="14.25" customHeight="1" x14ac:dyDescent="0.3">
      <c r="E288" s="17"/>
      <c r="F288" s="17"/>
      <c r="G288" s="41"/>
    </row>
    <row r="289" spans="5:7" ht="14.25" customHeight="1" x14ac:dyDescent="0.3">
      <c r="E289" s="17"/>
      <c r="F289" s="17"/>
      <c r="G289" s="41"/>
    </row>
    <row r="290" spans="5:7" ht="14.25" customHeight="1" x14ac:dyDescent="0.3">
      <c r="E290" s="17"/>
      <c r="F290" s="17"/>
      <c r="G290" s="41"/>
    </row>
    <row r="291" spans="5:7" ht="14.25" customHeight="1" x14ac:dyDescent="0.3">
      <c r="E291" s="17"/>
      <c r="F291" s="17"/>
      <c r="G291" s="41"/>
    </row>
    <row r="292" spans="5:7" ht="14.25" customHeight="1" x14ac:dyDescent="0.3">
      <c r="E292" s="17"/>
      <c r="F292" s="17"/>
      <c r="G292" s="41"/>
    </row>
    <row r="293" spans="5:7" ht="14.25" customHeight="1" x14ac:dyDescent="0.3">
      <c r="E293" s="17"/>
      <c r="F293" s="17"/>
      <c r="G293" s="41"/>
    </row>
    <row r="294" spans="5:7" ht="14.25" customHeight="1" x14ac:dyDescent="0.3">
      <c r="E294" s="17"/>
      <c r="F294" s="17"/>
      <c r="G294" s="41"/>
    </row>
    <row r="295" spans="5:7" ht="14.25" customHeight="1" x14ac:dyDescent="0.3">
      <c r="E295" s="17"/>
      <c r="F295" s="17"/>
      <c r="G295" s="41"/>
    </row>
    <row r="296" spans="5:7" ht="14.25" customHeight="1" x14ac:dyDescent="0.3">
      <c r="E296" s="17"/>
      <c r="F296" s="17"/>
      <c r="G296" s="41"/>
    </row>
    <row r="297" spans="5:7" ht="14.25" customHeight="1" x14ac:dyDescent="0.3">
      <c r="E297" s="17"/>
      <c r="F297" s="17"/>
      <c r="G297" s="41"/>
    </row>
    <row r="298" spans="5:7" ht="14.25" customHeight="1" x14ac:dyDescent="0.3">
      <c r="E298" s="17"/>
      <c r="F298" s="17"/>
      <c r="G298" s="41"/>
    </row>
    <row r="299" spans="5:7" ht="14.25" customHeight="1" x14ac:dyDescent="0.3">
      <c r="E299" s="17"/>
      <c r="F299" s="17"/>
      <c r="G299" s="41"/>
    </row>
    <row r="300" spans="5:7" ht="14.25" customHeight="1" x14ac:dyDescent="0.3">
      <c r="E300" s="17"/>
      <c r="F300" s="17"/>
      <c r="G300" s="41"/>
    </row>
    <row r="301" spans="5:7" ht="14.25" customHeight="1" x14ac:dyDescent="0.3">
      <c r="E301" s="17"/>
      <c r="F301" s="17"/>
      <c r="G301" s="41"/>
    </row>
    <row r="302" spans="5:7" ht="14.25" customHeight="1" x14ac:dyDescent="0.3">
      <c r="E302" s="17"/>
      <c r="F302" s="17"/>
      <c r="G302" s="41"/>
    </row>
    <row r="303" spans="5:7" ht="14.25" customHeight="1" x14ac:dyDescent="0.3">
      <c r="E303" s="17"/>
      <c r="F303" s="17"/>
      <c r="G303" s="41"/>
    </row>
    <row r="304" spans="5:7" ht="14.25" customHeight="1" x14ac:dyDescent="0.3">
      <c r="E304" s="17"/>
      <c r="F304" s="17"/>
      <c r="G304" s="41"/>
    </row>
    <row r="305" spans="5:7" ht="14.25" customHeight="1" x14ac:dyDescent="0.3">
      <c r="E305" s="17"/>
      <c r="F305" s="17"/>
      <c r="G305" s="41"/>
    </row>
    <row r="306" spans="5:7" ht="14.25" customHeight="1" x14ac:dyDescent="0.3">
      <c r="E306" s="17"/>
      <c r="F306" s="17"/>
      <c r="G306" s="41"/>
    </row>
    <row r="307" spans="5:7" ht="14.25" customHeight="1" x14ac:dyDescent="0.3">
      <c r="E307" s="17"/>
      <c r="F307" s="17"/>
      <c r="G307" s="41"/>
    </row>
    <row r="308" spans="5:7" ht="14.25" customHeight="1" x14ac:dyDescent="0.3">
      <c r="E308" s="17"/>
      <c r="F308" s="17"/>
      <c r="G308" s="41"/>
    </row>
    <row r="309" spans="5:7" ht="14.25" customHeight="1" x14ac:dyDescent="0.3">
      <c r="E309" s="17"/>
      <c r="F309" s="17"/>
      <c r="G309" s="41"/>
    </row>
    <row r="310" spans="5:7" ht="14.25" customHeight="1" x14ac:dyDescent="0.3">
      <c r="E310" s="17"/>
      <c r="F310" s="17"/>
      <c r="G310" s="41"/>
    </row>
    <row r="311" spans="5:7" ht="14.25" customHeight="1" x14ac:dyDescent="0.3">
      <c r="E311" s="17"/>
      <c r="F311" s="17"/>
      <c r="G311" s="41"/>
    </row>
    <row r="312" spans="5:7" ht="14.25" customHeight="1" x14ac:dyDescent="0.3">
      <c r="E312" s="17"/>
      <c r="F312" s="17"/>
      <c r="G312" s="41"/>
    </row>
    <row r="313" spans="5:7" ht="14.25" customHeight="1" x14ac:dyDescent="0.3">
      <c r="E313" s="17"/>
      <c r="F313" s="17"/>
      <c r="G313" s="41"/>
    </row>
    <row r="314" spans="5:7" ht="14.25" customHeight="1" x14ac:dyDescent="0.3">
      <c r="E314" s="17"/>
      <c r="F314" s="17"/>
      <c r="G314" s="41"/>
    </row>
    <row r="315" spans="5:7" ht="14.25" customHeight="1" x14ac:dyDescent="0.3">
      <c r="E315" s="17"/>
      <c r="F315" s="17"/>
      <c r="G315" s="41"/>
    </row>
    <row r="316" spans="5:7" ht="14.25" customHeight="1" x14ac:dyDescent="0.3">
      <c r="E316" s="17"/>
      <c r="F316" s="17"/>
      <c r="G316" s="41"/>
    </row>
    <row r="317" spans="5:7" ht="14.25" customHeight="1" x14ac:dyDescent="0.3">
      <c r="E317" s="17"/>
      <c r="F317" s="17"/>
      <c r="G317" s="41"/>
    </row>
    <row r="318" spans="5:7" ht="14.25" customHeight="1" x14ac:dyDescent="0.3">
      <c r="E318" s="17"/>
      <c r="F318" s="17"/>
      <c r="G318" s="41"/>
    </row>
    <row r="319" spans="5:7" ht="14.25" customHeight="1" x14ac:dyDescent="0.3">
      <c r="E319" s="17"/>
      <c r="F319" s="17"/>
      <c r="G319" s="41"/>
    </row>
    <row r="320" spans="5:7" ht="14.25" customHeight="1" x14ac:dyDescent="0.3">
      <c r="E320" s="17"/>
      <c r="F320" s="17"/>
      <c r="G320" s="41"/>
    </row>
    <row r="321" spans="5:7" ht="14.25" customHeight="1" x14ac:dyDescent="0.3">
      <c r="E321" s="17"/>
      <c r="F321" s="17"/>
      <c r="G321" s="41"/>
    </row>
    <row r="322" spans="5:7" ht="14.25" customHeight="1" x14ac:dyDescent="0.3">
      <c r="E322" s="17"/>
      <c r="F322" s="17"/>
      <c r="G322" s="41"/>
    </row>
    <row r="323" spans="5:7" ht="14.25" customHeight="1" x14ac:dyDescent="0.3">
      <c r="E323" s="17"/>
      <c r="F323" s="17"/>
      <c r="G323" s="41"/>
    </row>
    <row r="324" spans="5:7" ht="14.25" customHeight="1" x14ac:dyDescent="0.3">
      <c r="E324" s="17"/>
      <c r="F324" s="17"/>
      <c r="G324" s="41"/>
    </row>
    <row r="325" spans="5:7" ht="14.25" customHeight="1" x14ac:dyDescent="0.3">
      <c r="E325" s="17"/>
      <c r="F325" s="17"/>
      <c r="G325" s="41"/>
    </row>
    <row r="326" spans="5:7" ht="14.25" customHeight="1" x14ac:dyDescent="0.3">
      <c r="E326" s="17"/>
      <c r="F326" s="17"/>
      <c r="G326" s="41"/>
    </row>
    <row r="327" spans="5:7" ht="14.25" customHeight="1" x14ac:dyDescent="0.3">
      <c r="E327" s="17"/>
      <c r="F327" s="17"/>
      <c r="G327" s="41"/>
    </row>
    <row r="328" spans="5:7" ht="14.25" customHeight="1" x14ac:dyDescent="0.3">
      <c r="E328" s="17"/>
      <c r="F328" s="17"/>
      <c r="G328" s="41"/>
    </row>
    <row r="329" spans="5:7" ht="14.25" customHeight="1" x14ac:dyDescent="0.3">
      <c r="E329" s="17"/>
      <c r="F329" s="17"/>
      <c r="G329" s="41"/>
    </row>
    <row r="330" spans="5:7" ht="14.25" customHeight="1" x14ac:dyDescent="0.3">
      <c r="E330" s="17"/>
      <c r="F330" s="17"/>
      <c r="G330" s="41"/>
    </row>
    <row r="331" spans="5:7" ht="14.25" customHeight="1" x14ac:dyDescent="0.3">
      <c r="E331" s="17"/>
      <c r="F331" s="17"/>
      <c r="G331" s="41"/>
    </row>
    <row r="332" spans="5:7" ht="14.25" customHeight="1" x14ac:dyDescent="0.3">
      <c r="E332" s="17"/>
      <c r="F332" s="17"/>
      <c r="G332" s="41"/>
    </row>
    <row r="333" spans="5:7" ht="14.25" customHeight="1" x14ac:dyDescent="0.3">
      <c r="E333" s="17"/>
      <c r="F333" s="17"/>
      <c r="G333" s="41"/>
    </row>
    <row r="334" spans="5:7" ht="14.25" customHeight="1" x14ac:dyDescent="0.3">
      <c r="E334" s="17"/>
      <c r="F334" s="17"/>
      <c r="G334" s="41"/>
    </row>
    <row r="335" spans="5:7" ht="14.25" customHeight="1" x14ac:dyDescent="0.3">
      <c r="E335" s="17"/>
      <c r="F335" s="17"/>
      <c r="G335" s="41"/>
    </row>
    <row r="336" spans="5:7" ht="14.25" customHeight="1" x14ac:dyDescent="0.3">
      <c r="E336" s="17"/>
      <c r="F336" s="17"/>
      <c r="G336" s="41"/>
    </row>
    <row r="337" spans="5:7" ht="14.25" customHeight="1" x14ac:dyDescent="0.3">
      <c r="E337" s="17"/>
      <c r="F337" s="17"/>
      <c r="G337" s="41"/>
    </row>
    <row r="338" spans="5:7" ht="14.25" customHeight="1" x14ac:dyDescent="0.3">
      <c r="E338" s="17"/>
      <c r="F338" s="17"/>
      <c r="G338" s="41"/>
    </row>
    <row r="339" spans="5:7" ht="14.25" customHeight="1" x14ac:dyDescent="0.3">
      <c r="E339" s="17"/>
      <c r="F339" s="17"/>
      <c r="G339" s="41"/>
    </row>
    <row r="340" spans="5:7" ht="14.25" customHeight="1" x14ac:dyDescent="0.3">
      <c r="E340" s="17"/>
      <c r="F340" s="17"/>
      <c r="G340" s="41"/>
    </row>
    <row r="341" spans="5:7" ht="14.25" customHeight="1" x14ac:dyDescent="0.3">
      <c r="E341" s="17"/>
      <c r="F341" s="17"/>
      <c r="G341" s="41"/>
    </row>
    <row r="342" spans="5:7" ht="14.25" customHeight="1" x14ac:dyDescent="0.3">
      <c r="E342" s="17"/>
      <c r="F342" s="17"/>
      <c r="G342" s="41"/>
    </row>
    <row r="343" spans="5:7" ht="14.25" customHeight="1" x14ac:dyDescent="0.3">
      <c r="E343" s="17"/>
      <c r="F343" s="17"/>
      <c r="G343" s="41"/>
    </row>
    <row r="344" spans="5:7" ht="14.25" customHeight="1" x14ac:dyDescent="0.3">
      <c r="E344" s="17"/>
      <c r="F344" s="17"/>
      <c r="G344" s="41"/>
    </row>
    <row r="345" spans="5:7" ht="14.25" customHeight="1" x14ac:dyDescent="0.3">
      <c r="E345" s="17"/>
      <c r="F345" s="17"/>
      <c r="G345" s="41"/>
    </row>
    <row r="346" spans="5:7" ht="14.25" customHeight="1" x14ac:dyDescent="0.3">
      <c r="E346" s="17"/>
      <c r="F346" s="17"/>
      <c r="G346" s="41"/>
    </row>
    <row r="347" spans="5:7" ht="14.25" customHeight="1" x14ac:dyDescent="0.3">
      <c r="E347" s="17"/>
      <c r="F347" s="17"/>
      <c r="G347" s="41"/>
    </row>
    <row r="348" spans="5:7" ht="14.25" customHeight="1" x14ac:dyDescent="0.3">
      <c r="E348" s="17"/>
      <c r="F348" s="17"/>
      <c r="G348" s="41"/>
    </row>
    <row r="349" spans="5:7" ht="14.25" customHeight="1" x14ac:dyDescent="0.3">
      <c r="E349" s="17"/>
      <c r="F349" s="17"/>
      <c r="G349" s="41"/>
    </row>
    <row r="350" spans="5:7" ht="14.25" customHeight="1" x14ac:dyDescent="0.3">
      <c r="E350" s="17"/>
      <c r="F350" s="17"/>
      <c r="G350" s="41"/>
    </row>
    <row r="351" spans="5:7" ht="14.25" customHeight="1" x14ac:dyDescent="0.3">
      <c r="E351" s="17"/>
      <c r="F351" s="17"/>
      <c r="G351" s="41"/>
    </row>
    <row r="352" spans="5:7" ht="14.25" customHeight="1" x14ac:dyDescent="0.3">
      <c r="E352" s="17"/>
      <c r="F352" s="17"/>
      <c r="G352" s="41"/>
    </row>
    <row r="353" spans="5:7" ht="14.25" customHeight="1" x14ac:dyDescent="0.3">
      <c r="E353" s="17"/>
      <c r="F353" s="17"/>
      <c r="G353" s="41"/>
    </row>
    <row r="354" spans="5:7" ht="14.25" customHeight="1" x14ac:dyDescent="0.3">
      <c r="E354" s="17"/>
      <c r="F354" s="17"/>
      <c r="G354" s="41"/>
    </row>
    <row r="355" spans="5:7" ht="14.25" customHeight="1" x14ac:dyDescent="0.3">
      <c r="E355" s="17"/>
      <c r="F355" s="17"/>
      <c r="G355" s="41"/>
    </row>
    <row r="356" spans="5:7" ht="14.25" customHeight="1" x14ac:dyDescent="0.3">
      <c r="E356" s="17"/>
      <c r="F356" s="17"/>
      <c r="G356" s="41"/>
    </row>
    <row r="357" spans="5:7" ht="14.25" customHeight="1" x14ac:dyDescent="0.3">
      <c r="E357" s="17"/>
      <c r="F357" s="17"/>
      <c r="G357" s="41"/>
    </row>
    <row r="358" spans="5:7" ht="14.25" customHeight="1" x14ac:dyDescent="0.3">
      <c r="E358" s="17"/>
      <c r="F358" s="17"/>
      <c r="G358" s="41"/>
    </row>
    <row r="359" spans="5:7" ht="14.25" customHeight="1" x14ac:dyDescent="0.3">
      <c r="E359" s="17"/>
      <c r="F359" s="17"/>
      <c r="G359" s="41"/>
    </row>
    <row r="360" spans="5:7" ht="14.25" customHeight="1" x14ac:dyDescent="0.3">
      <c r="E360" s="17"/>
      <c r="F360" s="17"/>
      <c r="G360" s="41"/>
    </row>
    <row r="361" spans="5:7" ht="14.25" customHeight="1" x14ac:dyDescent="0.3">
      <c r="E361" s="17"/>
      <c r="F361" s="17"/>
      <c r="G361" s="41"/>
    </row>
    <row r="362" spans="5:7" ht="14.25" customHeight="1" x14ac:dyDescent="0.3">
      <c r="E362" s="17"/>
      <c r="F362" s="17"/>
      <c r="G362" s="41"/>
    </row>
    <row r="363" spans="5:7" ht="14.25" customHeight="1" x14ac:dyDescent="0.3">
      <c r="E363" s="17"/>
      <c r="F363" s="17"/>
      <c r="G363" s="41"/>
    </row>
    <row r="364" spans="5:7" ht="14.25" customHeight="1" x14ac:dyDescent="0.3">
      <c r="E364" s="17"/>
      <c r="F364" s="17"/>
      <c r="G364" s="41"/>
    </row>
    <row r="365" spans="5:7" ht="14.25" customHeight="1" x14ac:dyDescent="0.3">
      <c r="E365" s="17"/>
      <c r="F365" s="17"/>
      <c r="G365" s="41"/>
    </row>
    <row r="366" spans="5:7" ht="14.25" customHeight="1" x14ac:dyDescent="0.3">
      <c r="E366" s="17"/>
      <c r="F366" s="17"/>
      <c r="G366" s="41"/>
    </row>
    <row r="367" spans="5:7" ht="14.25" customHeight="1" x14ac:dyDescent="0.3">
      <c r="E367" s="17"/>
      <c r="F367" s="17"/>
      <c r="G367" s="41"/>
    </row>
    <row r="368" spans="5:7" ht="14.25" customHeight="1" x14ac:dyDescent="0.3">
      <c r="E368" s="17"/>
      <c r="F368" s="17"/>
      <c r="G368" s="41"/>
    </row>
    <row r="369" spans="5:7" ht="14.25" customHeight="1" x14ac:dyDescent="0.3">
      <c r="E369" s="17"/>
      <c r="F369" s="17"/>
      <c r="G369" s="41"/>
    </row>
    <row r="370" spans="5:7" ht="14.25" customHeight="1" x14ac:dyDescent="0.3">
      <c r="E370" s="17"/>
      <c r="F370" s="17"/>
      <c r="G370" s="41"/>
    </row>
    <row r="371" spans="5:7" ht="14.25" customHeight="1" x14ac:dyDescent="0.3">
      <c r="E371" s="17"/>
      <c r="F371" s="17"/>
      <c r="G371" s="41"/>
    </row>
    <row r="372" spans="5:7" ht="14.25" customHeight="1" x14ac:dyDescent="0.3">
      <c r="E372" s="17"/>
      <c r="F372" s="17"/>
      <c r="G372" s="41"/>
    </row>
    <row r="373" spans="5:7" ht="14.25" customHeight="1" x14ac:dyDescent="0.3">
      <c r="E373" s="17"/>
      <c r="F373" s="17"/>
      <c r="G373" s="41"/>
    </row>
    <row r="374" spans="5:7" ht="14.25" customHeight="1" x14ac:dyDescent="0.3">
      <c r="E374" s="17"/>
      <c r="F374" s="17"/>
      <c r="G374" s="41"/>
    </row>
    <row r="375" spans="5:7" ht="14.25" customHeight="1" x14ac:dyDescent="0.3">
      <c r="E375" s="17"/>
      <c r="F375" s="17"/>
      <c r="G375" s="41"/>
    </row>
    <row r="376" spans="5:7" ht="14.25" customHeight="1" x14ac:dyDescent="0.3">
      <c r="E376" s="17"/>
      <c r="F376" s="17"/>
      <c r="G376" s="41"/>
    </row>
    <row r="377" spans="5:7" ht="14.25" customHeight="1" x14ac:dyDescent="0.3">
      <c r="E377" s="17"/>
      <c r="F377" s="17"/>
      <c r="G377" s="41"/>
    </row>
    <row r="378" spans="5:7" ht="14.25" customHeight="1" x14ac:dyDescent="0.3">
      <c r="E378" s="17"/>
      <c r="F378" s="17"/>
      <c r="G378" s="41"/>
    </row>
    <row r="379" spans="5:7" ht="14.25" customHeight="1" x14ac:dyDescent="0.3">
      <c r="E379" s="17"/>
      <c r="F379" s="17"/>
      <c r="G379" s="41"/>
    </row>
    <row r="380" spans="5:7" ht="14.25" customHeight="1" x14ac:dyDescent="0.3">
      <c r="E380" s="17"/>
      <c r="F380" s="17"/>
      <c r="G380" s="41"/>
    </row>
    <row r="381" spans="5:7" ht="14.25" customHeight="1" x14ac:dyDescent="0.3">
      <c r="E381" s="17"/>
      <c r="F381" s="17"/>
      <c r="G381" s="41"/>
    </row>
    <row r="382" spans="5:7" ht="14.25" customHeight="1" x14ac:dyDescent="0.3">
      <c r="E382" s="17"/>
      <c r="F382" s="17"/>
      <c r="G382" s="41"/>
    </row>
    <row r="383" spans="5:7" ht="14.25" customHeight="1" x14ac:dyDescent="0.3">
      <c r="E383" s="17"/>
      <c r="F383" s="17"/>
      <c r="G383" s="41"/>
    </row>
    <row r="384" spans="5:7" ht="14.25" customHeight="1" x14ac:dyDescent="0.3">
      <c r="E384" s="17"/>
      <c r="F384" s="17"/>
      <c r="G384" s="41"/>
    </row>
    <row r="385" spans="5:7" ht="14.25" customHeight="1" x14ac:dyDescent="0.3">
      <c r="E385" s="17"/>
      <c r="F385" s="17"/>
      <c r="G385" s="41"/>
    </row>
    <row r="386" spans="5:7" ht="14.25" customHeight="1" x14ac:dyDescent="0.3">
      <c r="E386" s="17"/>
      <c r="F386" s="17"/>
      <c r="G386" s="41"/>
    </row>
    <row r="387" spans="5:7" ht="14.25" customHeight="1" x14ac:dyDescent="0.3">
      <c r="E387" s="17"/>
      <c r="F387" s="17"/>
      <c r="G387" s="41"/>
    </row>
    <row r="388" spans="5:7" ht="14.25" customHeight="1" x14ac:dyDescent="0.3">
      <c r="E388" s="17"/>
      <c r="F388" s="17"/>
      <c r="G388" s="41"/>
    </row>
    <row r="389" spans="5:7" ht="14.25" customHeight="1" x14ac:dyDescent="0.3">
      <c r="E389" s="17"/>
      <c r="F389" s="17"/>
      <c r="G389" s="41"/>
    </row>
    <row r="390" spans="5:7" ht="14.25" customHeight="1" x14ac:dyDescent="0.3">
      <c r="E390" s="17"/>
      <c r="F390" s="17"/>
      <c r="G390" s="41"/>
    </row>
    <row r="391" spans="5:7" ht="14.25" customHeight="1" x14ac:dyDescent="0.3">
      <c r="E391" s="17"/>
      <c r="F391" s="17"/>
      <c r="G391" s="41"/>
    </row>
    <row r="392" spans="5:7" ht="14.25" customHeight="1" x14ac:dyDescent="0.3">
      <c r="E392" s="17"/>
      <c r="F392" s="17"/>
      <c r="G392" s="41"/>
    </row>
    <row r="393" spans="5:7" ht="14.25" customHeight="1" x14ac:dyDescent="0.3">
      <c r="E393" s="17"/>
      <c r="F393" s="17"/>
      <c r="G393" s="41"/>
    </row>
    <row r="394" spans="5:7" ht="14.25" customHeight="1" x14ac:dyDescent="0.3">
      <c r="E394" s="17"/>
      <c r="F394" s="17"/>
      <c r="G394" s="41"/>
    </row>
    <row r="395" spans="5:7" ht="14.25" customHeight="1" x14ac:dyDescent="0.3">
      <c r="E395" s="17"/>
      <c r="F395" s="17"/>
      <c r="G395" s="41"/>
    </row>
    <row r="396" spans="5:7" ht="14.25" customHeight="1" x14ac:dyDescent="0.3">
      <c r="E396" s="17"/>
      <c r="F396" s="17"/>
      <c r="G396" s="41"/>
    </row>
    <row r="397" spans="5:7" ht="14.25" customHeight="1" x14ac:dyDescent="0.3">
      <c r="E397" s="17"/>
      <c r="F397" s="17"/>
      <c r="G397" s="41"/>
    </row>
    <row r="398" spans="5:7" ht="14.25" customHeight="1" x14ac:dyDescent="0.3">
      <c r="E398" s="17"/>
      <c r="F398" s="17"/>
      <c r="G398" s="41"/>
    </row>
    <row r="399" spans="5:7" ht="14.25" customHeight="1" x14ac:dyDescent="0.3">
      <c r="E399" s="17"/>
      <c r="F399" s="17"/>
      <c r="G399" s="41"/>
    </row>
    <row r="400" spans="5:7" ht="14.25" customHeight="1" x14ac:dyDescent="0.3">
      <c r="E400" s="17"/>
      <c r="F400" s="17"/>
      <c r="G400" s="41"/>
    </row>
    <row r="401" spans="5:7" ht="14.25" customHeight="1" x14ac:dyDescent="0.3">
      <c r="E401" s="17"/>
      <c r="F401" s="17"/>
      <c r="G401" s="41"/>
    </row>
    <row r="402" spans="5:7" ht="14.25" customHeight="1" x14ac:dyDescent="0.3">
      <c r="E402" s="17"/>
      <c r="F402" s="17"/>
      <c r="G402" s="41"/>
    </row>
    <row r="403" spans="5:7" ht="14.25" customHeight="1" x14ac:dyDescent="0.3">
      <c r="E403" s="17"/>
      <c r="F403" s="17"/>
      <c r="G403" s="41"/>
    </row>
    <row r="404" spans="5:7" ht="14.25" customHeight="1" x14ac:dyDescent="0.3">
      <c r="E404" s="17"/>
      <c r="F404" s="17"/>
      <c r="G404" s="41"/>
    </row>
    <row r="405" spans="5:7" ht="14.25" customHeight="1" x14ac:dyDescent="0.3">
      <c r="E405" s="17"/>
      <c r="F405" s="17"/>
      <c r="G405" s="41"/>
    </row>
    <row r="406" spans="5:7" ht="14.25" customHeight="1" x14ac:dyDescent="0.3">
      <c r="E406" s="17"/>
      <c r="F406" s="17"/>
      <c r="G406" s="41"/>
    </row>
    <row r="407" spans="5:7" ht="14.25" customHeight="1" x14ac:dyDescent="0.3">
      <c r="E407" s="17"/>
      <c r="F407" s="17"/>
      <c r="G407" s="41"/>
    </row>
    <row r="408" spans="5:7" ht="14.25" customHeight="1" x14ac:dyDescent="0.3">
      <c r="E408" s="17"/>
      <c r="F408" s="17"/>
      <c r="G408" s="41"/>
    </row>
    <row r="409" spans="5:7" ht="14.25" customHeight="1" x14ac:dyDescent="0.3">
      <c r="E409" s="17"/>
      <c r="F409" s="17"/>
      <c r="G409" s="41"/>
    </row>
    <row r="410" spans="5:7" ht="14.25" customHeight="1" x14ac:dyDescent="0.3">
      <c r="E410" s="17"/>
      <c r="F410" s="17"/>
      <c r="G410" s="41"/>
    </row>
    <row r="411" spans="5:7" ht="14.25" customHeight="1" x14ac:dyDescent="0.3">
      <c r="E411" s="17"/>
      <c r="F411" s="17"/>
      <c r="G411" s="41"/>
    </row>
    <row r="412" spans="5:7" ht="14.25" customHeight="1" x14ac:dyDescent="0.3">
      <c r="E412" s="17"/>
      <c r="F412" s="17"/>
      <c r="G412" s="41"/>
    </row>
    <row r="413" spans="5:7" ht="14.25" customHeight="1" x14ac:dyDescent="0.3">
      <c r="E413" s="17"/>
      <c r="F413" s="17"/>
      <c r="G413" s="41"/>
    </row>
    <row r="414" spans="5:7" ht="14.25" customHeight="1" x14ac:dyDescent="0.3">
      <c r="E414" s="17"/>
      <c r="F414" s="17"/>
      <c r="G414" s="41"/>
    </row>
    <row r="415" spans="5:7" ht="14.25" customHeight="1" x14ac:dyDescent="0.3">
      <c r="E415" s="17"/>
      <c r="F415" s="17"/>
      <c r="G415" s="41"/>
    </row>
    <row r="416" spans="5:7" ht="14.25" customHeight="1" x14ac:dyDescent="0.3">
      <c r="E416" s="17"/>
      <c r="F416" s="17"/>
      <c r="G416" s="41"/>
    </row>
    <row r="417" spans="5:7" ht="14.25" customHeight="1" x14ac:dyDescent="0.3">
      <c r="E417" s="17"/>
      <c r="F417" s="17"/>
      <c r="G417" s="41"/>
    </row>
    <row r="418" spans="5:7" ht="14.25" customHeight="1" x14ac:dyDescent="0.3">
      <c r="E418" s="17"/>
      <c r="F418" s="17"/>
      <c r="G418" s="41"/>
    </row>
    <row r="419" spans="5:7" ht="14.25" customHeight="1" x14ac:dyDescent="0.3">
      <c r="E419" s="17"/>
      <c r="F419" s="17"/>
      <c r="G419" s="41"/>
    </row>
    <row r="420" spans="5:7" ht="14.25" customHeight="1" x14ac:dyDescent="0.3">
      <c r="E420" s="17"/>
      <c r="F420" s="17"/>
      <c r="G420" s="41"/>
    </row>
    <row r="421" spans="5:7" ht="14.25" customHeight="1" x14ac:dyDescent="0.3">
      <c r="E421" s="17"/>
      <c r="F421" s="17"/>
      <c r="G421" s="41"/>
    </row>
    <row r="422" spans="5:7" ht="14.25" customHeight="1" x14ac:dyDescent="0.3">
      <c r="E422" s="17"/>
      <c r="F422" s="17"/>
      <c r="G422" s="41"/>
    </row>
    <row r="423" spans="5:7" ht="14.25" customHeight="1" x14ac:dyDescent="0.3">
      <c r="E423" s="17"/>
      <c r="F423" s="17"/>
      <c r="G423" s="41"/>
    </row>
    <row r="424" spans="5:7" ht="14.25" customHeight="1" x14ac:dyDescent="0.3">
      <c r="E424" s="17"/>
      <c r="F424" s="17"/>
      <c r="G424" s="41"/>
    </row>
    <row r="425" spans="5:7" ht="14.25" customHeight="1" x14ac:dyDescent="0.3">
      <c r="E425" s="17"/>
      <c r="F425" s="17"/>
      <c r="G425" s="41"/>
    </row>
    <row r="426" spans="5:7" ht="14.25" customHeight="1" x14ac:dyDescent="0.3">
      <c r="E426" s="17"/>
      <c r="F426" s="17"/>
      <c r="G426" s="41"/>
    </row>
    <row r="427" spans="5:7" ht="14.25" customHeight="1" x14ac:dyDescent="0.3">
      <c r="E427" s="17"/>
      <c r="F427" s="17"/>
      <c r="G427" s="41"/>
    </row>
    <row r="428" spans="5:7" ht="14.25" customHeight="1" x14ac:dyDescent="0.3">
      <c r="E428" s="17"/>
      <c r="F428" s="17"/>
      <c r="G428" s="41"/>
    </row>
    <row r="429" spans="5:7" ht="14.25" customHeight="1" x14ac:dyDescent="0.3">
      <c r="E429" s="17"/>
      <c r="F429" s="17"/>
      <c r="G429" s="41"/>
    </row>
    <row r="430" spans="5:7" ht="14.25" customHeight="1" x14ac:dyDescent="0.3">
      <c r="E430" s="17"/>
      <c r="F430" s="17"/>
      <c r="G430" s="41"/>
    </row>
    <row r="431" spans="5:7" ht="14.25" customHeight="1" x14ac:dyDescent="0.3">
      <c r="E431" s="17"/>
      <c r="F431" s="17"/>
      <c r="G431" s="41"/>
    </row>
    <row r="432" spans="5:7" ht="14.25" customHeight="1" x14ac:dyDescent="0.3">
      <c r="E432" s="17"/>
      <c r="F432" s="17"/>
      <c r="G432" s="41"/>
    </row>
    <row r="433" spans="5:7" ht="14.25" customHeight="1" x14ac:dyDescent="0.3">
      <c r="E433" s="17"/>
      <c r="F433" s="17"/>
      <c r="G433" s="41"/>
    </row>
    <row r="434" spans="5:7" ht="14.25" customHeight="1" x14ac:dyDescent="0.3">
      <c r="E434" s="17"/>
      <c r="F434" s="17"/>
      <c r="G434" s="41"/>
    </row>
    <row r="435" spans="5:7" ht="14.25" customHeight="1" x14ac:dyDescent="0.3">
      <c r="E435" s="17"/>
      <c r="F435" s="17"/>
      <c r="G435" s="41"/>
    </row>
    <row r="436" spans="5:7" ht="14.25" customHeight="1" x14ac:dyDescent="0.3">
      <c r="E436" s="17"/>
      <c r="F436" s="17"/>
      <c r="G436" s="41"/>
    </row>
    <row r="437" spans="5:7" ht="14.25" customHeight="1" x14ac:dyDescent="0.3">
      <c r="E437" s="17"/>
      <c r="F437" s="17"/>
      <c r="G437" s="41"/>
    </row>
    <row r="438" spans="5:7" ht="14.25" customHeight="1" x14ac:dyDescent="0.3">
      <c r="E438" s="17"/>
      <c r="F438" s="17"/>
      <c r="G438" s="41"/>
    </row>
    <row r="439" spans="5:7" ht="14.25" customHeight="1" x14ac:dyDescent="0.3">
      <c r="E439" s="17"/>
      <c r="F439" s="17"/>
      <c r="G439" s="41"/>
    </row>
    <row r="440" spans="5:7" ht="14.25" customHeight="1" x14ac:dyDescent="0.3">
      <c r="E440" s="17"/>
      <c r="F440" s="17"/>
      <c r="G440" s="41"/>
    </row>
    <row r="441" spans="5:7" ht="14.25" customHeight="1" x14ac:dyDescent="0.3">
      <c r="E441" s="17"/>
      <c r="F441" s="17"/>
      <c r="G441" s="41"/>
    </row>
    <row r="442" spans="5:7" ht="14.25" customHeight="1" x14ac:dyDescent="0.3">
      <c r="E442" s="17"/>
      <c r="F442" s="17"/>
      <c r="G442" s="41"/>
    </row>
    <row r="443" spans="5:7" ht="14.25" customHeight="1" x14ac:dyDescent="0.3">
      <c r="E443" s="17"/>
      <c r="F443" s="17"/>
      <c r="G443" s="41"/>
    </row>
    <row r="444" spans="5:7" ht="14.25" customHeight="1" x14ac:dyDescent="0.3">
      <c r="E444" s="17"/>
      <c r="F444" s="17"/>
      <c r="G444" s="41"/>
    </row>
    <row r="445" spans="5:7" ht="14.25" customHeight="1" x14ac:dyDescent="0.3">
      <c r="E445" s="17"/>
      <c r="F445" s="17"/>
      <c r="G445" s="41"/>
    </row>
    <row r="446" spans="5:7" ht="14.25" customHeight="1" x14ac:dyDescent="0.3">
      <c r="E446" s="17"/>
      <c r="F446" s="17"/>
      <c r="G446" s="41"/>
    </row>
    <row r="447" spans="5:7" ht="14.25" customHeight="1" x14ac:dyDescent="0.3">
      <c r="E447" s="17"/>
      <c r="F447" s="17"/>
      <c r="G447" s="41"/>
    </row>
    <row r="448" spans="5:7" ht="14.25" customHeight="1" x14ac:dyDescent="0.3">
      <c r="E448" s="17"/>
      <c r="F448" s="17"/>
      <c r="G448" s="41"/>
    </row>
    <row r="449" spans="5:7" ht="14.25" customHeight="1" x14ac:dyDescent="0.3">
      <c r="E449" s="17"/>
      <c r="F449" s="17"/>
      <c r="G449" s="41"/>
    </row>
    <row r="450" spans="5:7" ht="14.25" customHeight="1" x14ac:dyDescent="0.3">
      <c r="E450" s="17"/>
      <c r="F450" s="17"/>
      <c r="G450" s="41"/>
    </row>
    <row r="451" spans="5:7" ht="14.25" customHeight="1" x14ac:dyDescent="0.3">
      <c r="E451" s="17"/>
      <c r="F451" s="17"/>
      <c r="G451" s="41"/>
    </row>
    <row r="452" spans="5:7" ht="14.25" customHeight="1" x14ac:dyDescent="0.3">
      <c r="E452" s="17"/>
      <c r="F452" s="17"/>
      <c r="G452" s="41"/>
    </row>
    <row r="453" spans="5:7" ht="14.25" customHeight="1" x14ac:dyDescent="0.3">
      <c r="E453" s="17"/>
      <c r="F453" s="17"/>
      <c r="G453" s="41"/>
    </row>
    <row r="454" spans="5:7" ht="14.25" customHeight="1" x14ac:dyDescent="0.3">
      <c r="E454" s="17"/>
      <c r="F454" s="17"/>
      <c r="G454" s="41"/>
    </row>
    <row r="455" spans="5:7" ht="14.25" customHeight="1" x14ac:dyDescent="0.3">
      <c r="E455" s="17"/>
      <c r="F455" s="17"/>
      <c r="G455" s="41"/>
    </row>
    <row r="456" spans="5:7" ht="14.25" customHeight="1" x14ac:dyDescent="0.3">
      <c r="E456" s="17"/>
      <c r="F456" s="17"/>
      <c r="G456" s="41"/>
    </row>
    <row r="457" spans="5:7" ht="14.25" customHeight="1" x14ac:dyDescent="0.3">
      <c r="E457" s="17"/>
      <c r="F457" s="17"/>
      <c r="G457" s="41"/>
    </row>
    <row r="458" spans="5:7" ht="14.25" customHeight="1" x14ac:dyDescent="0.3">
      <c r="E458" s="17"/>
      <c r="F458" s="17"/>
      <c r="G458" s="41"/>
    </row>
    <row r="459" spans="5:7" ht="14.25" customHeight="1" x14ac:dyDescent="0.3">
      <c r="E459" s="17"/>
      <c r="F459" s="17"/>
      <c r="G459" s="41"/>
    </row>
    <row r="460" spans="5:7" ht="14.25" customHeight="1" x14ac:dyDescent="0.3">
      <c r="E460" s="17"/>
      <c r="F460" s="17"/>
      <c r="G460" s="41"/>
    </row>
    <row r="461" spans="5:7" ht="14.25" customHeight="1" x14ac:dyDescent="0.3">
      <c r="E461" s="17"/>
      <c r="F461" s="17"/>
      <c r="G461" s="41"/>
    </row>
    <row r="462" spans="5:7" ht="14.25" customHeight="1" x14ac:dyDescent="0.3">
      <c r="E462" s="17"/>
      <c r="F462" s="17"/>
      <c r="G462" s="41"/>
    </row>
    <row r="463" spans="5:7" ht="14.25" customHeight="1" x14ac:dyDescent="0.3">
      <c r="E463" s="17"/>
      <c r="F463" s="17"/>
      <c r="G463" s="41"/>
    </row>
    <row r="464" spans="5:7" ht="14.25" customHeight="1" x14ac:dyDescent="0.3">
      <c r="E464" s="17"/>
      <c r="F464" s="17"/>
      <c r="G464" s="41"/>
    </row>
    <row r="465" spans="5:7" ht="14.25" customHeight="1" x14ac:dyDescent="0.3">
      <c r="E465" s="17"/>
      <c r="F465" s="17"/>
      <c r="G465" s="41"/>
    </row>
    <row r="466" spans="5:7" ht="14.25" customHeight="1" x14ac:dyDescent="0.3">
      <c r="E466" s="17"/>
      <c r="F466" s="17"/>
      <c r="G466" s="41"/>
    </row>
    <row r="467" spans="5:7" ht="14.25" customHeight="1" x14ac:dyDescent="0.3">
      <c r="E467" s="17"/>
      <c r="F467" s="17"/>
      <c r="G467" s="41"/>
    </row>
    <row r="468" spans="5:7" ht="14.25" customHeight="1" x14ac:dyDescent="0.3">
      <c r="E468" s="17"/>
      <c r="F468" s="17"/>
      <c r="G468" s="41"/>
    </row>
    <row r="469" spans="5:7" ht="14.25" customHeight="1" x14ac:dyDescent="0.3">
      <c r="E469" s="17"/>
      <c r="F469" s="17"/>
      <c r="G469" s="41"/>
    </row>
    <row r="470" spans="5:7" ht="14.25" customHeight="1" x14ac:dyDescent="0.3">
      <c r="E470" s="17"/>
      <c r="F470" s="17"/>
      <c r="G470" s="41"/>
    </row>
    <row r="471" spans="5:7" ht="14.25" customHeight="1" x14ac:dyDescent="0.3">
      <c r="E471" s="17"/>
      <c r="F471" s="17"/>
      <c r="G471" s="41"/>
    </row>
    <row r="472" spans="5:7" ht="14.25" customHeight="1" x14ac:dyDescent="0.3">
      <c r="E472" s="17"/>
      <c r="F472" s="17"/>
      <c r="G472" s="41"/>
    </row>
    <row r="473" spans="5:7" ht="14.25" customHeight="1" x14ac:dyDescent="0.3">
      <c r="E473" s="17"/>
      <c r="F473" s="17"/>
      <c r="G473" s="41"/>
    </row>
    <row r="474" spans="5:7" ht="14.25" customHeight="1" x14ac:dyDescent="0.3">
      <c r="E474" s="17"/>
      <c r="F474" s="17"/>
      <c r="G474" s="41"/>
    </row>
    <row r="475" spans="5:7" ht="14.25" customHeight="1" x14ac:dyDescent="0.3">
      <c r="E475" s="17"/>
      <c r="F475" s="17"/>
      <c r="G475" s="41"/>
    </row>
    <row r="476" spans="5:7" ht="14.25" customHeight="1" x14ac:dyDescent="0.3">
      <c r="E476" s="17"/>
      <c r="F476" s="17"/>
      <c r="G476" s="41"/>
    </row>
    <row r="477" spans="5:7" ht="14.25" customHeight="1" x14ac:dyDescent="0.3">
      <c r="E477" s="17"/>
      <c r="F477" s="17"/>
      <c r="G477" s="41"/>
    </row>
    <row r="478" spans="5:7" ht="14.25" customHeight="1" x14ac:dyDescent="0.3">
      <c r="E478" s="17"/>
      <c r="F478" s="17"/>
      <c r="G478" s="41"/>
    </row>
    <row r="479" spans="5:7" ht="14.25" customHeight="1" x14ac:dyDescent="0.3">
      <c r="E479" s="17"/>
      <c r="F479" s="17"/>
      <c r="G479" s="41"/>
    </row>
    <row r="480" spans="5:7" ht="14.25" customHeight="1" x14ac:dyDescent="0.3">
      <c r="E480" s="17"/>
      <c r="F480" s="17"/>
      <c r="G480" s="41"/>
    </row>
    <row r="481" spans="5:7" ht="14.25" customHeight="1" x14ac:dyDescent="0.3">
      <c r="E481" s="17"/>
      <c r="F481" s="17"/>
      <c r="G481" s="41"/>
    </row>
    <row r="482" spans="5:7" ht="14.25" customHeight="1" x14ac:dyDescent="0.3">
      <c r="E482" s="17"/>
      <c r="F482" s="17"/>
      <c r="G482" s="41"/>
    </row>
    <row r="483" spans="5:7" ht="14.25" customHeight="1" x14ac:dyDescent="0.3">
      <c r="E483" s="17"/>
      <c r="F483" s="17"/>
      <c r="G483" s="41"/>
    </row>
    <row r="484" spans="5:7" ht="14.25" customHeight="1" x14ac:dyDescent="0.3">
      <c r="E484" s="17"/>
      <c r="F484" s="17"/>
      <c r="G484" s="41"/>
    </row>
    <row r="485" spans="5:7" ht="14.25" customHeight="1" x14ac:dyDescent="0.3">
      <c r="E485" s="17"/>
      <c r="F485" s="17"/>
      <c r="G485" s="41"/>
    </row>
    <row r="486" spans="5:7" ht="14.25" customHeight="1" x14ac:dyDescent="0.3">
      <c r="E486" s="17"/>
      <c r="F486" s="17"/>
      <c r="G486" s="41"/>
    </row>
    <row r="487" spans="5:7" ht="14.25" customHeight="1" x14ac:dyDescent="0.3">
      <c r="E487" s="17"/>
      <c r="F487" s="17"/>
      <c r="G487" s="41"/>
    </row>
    <row r="488" spans="5:7" ht="14.25" customHeight="1" x14ac:dyDescent="0.3">
      <c r="E488" s="17"/>
      <c r="F488" s="17"/>
      <c r="G488" s="41"/>
    </row>
    <row r="489" spans="5:7" ht="14.25" customHeight="1" x14ac:dyDescent="0.3">
      <c r="E489" s="17"/>
      <c r="F489" s="17"/>
      <c r="G489" s="41"/>
    </row>
    <row r="490" spans="5:7" ht="14.25" customHeight="1" x14ac:dyDescent="0.3">
      <c r="E490" s="17"/>
      <c r="F490" s="17"/>
      <c r="G490" s="41"/>
    </row>
    <row r="491" spans="5:7" ht="14.25" customHeight="1" x14ac:dyDescent="0.3">
      <c r="E491" s="17"/>
      <c r="F491" s="17"/>
      <c r="G491" s="41"/>
    </row>
    <row r="492" spans="5:7" ht="14.25" customHeight="1" x14ac:dyDescent="0.3">
      <c r="E492" s="17"/>
      <c r="F492" s="17"/>
      <c r="G492" s="41"/>
    </row>
    <row r="493" spans="5:7" ht="14.25" customHeight="1" x14ac:dyDescent="0.3">
      <c r="E493" s="17"/>
      <c r="F493" s="17"/>
      <c r="G493" s="41"/>
    </row>
    <row r="494" spans="5:7" ht="14.25" customHeight="1" x14ac:dyDescent="0.3">
      <c r="E494" s="17"/>
      <c r="F494" s="17"/>
      <c r="G494" s="41"/>
    </row>
    <row r="495" spans="5:7" ht="14.25" customHeight="1" x14ac:dyDescent="0.3">
      <c r="E495" s="17"/>
      <c r="F495" s="17"/>
      <c r="G495" s="41"/>
    </row>
    <row r="496" spans="5:7" ht="14.25" customHeight="1" x14ac:dyDescent="0.3">
      <c r="E496" s="17"/>
      <c r="F496" s="17"/>
      <c r="G496" s="41"/>
    </row>
    <row r="497" spans="5:7" ht="14.25" customHeight="1" x14ac:dyDescent="0.3">
      <c r="E497" s="17"/>
      <c r="F497" s="17"/>
      <c r="G497" s="41"/>
    </row>
    <row r="498" spans="5:7" ht="14.25" customHeight="1" x14ac:dyDescent="0.3">
      <c r="E498" s="17"/>
      <c r="F498" s="17"/>
      <c r="G498" s="41"/>
    </row>
    <row r="499" spans="5:7" ht="14.25" customHeight="1" x14ac:dyDescent="0.3">
      <c r="E499" s="17"/>
      <c r="F499" s="17"/>
      <c r="G499" s="41"/>
    </row>
    <row r="500" spans="5:7" ht="14.25" customHeight="1" x14ac:dyDescent="0.3">
      <c r="E500" s="17"/>
      <c r="F500" s="17"/>
      <c r="G500" s="41"/>
    </row>
    <row r="501" spans="5:7" ht="14.25" customHeight="1" x14ac:dyDescent="0.3">
      <c r="E501" s="17"/>
      <c r="F501" s="17"/>
      <c r="G501" s="41"/>
    </row>
    <row r="502" spans="5:7" ht="14.25" customHeight="1" x14ac:dyDescent="0.3">
      <c r="E502" s="17"/>
      <c r="F502" s="17"/>
      <c r="G502" s="41"/>
    </row>
    <row r="503" spans="5:7" ht="14.25" customHeight="1" x14ac:dyDescent="0.3">
      <c r="E503" s="17"/>
      <c r="F503" s="17"/>
      <c r="G503" s="41"/>
    </row>
    <row r="504" spans="5:7" ht="14.25" customHeight="1" x14ac:dyDescent="0.3">
      <c r="E504" s="17"/>
      <c r="F504" s="17"/>
      <c r="G504" s="41"/>
    </row>
    <row r="505" spans="5:7" ht="14.25" customHeight="1" x14ac:dyDescent="0.3">
      <c r="E505" s="17"/>
      <c r="F505" s="17"/>
      <c r="G505" s="41"/>
    </row>
    <row r="506" spans="5:7" ht="14.25" customHeight="1" x14ac:dyDescent="0.3">
      <c r="E506" s="17"/>
      <c r="F506" s="17"/>
      <c r="G506" s="41"/>
    </row>
    <row r="507" spans="5:7" ht="14.25" customHeight="1" x14ac:dyDescent="0.3">
      <c r="E507" s="17"/>
      <c r="F507" s="17"/>
      <c r="G507" s="41"/>
    </row>
    <row r="508" spans="5:7" ht="14.25" customHeight="1" x14ac:dyDescent="0.3">
      <c r="E508" s="17"/>
      <c r="F508" s="17"/>
      <c r="G508" s="41"/>
    </row>
    <row r="509" spans="5:7" ht="14.25" customHeight="1" x14ac:dyDescent="0.3">
      <c r="E509" s="17"/>
      <c r="F509" s="17"/>
      <c r="G509" s="41"/>
    </row>
    <row r="510" spans="5:7" ht="14.25" customHeight="1" x14ac:dyDescent="0.3">
      <c r="E510" s="17"/>
      <c r="F510" s="17"/>
      <c r="G510" s="41"/>
    </row>
    <row r="511" spans="5:7" ht="14.25" customHeight="1" x14ac:dyDescent="0.3">
      <c r="E511" s="17"/>
      <c r="F511" s="17"/>
      <c r="G511" s="41"/>
    </row>
    <row r="512" spans="5:7" ht="14.25" customHeight="1" x14ac:dyDescent="0.3">
      <c r="E512" s="17"/>
      <c r="F512" s="17"/>
      <c r="G512" s="41"/>
    </row>
    <row r="513" spans="5:7" ht="14.25" customHeight="1" x14ac:dyDescent="0.3">
      <c r="E513" s="17"/>
      <c r="F513" s="17"/>
      <c r="G513" s="41"/>
    </row>
    <row r="514" spans="5:7" ht="14.25" customHeight="1" x14ac:dyDescent="0.3">
      <c r="E514" s="17"/>
      <c r="F514" s="17"/>
      <c r="G514" s="41"/>
    </row>
    <row r="515" spans="5:7" ht="14.25" customHeight="1" x14ac:dyDescent="0.3">
      <c r="E515" s="17"/>
      <c r="F515" s="17"/>
      <c r="G515" s="41"/>
    </row>
    <row r="516" spans="5:7" ht="14.25" customHeight="1" x14ac:dyDescent="0.3">
      <c r="E516" s="17"/>
      <c r="F516" s="17"/>
      <c r="G516" s="41"/>
    </row>
    <row r="517" spans="5:7" ht="14.25" customHeight="1" x14ac:dyDescent="0.3">
      <c r="E517" s="17"/>
      <c r="F517" s="17"/>
      <c r="G517" s="41"/>
    </row>
    <row r="518" spans="5:7" ht="14.25" customHeight="1" x14ac:dyDescent="0.3">
      <c r="E518" s="17"/>
      <c r="F518" s="17"/>
      <c r="G518" s="41"/>
    </row>
    <row r="519" spans="5:7" ht="14.25" customHeight="1" x14ac:dyDescent="0.3">
      <c r="E519" s="17"/>
      <c r="F519" s="17"/>
      <c r="G519" s="41"/>
    </row>
    <row r="520" spans="5:7" ht="14.25" customHeight="1" x14ac:dyDescent="0.3">
      <c r="E520" s="17"/>
      <c r="F520" s="17"/>
      <c r="G520" s="41"/>
    </row>
    <row r="521" spans="5:7" ht="14.25" customHeight="1" x14ac:dyDescent="0.3">
      <c r="E521" s="17"/>
      <c r="F521" s="17"/>
      <c r="G521" s="41"/>
    </row>
    <row r="522" spans="5:7" ht="14.25" customHeight="1" x14ac:dyDescent="0.3">
      <c r="E522" s="17"/>
      <c r="F522" s="17"/>
      <c r="G522" s="41"/>
    </row>
    <row r="523" spans="5:7" ht="14.25" customHeight="1" x14ac:dyDescent="0.3">
      <c r="E523" s="17"/>
      <c r="F523" s="17"/>
      <c r="G523" s="41"/>
    </row>
    <row r="524" spans="5:7" ht="14.25" customHeight="1" x14ac:dyDescent="0.3">
      <c r="E524" s="17"/>
      <c r="F524" s="17"/>
      <c r="G524" s="41"/>
    </row>
    <row r="525" spans="5:7" ht="14.25" customHeight="1" x14ac:dyDescent="0.3">
      <c r="E525" s="17"/>
      <c r="F525" s="17"/>
      <c r="G525" s="41"/>
    </row>
    <row r="526" spans="5:7" ht="14.25" customHeight="1" x14ac:dyDescent="0.3">
      <c r="E526" s="17"/>
      <c r="F526" s="17"/>
      <c r="G526" s="41"/>
    </row>
    <row r="527" spans="5:7" ht="14.25" customHeight="1" x14ac:dyDescent="0.3">
      <c r="E527" s="17"/>
      <c r="F527" s="17"/>
      <c r="G527" s="41"/>
    </row>
    <row r="528" spans="5:7" ht="14.25" customHeight="1" x14ac:dyDescent="0.3">
      <c r="E528" s="17"/>
      <c r="F528" s="17"/>
      <c r="G528" s="41"/>
    </row>
    <row r="529" spans="5:7" ht="14.25" customHeight="1" x14ac:dyDescent="0.3">
      <c r="E529" s="17"/>
      <c r="F529" s="17"/>
      <c r="G529" s="41"/>
    </row>
    <row r="530" spans="5:7" ht="14.25" customHeight="1" x14ac:dyDescent="0.3">
      <c r="E530" s="17"/>
      <c r="F530" s="17"/>
      <c r="G530" s="41"/>
    </row>
    <row r="531" spans="5:7" ht="14.25" customHeight="1" x14ac:dyDescent="0.3">
      <c r="E531" s="17"/>
      <c r="F531" s="17"/>
      <c r="G531" s="41"/>
    </row>
    <row r="532" spans="5:7" ht="14.25" customHeight="1" x14ac:dyDescent="0.3">
      <c r="E532" s="17"/>
      <c r="F532" s="17"/>
      <c r="G532" s="41"/>
    </row>
    <row r="533" spans="5:7" ht="14.25" customHeight="1" x14ac:dyDescent="0.3">
      <c r="E533" s="17"/>
      <c r="F533" s="17"/>
      <c r="G533" s="41"/>
    </row>
    <row r="534" spans="5:7" ht="14.25" customHeight="1" x14ac:dyDescent="0.3">
      <c r="E534" s="17"/>
      <c r="F534" s="17"/>
      <c r="G534" s="41"/>
    </row>
    <row r="535" spans="5:7" ht="14.25" customHeight="1" x14ac:dyDescent="0.3">
      <c r="E535" s="17"/>
      <c r="F535" s="17"/>
      <c r="G535" s="41"/>
    </row>
    <row r="536" spans="5:7" ht="14.25" customHeight="1" x14ac:dyDescent="0.3">
      <c r="E536" s="17"/>
      <c r="F536" s="17"/>
      <c r="G536" s="41"/>
    </row>
    <row r="537" spans="5:7" ht="14.25" customHeight="1" x14ac:dyDescent="0.3">
      <c r="E537" s="17"/>
      <c r="F537" s="17"/>
      <c r="G537" s="41"/>
    </row>
    <row r="538" spans="5:7" ht="14.25" customHeight="1" x14ac:dyDescent="0.3">
      <c r="E538" s="17"/>
      <c r="F538" s="17"/>
      <c r="G538" s="41"/>
    </row>
    <row r="539" spans="5:7" ht="14.25" customHeight="1" x14ac:dyDescent="0.3">
      <c r="E539" s="17"/>
      <c r="F539" s="17"/>
      <c r="G539" s="41"/>
    </row>
    <row r="540" spans="5:7" ht="14.25" customHeight="1" x14ac:dyDescent="0.3">
      <c r="E540" s="17"/>
      <c r="F540" s="17"/>
      <c r="G540" s="41"/>
    </row>
    <row r="541" spans="5:7" ht="14.25" customHeight="1" x14ac:dyDescent="0.3">
      <c r="E541" s="17"/>
      <c r="F541" s="17"/>
      <c r="G541" s="41"/>
    </row>
    <row r="542" spans="5:7" ht="14.25" customHeight="1" x14ac:dyDescent="0.3">
      <c r="E542" s="17"/>
      <c r="F542" s="17"/>
      <c r="G542" s="41"/>
    </row>
    <row r="543" spans="5:7" ht="14.25" customHeight="1" x14ac:dyDescent="0.3">
      <c r="E543" s="17"/>
      <c r="F543" s="17"/>
      <c r="G543" s="41"/>
    </row>
    <row r="544" spans="5:7" ht="14.25" customHeight="1" x14ac:dyDescent="0.3">
      <c r="E544" s="17"/>
      <c r="F544" s="17"/>
      <c r="G544" s="41"/>
    </row>
    <row r="545" spans="5:7" ht="14.25" customHeight="1" x14ac:dyDescent="0.3">
      <c r="E545" s="17"/>
      <c r="F545" s="17"/>
      <c r="G545" s="41"/>
    </row>
    <row r="546" spans="5:7" ht="14.25" customHeight="1" x14ac:dyDescent="0.3">
      <c r="E546" s="17"/>
      <c r="F546" s="17"/>
      <c r="G546" s="41"/>
    </row>
    <row r="547" spans="5:7" ht="14.25" customHeight="1" x14ac:dyDescent="0.3">
      <c r="E547" s="17"/>
      <c r="F547" s="17"/>
      <c r="G547" s="41"/>
    </row>
    <row r="548" spans="5:7" ht="14.25" customHeight="1" x14ac:dyDescent="0.3">
      <c r="E548" s="17"/>
      <c r="F548" s="17"/>
      <c r="G548" s="41"/>
    </row>
    <row r="549" spans="5:7" ht="14.25" customHeight="1" x14ac:dyDescent="0.3">
      <c r="E549" s="17"/>
      <c r="F549" s="17"/>
      <c r="G549" s="41"/>
    </row>
    <row r="550" spans="5:7" ht="14.25" customHeight="1" x14ac:dyDescent="0.3">
      <c r="E550" s="17"/>
      <c r="F550" s="17"/>
      <c r="G550" s="41"/>
    </row>
    <row r="551" spans="5:7" ht="14.25" customHeight="1" x14ac:dyDescent="0.3">
      <c r="E551" s="17"/>
      <c r="F551" s="17"/>
      <c r="G551" s="41"/>
    </row>
    <row r="552" spans="5:7" ht="14.25" customHeight="1" x14ac:dyDescent="0.3">
      <c r="E552" s="17"/>
      <c r="F552" s="17"/>
      <c r="G552" s="41"/>
    </row>
    <row r="553" spans="5:7" ht="14.25" customHeight="1" x14ac:dyDescent="0.3">
      <c r="E553" s="17"/>
      <c r="F553" s="17"/>
      <c r="G553" s="41"/>
    </row>
    <row r="554" spans="5:7" ht="14.25" customHeight="1" x14ac:dyDescent="0.3">
      <c r="E554" s="17"/>
      <c r="F554" s="17"/>
      <c r="G554" s="41"/>
    </row>
    <row r="555" spans="5:7" ht="14.25" customHeight="1" x14ac:dyDescent="0.3">
      <c r="E555" s="17"/>
      <c r="F555" s="17"/>
      <c r="G555" s="41"/>
    </row>
    <row r="556" spans="5:7" ht="14.25" customHeight="1" x14ac:dyDescent="0.3">
      <c r="E556" s="17"/>
      <c r="F556" s="17"/>
      <c r="G556" s="41"/>
    </row>
    <row r="557" spans="5:7" ht="14.25" customHeight="1" x14ac:dyDescent="0.3">
      <c r="E557" s="17"/>
      <c r="F557" s="17"/>
      <c r="G557" s="41"/>
    </row>
    <row r="558" spans="5:7" ht="14.25" customHeight="1" x14ac:dyDescent="0.3">
      <c r="E558" s="17"/>
      <c r="F558" s="17"/>
      <c r="G558" s="41"/>
    </row>
    <row r="559" spans="5:7" ht="14.25" customHeight="1" x14ac:dyDescent="0.3">
      <c r="E559" s="17"/>
      <c r="F559" s="17"/>
      <c r="G559" s="41"/>
    </row>
    <row r="560" spans="5:7" ht="14.25" customHeight="1" x14ac:dyDescent="0.3">
      <c r="E560" s="17"/>
      <c r="F560" s="17"/>
      <c r="G560" s="41"/>
    </row>
    <row r="561" spans="5:7" ht="14.25" customHeight="1" x14ac:dyDescent="0.3">
      <c r="E561" s="17"/>
      <c r="F561" s="17"/>
      <c r="G561" s="41"/>
    </row>
    <row r="562" spans="5:7" ht="14.25" customHeight="1" x14ac:dyDescent="0.3">
      <c r="E562" s="17"/>
      <c r="F562" s="17"/>
      <c r="G562" s="41"/>
    </row>
    <row r="563" spans="5:7" ht="14.25" customHeight="1" x14ac:dyDescent="0.3">
      <c r="E563" s="17"/>
      <c r="F563" s="17"/>
      <c r="G563" s="41"/>
    </row>
    <row r="564" spans="5:7" ht="14.25" customHeight="1" x14ac:dyDescent="0.3">
      <c r="E564" s="17"/>
      <c r="F564" s="17"/>
      <c r="G564" s="41"/>
    </row>
    <row r="565" spans="5:7" ht="14.25" customHeight="1" x14ac:dyDescent="0.3">
      <c r="E565" s="17"/>
      <c r="F565" s="17"/>
      <c r="G565" s="41"/>
    </row>
    <row r="566" spans="5:7" ht="14.25" customHeight="1" x14ac:dyDescent="0.3">
      <c r="E566" s="17"/>
      <c r="F566" s="17"/>
      <c r="G566" s="41"/>
    </row>
    <row r="567" spans="5:7" ht="14.25" customHeight="1" x14ac:dyDescent="0.3">
      <c r="E567" s="17"/>
      <c r="F567" s="17"/>
      <c r="G567" s="41"/>
    </row>
    <row r="568" spans="5:7" ht="14.25" customHeight="1" x14ac:dyDescent="0.3">
      <c r="E568" s="17"/>
      <c r="F568" s="17"/>
      <c r="G568" s="41"/>
    </row>
    <row r="569" spans="5:7" ht="14.25" customHeight="1" x14ac:dyDescent="0.3">
      <c r="E569" s="17"/>
      <c r="F569" s="17"/>
      <c r="G569" s="41"/>
    </row>
    <row r="570" spans="5:7" ht="14.25" customHeight="1" x14ac:dyDescent="0.3">
      <c r="E570" s="17"/>
      <c r="F570" s="17"/>
      <c r="G570" s="41"/>
    </row>
    <row r="571" spans="5:7" ht="14.25" customHeight="1" x14ac:dyDescent="0.3">
      <c r="E571" s="17"/>
      <c r="F571" s="17"/>
      <c r="G571" s="41"/>
    </row>
    <row r="572" spans="5:7" ht="14.25" customHeight="1" x14ac:dyDescent="0.3">
      <c r="E572" s="17"/>
      <c r="F572" s="17"/>
      <c r="G572" s="41"/>
    </row>
    <row r="573" spans="5:7" ht="14.25" customHeight="1" x14ac:dyDescent="0.3">
      <c r="E573" s="17"/>
      <c r="F573" s="17"/>
      <c r="G573" s="41"/>
    </row>
    <row r="574" spans="5:7" ht="14.25" customHeight="1" x14ac:dyDescent="0.3">
      <c r="E574" s="17"/>
      <c r="F574" s="17"/>
      <c r="G574" s="41"/>
    </row>
    <row r="575" spans="5:7" ht="14.25" customHeight="1" x14ac:dyDescent="0.3">
      <c r="E575" s="17"/>
      <c r="F575" s="17"/>
      <c r="G575" s="41"/>
    </row>
    <row r="576" spans="5:7" ht="14.25" customHeight="1" x14ac:dyDescent="0.3">
      <c r="E576" s="17"/>
      <c r="F576" s="17"/>
      <c r="G576" s="41"/>
    </row>
    <row r="577" spans="5:7" ht="14.25" customHeight="1" x14ac:dyDescent="0.3">
      <c r="E577" s="17"/>
      <c r="F577" s="17"/>
      <c r="G577" s="41"/>
    </row>
    <row r="578" spans="5:7" ht="14.25" customHeight="1" x14ac:dyDescent="0.3">
      <c r="E578" s="17"/>
      <c r="F578" s="17"/>
      <c r="G578" s="41"/>
    </row>
    <row r="579" spans="5:7" ht="14.25" customHeight="1" x14ac:dyDescent="0.3">
      <c r="E579" s="17"/>
      <c r="F579" s="17"/>
      <c r="G579" s="41"/>
    </row>
    <row r="580" spans="5:7" ht="14.25" customHeight="1" x14ac:dyDescent="0.3">
      <c r="E580" s="17"/>
      <c r="F580" s="17"/>
      <c r="G580" s="41"/>
    </row>
    <row r="581" spans="5:7" ht="14.25" customHeight="1" x14ac:dyDescent="0.3">
      <c r="E581" s="17"/>
      <c r="F581" s="17"/>
      <c r="G581" s="41"/>
    </row>
    <row r="582" spans="5:7" ht="14.25" customHeight="1" x14ac:dyDescent="0.3">
      <c r="E582" s="17"/>
      <c r="F582" s="17"/>
      <c r="G582" s="41"/>
    </row>
    <row r="583" spans="5:7" ht="14.25" customHeight="1" x14ac:dyDescent="0.3">
      <c r="E583" s="17"/>
      <c r="F583" s="17"/>
      <c r="G583" s="41"/>
    </row>
    <row r="584" spans="5:7" ht="14.25" customHeight="1" x14ac:dyDescent="0.3">
      <c r="E584" s="17"/>
      <c r="F584" s="17"/>
      <c r="G584" s="41"/>
    </row>
    <row r="585" spans="5:7" ht="14.25" customHeight="1" x14ac:dyDescent="0.3">
      <c r="E585" s="17"/>
      <c r="F585" s="17"/>
      <c r="G585" s="41"/>
    </row>
    <row r="586" spans="5:7" ht="14.25" customHeight="1" x14ac:dyDescent="0.3">
      <c r="E586" s="17"/>
      <c r="F586" s="17"/>
      <c r="G586" s="41"/>
    </row>
    <row r="587" spans="5:7" ht="14.25" customHeight="1" x14ac:dyDescent="0.3">
      <c r="E587" s="17"/>
      <c r="F587" s="17"/>
      <c r="G587" s="41"/>
    </row>
    <row r="588" spans="5:7" ht="14.25" customHeight="1" x14ac:dyDescent="0.3">
      <c r="E588" s="17"/>
      <c r="F588" s="17"/>
      <c r="G588" s="41"/>
    </row>
    <row r="589" spans="5:7" ht="14.25" customHeight="1" x14ac:dyDescent="0.3">
      <c r="E589" s="17"/>
      <c r="F589" s="17"/>
      <c r="G589" s="41"/>
    </row>
    <row r="590" spans="5:7" ht="14.25" customHeight="1" x14ac:dyDescent="0.3">
      <c r="E590" s="17"/>
      <c r="F590" s="17"/>
      <c r="G590" s="41"/>
    </row>
    <row r="591" spans="5:7" ht="14.25" customHeight="1" x14ac:dyDescent="0.3">
      <c r="E591" s="17"/>
      <c r="F591" s="17"/>
      <c r="G591" s="41"/>
    </row>
    <row r="592" spans="5:7" ht="14.25" customHeight="1" x14ac:dyDescent="0.3">
      <c r="E592" s="17"/>
      <c r="F592" s="17"/>
      <c r="G592" s="41"/>
    </row>
    <row r="593" spans="5:7" ht="14.25" customHeight="1" x14ac:dyDescent="0.3">
      <c r="E593" s="17"/>
      <c r="F593" s="17"/>
      <c r="G593" s="41"/>
    </row>
    <row r="594" spans="5:7" ht="14.25" customHeight="1" x14ac:dyDescent="0.3">
      <c r="E594" s="17"/>
      <c r="F594" s="17"/>
      <c r="G594" s="41"/>
    </row>
    <row r="595" spans="5:7" ht="14.25" customHeight="1" x14ac:dyDescent="0.3">
      <c r="E595" s="17"/>
      <c r="F595" s="17"/>
      <c r="G595" s="41"/>
    </row>
    <row r="596" spans="5:7" ht="14.25" customHeight="1" x14ac:dyDescent="0.3">
      <c r="E596" s="17"/>
      <c r="F596" s="17"/>
      <c r="G596" s="41"/>
    </row>
    <row r="597" spans="5:7" ht="14.25" customHeight="1" x14ac:dyDescent="0.3">
      <c r="E597" s="17"/>
      <c r="F597" s="17"/>
      <c r="G597" s="41"/>
    </row>
    <row r="598" spans="5:7" ht="14.25" customHeight="1" x14ac:dyDescent="0.3">
      <c r="E598" s="17"/>
      <c r="F598" s="17"/>
      <c r="G598" s="41"/>
    </row>
    <row r="599" spans="5:7" ht="14.25" customHeight="1" x14ac:dyDescent="0.3">
      <c r="E599" s="17"/>
      <c r="F599" s="17"/>
      <c r="G599" s="41"/>
    </row>
    <row r="600" spans="5:7" ht="14.25" customHeight="1" x14ac:dyDescent="0.3">
      <c r="E600" s="17"/>
      <c r="F600" s="17"/>
      <c r="G600" s="41"/>
    </row>
    <row r="601" spans="5:7" ht="14.25" customHeight="1" x14ac:dyDescent="0.3">
      <c r="E601" s="17"/>
      <c r="F601" s="17"/>
      <c r="G601" s="41"/>
    </row>
    <row r="602" spans="5:7" ht="14.25" customHeight="1" x14ac:dyDescent="0.3">
      <c r="E602" s="17"/>
      <c r="F602" s="17"/>
      <c r="G602" s="41"/>
    </row>
    <row r="603" spans="5:7" ht="14.25" customHeight="1" x14ac:dyDescent="0.3">
      <c r="E603" s="17"/>
      <c r="F603" s="17"/>
      <c r="G603" s="41"/>
    </row>
    <row r="604" spans="5:7" ht="14.25" customHeight="1" x14ac:dyDescent="0.3">
      <c r="E604" s="17"/>
      <c r="F604" s="17"/>
      <c r="G604" s="41"/>
    </row>
    <row r="605" spans="5:7" ht="14.25" customHeight="1" x14ac:dyDescent="0.3">
      <c r="E605" s="17"/>
      <c r="F605" s="17"/>
      <c r="G605" s="41"/>
    </row>
    <row r="606" spans="5:7" ht="14.25" customHeight="1" x14ac:dyDescent="0.3">
      <c r="E606" s="17"/>
      <c r="F606" s="17"/>
      <c r="G606" s="41"/>
    </row>
    <row r="607" spans="5:7" ht="14.25" customHeight="1" x14ac:dyDescent="0.3">
      <c r="E607" s="17"/>
      <c r="F607" s="17"/>
      <c r="G607" s="41"/>
    </row>
    <row r="608" spans="5:7" ht="14.25" customHeight="1" x14ac:dyDescent="0.3">
      <c r="E608" s="17"/>
      <c r="F608" s="17"/>
      <c r="G608" s="41"/>
    </row>
    <row r="609" spans="5:7" ht="14.25" customHeight="1" x14ac:dyDescent="0.3">
      <c r="E609" s="17"/>
      <c r="F609" s="17"/>
      <c r="G609" s="41"/>
    </row>
    <row r="610" spans="5:7" ht="14.25" customHeight="1" x14ac:dyDescent="0.3">
      <c r="E610" s="17"/>
      <c r="F610" s="17"/>
      <c r="G610" s="41"/>
    </row>
    <row r="611" spans="5:7" ht="14.25" customHeight="1" x14ac:dyDescent="0.3">
      <c r="E611" s="17"/>
      <c r="F611" s="17"/>
      <c r="G611" s="41"/>
    </row>
    <row r="612" spans="5:7" ht="14.25" customHeight="1" x14ac:dyDescent="0.3">
      <c r="E612" s="17"/>
      <c r="F612" s="17"/>
      <c r="G612" s="41"/>
    </row>
    <row r="613" spans="5:7" ht="14.25" customHeight="1" x14ac:dyDescent="0.3">
      <c r="E613" s="17"/>
      <c r="F613" s="17"/>
      <c r="G613" s="41"/>
    </row>
    <row r="614" spans="5:7" ht="14.25" customHeight="1" x14ac:dyDescent="0.3">
      <c r="E614" s="17"/>
      <c r="F614" s="17"/>
      <c r="G614" s="41"/>
    </row>
    <row r="615" spans="5:7" ht="14.25" customHeight="1" x14ac:dyDescent="0.3">
      <c r="E615" s="17"/>
      <c r="F615" s="17"/>
      <c r="G615" s="41"/>
    </row>
    <row r="616" spans="5:7" ht="14.25" customHeight="1" x14ac:dyDescent="0.3">
      <c r="E616" s="17"/>
      <c r="F616" s="17"/>
      <c r="G616" s="41"/>
    </row>
    <row r="617" spans="5:7" ht="14.25" customHeight="1" x14ac:dyDescent="0.3">
      <c r="E617" s="17"/>
      <c r="F617" s="17"/>
      <c r="G617" s="41"/>
    </row>
    <row r="618" spans="5:7" ht="14.25" customHeight="1" x14ac:dyDescent="0.3">
      <c r="E618" s="17"/>
      <c r="F618" s="17"/>
      <c r="G618" s="41"/>
    </row>
    <row r="619" spans="5:7" ht="14.25" customHeight="1" x14ac:dyDescent="0.3">
      <c r="E619" s="17"/>
      <c r="F619" s="17"/>
      <c r="G619" s="41"/>
    </row>
    <row r="620" spans="5:7" ht="14.25" customHeight="1" x14ac:dyDescent="0.3">
      <c r="E620" s="17"/>
      <c r="F620" s="17"/>
      <c r="G620" s="41"/>
    </row>
    <row r="621" spans="5:7" ht="14.25" customHeight="1" x14ac:dyDescent="0.3">
      <c r="E621" s="17"/>
      <c r="F621" s="17"/>
      <c r="G621" s="41"/>
    </row>
    <row r="622" spans="5:7" ht="14.25" customHeight="1" x14ac:dyDescent="0.3">
      <c r="E622" s="17"/>
      <c r="F622" s="17"/>
      <c r="G622" s="41"/>
    </row>
    <row r="623" spans="5:7" ht="14.25" customHeight="1" x14ac:dyDescent="0.3">
      <c r="E623" s="17"/>
      <c r="F623" s="17"/>
      <c r="G623" s="41"/>
    </row>
    <row r="624" spans="5:7" ht="14.25" customHeight="1" x14ac:dyDescent="0.3">
      <c r="E624" s="17"/>
      <c r="F624" s="17"/>
      <c r="G624" s="41"/>
    </row>
    <row r="625" spans="5:7" ht="14.25" customHeight="1" x14ac:dyDescent="0.3">
      <c r="E625" s="17"/>
      <c r="F625" s="17"/>
      <c r="G625" s="41"/>
    </row>
    <row r="626" spans="5:7" ht="14.25" customHeight="1" x14ac:dyDescent="0.3">
      <c r="E626" s="17"/>
      <c r="F626" s="17"/>
      <c r="G626" s="41"/>
    </row>
    <row r="627" spans="5:7" ht="14.25" customHeight="1" x14ac:dyDescent="0.3">
      <c r="E627" s="17"/>
      <c r="F627" s="17"/>
      <c r="G627" s="41"/>
    </row>
    <row r="628" spans="5:7" ht="14.25" customHeight="1" x14ac:dyDescent="0.3">
      <c r="E628" s="17"/>
      <c r="F628" s="17"/>
      <c r="G628" s="41"/>
    </row>
    <row r="629" spans="5:7" ht="14.25" customHeight="1" x14ac:dyDescent="0.3">
      <c r="E629" s="17"/>
      <c r="F629" s="17"/>
      <c r="G629" s="41"/>
    </row>
    <row r="630" spans="5:7" ht="14.25" customHeight="1" x14ac:dyDescent="0.3">
      <c r="E630" s="17"/>
      <c r="F630" s="17"/>
      <c r="G630" s="41"/>
    </row>
    <row r="631" spans="5:7" ht="14.25" customHeight="1" x14ac:dyDescent="0.3">
      <c r="E631" s="17"/>
      <c r="F631" s="17"/>
      <c r="G631" s="41"/>
    </row>
    <row r="632" spans="5:7" ht="14.25" customHeight="1" x14ac:dyDescent="0.3">
      <c r="E632" s="17"/>
      <c r="F632" s="17"/>
      <c r="G632" s="41"/>
    </row>
    <row r="633" spans="5:7" ht="14.25" customHeight="1" x14ac:dyDescent="0.3">
      <c r="E633" s="17"/>
      <c r="F633" s="17"/>
      <c r="G633" s="41"/>
    </row>
    <row r="634" spans="5:7" ht="14.25" customHeight="1" x14ac:dyDescent="0.3">
      <c r="E634" s="17"/>
      <c r="F634" s="17"/>
      <c r="G634" s="41"/>
    </row>
    <row r="635" spans="5:7" ht="14.25" customHeight="1" x14ac:dyDescent="0.3">
      <c r="E635" s="17"/>
      <c r="F635" s="17"/>
      <c r="G635" s="41"/>
    </row>
    <row r="636" spans="5:7" ht="14.25" customHeight="1" x14ac:dyDescent="0.3">
      <c r="E636" s="17"/>
      <c r="F636" s="17"/>
      <c r="G636" s="41"/>
    </row>
    <row r="637" spans="5:7" ht="14.25" customHeight="1" x14ac:dyDescent="0.3">
      <c r="E637" s="17"/>
      <c r="F637" s="17"/>
      <c r="G637" s="41"/>
    </row>
    <row r="638" spans="5:7" ht="14.25" customHeight="1" x14ac:dyDescent="0.3">
      <c r="E638" s="17"/>
      <c r="F638" s="17"/>
      <c r="G638" s="41"/>
    </row>
    <row r="639" spans="5:7" ht="14.25" customHeight="1" x14ac:dyDescent="0.3">
      <c r="E639" s="17"/>
      <c r="F639" s="17"/>
      <c r="G639" s="41"/>
    </row>
    <row r="640" spans="5:7" ht="14.25" customHeight="1" x14ac:dyDescent="0.3">
      <c r="E640" s="17"/>
      <c r="F640" s="17"/>
      <c r="G640" s="41"/>
    </row>
    <row r="641" spans="5:7" ht="14.25" customHeight="1" x14ac:dyDescent="0.3">
      <c r="E641" s="17"/>
      <c r="F641" s="17"/>
      <c r="G641" s="41"/>
    </row>
    <row r="642" spans="5:7" ht="14.25" customHeight="1" x14ac:dyDescent="0.3">
      <c r="E642" s="17"/>
      <c r="F642" s="17"/>
      <c r="G642" s="41"/>
    </row>
    <row r="643" spans="5:7" ht="14.25" customHeight="1" x14ac:dyDescent="0.3">
      <c r="E643" s="17"/>
      <c r="F643" s="17"/>
      <c r="G643" s="41"/>
    </row>
    <row r="644" spans="5:7" ht="14.25" customHeight="1" x14ac:dyDescent="0.3">
      <c r="E644" s="17"/>
      <c r="F644" s="17"/>
      <c r="G644" s="41"/>
    </row>
    <row r="645" spans="5:7" ht="14.25" customHeight="1" x14ac:dyDescent="0.3">
      <c r="E645" s="17"/>
      <c r="F645" s="17"/>
      <c r="G645" s="41"/>
    </row>
    <row r="646" spans="5:7" ht="14.25" customHeight="1" x14ac:dyDescent="0.3">
      <c r="E646" s="17"/>
      <c r="F646" s="17"/>
      <c r="G646" s="41"/>
    </row>
    <row r="647" spans="5:7" ht="14.25" customHeight="1" x14ac:dyDescent="0.3">
      <c r="E647" s="17"/>
      <c r="F647" s="17"/>
      <c r="G647" s="41"/>
    </row>
    <row r="648" spans="5:7" ht="14.25" customHeight="1" x14ac:dyDescent="0.3">
      <c r="E648" s="17"/>
      <c r="F648" s="17"/>
      <c r="G648" s="41"/>
    </row>
    <row r="649" spans="5:7" ht="14.25" customHeight="1" x14ac:dyDescent="0.3">
      <c r="E649" s="17"/>
      <c r="F649" s="17"/>
      <c r="G649" s="41"/>
    </row>
    <row r="650" spans="5:7" ht="14.25" customHeight="1" x14ac:dyDescent="0.3">
      <c r="E650" s="17"/>
      <c r="F650" s="17"/>
      <c r="G650" s="41"/>
    </row>
    <row r="651" spans="5:7" ht="14.25" customHeight="1" x14ac:dyDescent="0.3">
      <c r="E651" s="17"/>
      <c r="F651" s="17"/>
      <c r="G651" s="41"/>
    </row>
    <row r="652" spans="5:7" ht="14.25" customHeight="1" x14ac:dyDescent="0.3">
      <c r="E652" s="17"/>
      <c r="F652" s="17"/>
      <c r="G652" s="41"/>
    </row>
    <row r="653" spans="5:7" ht="14.25" customHeight="1" x14ac:dyDescent="0.3">
      <c r="E653" s="17"/>
      <c r="F653" s="17"/>
      <c r="G653" s="41"/>
    </row>
    <row r="654" spans="5:7" ht="14.25" customHeight="1" x14ac:dyDescent="0.3">
      <c r="E654" s="17"/>
      <c r="F654" s="17"/>
      <c r="G654" s="41"/>
    </row>
    <row r="655" spans="5:7" ht="14.25" customHeight="1" x14ac:dyDescent="0.3">
      <c r="E655" s="17"/>
      <c r="F655" s="17"/>
      <c r="G655" s="41"/>
    </row>
    <row r="656" spans="5:7" ht="14.25" customHeight="1" x14ac:dyDescent="0.3">
      <c r="E656" s="17"/>
      <c r="F656" s="17"/>
      <c r="G656" s="41"/>
    </row>
    <row r="657" spans="5:7" ht="14.25" customHeight="1" x14ac:dyDescent="0.3">
      <c r="E657" s="17"/>
      <c r="F657" s="17"/>
      <c r="G657" s="41"/>
    </row>
    <row r="658" spans="5:7" ht="14.25" customHeight="1" x14ac:dyDescent="0.3">
      <c r="E658" s="17"/>
      <c r="F658" s="17"/>
      <c r="G658" s="41"/>
    </row>
    <row r="659" spans="5:7" ht="14.25" customHeight="1" x14ac:dyDescent="0.3">
      <c r="E659" s="17"/>
      <c r="F659" s="17"/>
      <c r="G659" s="41"/>
    </row>
    <row r="660" spans="5:7" ht="14.25" customHeight="1" x14ac:dyDescent="0.3">
      <c r="E660" s="17"/>
      <c r="F660" s="17"/>
      <c r="G660" s="41"/>
    </row>
    <row r="661" spans="5:7" ht="14.25" customHeight="1" x14ac:dyDescent="0.3">
      <c r="E661" s="17"/>
      <c r="F661" s="17"/>
      <c r="G661" s="41"/>
    </row>
    <row r="662" spans="5:7" ht="14.25" customHeight="1" x14ac:dyDescent="0.3">
      <c r="E662" s="17"/>
      <c r="F662" s="17"/>
      <c r="G662" s="41"/>
    </row>
    <row r="663" spans="5:7" ht="14.25" customHeight="1" x14ac:dyDescent="0.3">
      <c r="E663" s="17"/>
      <c r="F663" s="17"/>
      <c r="G663" s="41"/>
    </row>
    <row r="664" spans="5:7" ht="14.25" customHeight="1" x14ac:dyDescent="0.3">
      <c r="E664" s="17"/>
      <c r="F664" s="17"/>
      <c r="G664" s="41"/>
    </row>
    <row r="665" spans="5:7" ht="14.25" customHeight="1" x14ac:dyDescent="0.3">
      <c r="E665" s="17"/>
      <c r="F665" s="17"/>
      <c r="G665" s="41"/>
    </row>
    <row r="666" spans="5:7" ht="14.25" customHeight="1" x14ac:dyDescent="0.3">
      <c r="E666" s="17"/>
      <c r="F666" s="17"/>
      <c r="G666" s="41"/>
    </row>
    <row r="667" spans="5:7" ht="14.25" customHeight="1" x14ac:dyDescent="0.3">
      <c r="E667" s="17"/>
      <c r="F667" s="17"/>
      <c r="G667" s="41"/>
    </row>
    <row r="668" spans="5:7" ht="14.25" customHeight="1" x14ac:dyDescent="0.3">
      <c r="E668" s="17"/>
      <c r="F668" s="17"/>
      <c r="G668" s="41"/>
    </row>
    <row r="669" spans="5:7" ht="14.25" customHeight="1" x14ac:dyDescent="0.3">
      <c r="E669" s="17"/>
      <c r="F669" s="17"/>
      <c r="G669" s="41"/>
    </row>
    <row r="670" spans="5:7" ht="14.25" customHeight="1" x14ac:dyDescent="0.3">
      <c r="E670" s="17"/>
      <c r="F670" s="17"/>
      <c r="G670" s="41"/>
    </row>
    <row r="671" spans="5:7" ht="14.25" customHeight="1" x14ac:dyDescent="0.3">
      <c r="E671" s="17"/>
      <c r="F671" s="17"/>
      <c r="G671" s="41"/>
    </row>
    <row r="672" spans="5:7" ht="14.25" customHeight="1" x14ac:dyDescent="0.3">
      <c r="E672" s="17"/>
      <c r="F672" s="17"/>
      <c r="G672" s="41"/>
    </row>
    <row r="673" spans="5:7" ht="14.25" customHeight="1" x14ac:dyDescent="0.3">
      <c r="E673" s="17"/>
      <c r="F673" s="17"/>
      <c r="G673" s="41"/>
    </row>
    <row r="674" spans="5:7" ht="14.25" customHeight="1" x14ac:dyDescent="0.3">
      <c r="E674" s="17"/>
      <c r="F674" s="17"/>
      <c r="G674" s="41"/>
    </row>
    <row r="675" spans="5:7" ht="14.25" customHeight="1" x14ac:dyDescent="0.3">
      <c r="E675" s="17"/>
      <c r="F675" s="17"/>
      <c r="G675" s="41"/>
    </row>
    <row r="676" spans="5:7" ht="14.25" customHeight="1" x14ac:dyDescent="0.3">
      <c r="E676" s="17"/>
      <c r="F676" s="17"/>
      <c r="G676" s="41"/>
    </row>
    <row r="677" spans="5:7" ht="14.25" customHeight="1" x14ac:dyDescent="0.3">
      <c r="E677" s="17"/>
      <c r="F677" s="17"/>
      <c r="G677" s="41"/>
    </row>
    <row r="678" spans="5:7" ht="14.25" customHeight="1" x14ac:dyDescent="0.3">
      <c r="E678" s="17"/>
      <c r="F678" s="17"/>
      <c r="G678" s="41"/>
    </row>
    <row r="679" spans="5:7" ht="14.25" customHeight="1" x14ac:dyDescent="0.3">
      <c r="E679" s="17"/>
      <c r="F679" s="17"/>
      <c r="G679" s="41"/>
    </row>
    <row r="680" spans="5:7" ht="14.25" customHeight="1" x14ac:dyDescent="0.3">
      <c r="E680" s="17"/>
      <c r="F680" s="17"/>
      <c r="G680" s="41"/>
    </row>
    <row r="681" spans="5:7" ht="14.25" customHeight="1" x14ac:dyDescent="0.3">
      <c r="E681" s="17"/>
      <c r="F681" s="17"/>
      <c r="G681" s="41"/>
    </row>
    <row r="682" spans="5:7" ht="14.25" customHeight="1" x14ac:dyDescent="0.3">
      <c r="E682" s="17"/>
      <c r="F682" s="17"/>
      <c r="G682" s="41"/>
    </row>
    <row r="683" spans="5:7" ht="14.25" customHeight="1" x14ac:dyDescent="0.3">
      <c r="E683" s="17"/>
      <c r="F683" s="17"/>
      <c r="G683" s="41"/>
    </row>
    <row r="684" spans="5:7" ht="14.25" customHeight="1" x14ac:dyDescent="0.3">
      <c r="E684" s="17"/>
      <c r="F684" s="17"/>
      <c r="G684" s="41"/>
    </row>
    <row r="685" spans="5:7" ht="14.25" customHeight="1" x14ac:dyDescent="0.3">
      <c r="E685" s="17"/>
      <c r="F685" s="17"/>
      <c r="G685" s="41"/>
    </row>
    <row r="686" spans="5:7" ht="14.25" customHeight="1" x14ac:dyDescent="0.3">
      <c r="E686" s="17"/>
      <c r="F686" s="17"/>
      <c r="G686" s="41"/>
    </row>
    <row r="687" spans="5:7" ht="14.25" customHeight="1" x14ac:dyDescent="0.3">
      <c r="E687" s="17"/>
      <c r="F687" s="17"/>
      <c r="G687" s="41"/>
    </row>
    <row r="688" spans="5:7" ht="14.25" customHeight="1" x14ac:dyDescent="0.3">
      <c r="E688" s="17"/>
      <c r="F688" s="17"/>
      <c r="G688" s="41"/>
    </row>
    <row r="689" spans="5:7" ht="14.25" customHeight="1" x14ac:dyDescent="0.3">
      <c r="E689" s="17"/>
      <c r="F689" s="17"/>
      <c r="G689" s="41"/>
    </row>
    <row r="690" spans="5:7" ht="14.25" customHeight="1" x14ac:dyDescent="0.3">
      <c r="E690" s="17"/>
      <c r="F690" s="17"/>
      <c r="G690" s="41"/>
    </row>
    <row r="691" spans="5:7" ht="14.25" customHeight="1" x14ac:dyDescent="0.3">
      <c r="E691" s="17"/>
      <c r="F691" s="17"/>
      <c r="G691" s="41"/>
    </row>
    <row r="692" spans="5:7" ht="14.25" customHeight="1" x14ac:dyDescent="0.3">
      <c r="E692" s="17"/>
      <c r="F692" s="17"/>
      <c r="G692" s="41"/>
    </row>
    <row r="693" spans="5:7" ht="14.25" customHeight="1" x14ac:dyDescent="0.3">
      <c r="E693" s="17"/>
      <c r="F693" s="17"/>
      <c r="G693" s="41"/>
    </row>
    <row r="694" spans="5:7" ht="14.25" customHeight="1" x14ac:dyDescent="0.3">
      <c r="E694" s="17"/>
      <c r="F694" s="17"/>
      <c r="G694" s="41"/>
    </row>
    <row r="695" spans="5:7" ht="14.25" customHeight="1" x14ac:dyDescent="0.3">
      <c r="E695" s="17"/>
      <c r="F695" s="17"/>
      <c r="G695" s="41"/>
    </row>
    <row r="696" spans="5:7" ht="14.25" customHeight="1" x14ac:dyDescent="0.3">
      <c r="E696" s="17"/>
      <c r="F696" s="17"/>
      <c r="G696" s="41"/>
    </row>
    <row r="697" spans="5:7" ht="14.25" customHeight="1" x14ac:dyDescent="0.3">
      <c r="E697" s="17"/>
      <c r="F697" s="17"/>
      <c r="G697" s="41"/>
    </row>
    <row r="698" spans="5:7" ht="14.25" customHeight="1" x14ac:dyDescent="0.3">
      <c r="E698" s="17"/>
      <c r="F698" s="17"/>
      <c r="G698" s="41"/>
    </row>
    <row r="699" spans="5:7" ht="14.25" customHeight="1" x14ac:dyDescent="0.3">
      <c r="E699" s="17"/>
      <c r="F699" s="17"/>
      <c r="G699" s="41"/>
    </row>
    <row r="700" spans="5:7" ht="14.25" customHeight="1" x14ac:dyDescent="0.3">
      <c r="E700" s="17"/>
      <c r="F700" s="17"/>
      <c r="G700" s="41"/>
    </row>
    <row r="701" spans="5:7" ht="14.25" customHeight="1" x14ac:dyDescent="0.3">
      <c r="E701" s="17"/>
      <c r="F701" s="17"/>
      <c r="G701" s="41"/>
    </row>
    <row r="702" spans="5:7" ht="14.25" customHeight="1" x14ac:dyDescent="0.3">
      <c r="E702" s="17"/>
      <c r="F702" s="17"/>
      <c r="G702" s="41"/>
    </row>
    <row r="703" spans="5:7" ht="14.25" customHeight="1" x14ac:dyDescent="0.3">
      <c r="E703" s="17"/>
      <c r="F703" s="17"/>
      <c r="G703" s="41"/>
    </row>
    <row r="704" spans="5:7" ht="14.25" customHeight="1" x14ac:dyDescent="0.3">
      <c r="E704" s="17"/>
      <c r="F704" s="17"/>
      <c r="G704" s="41"/>
    </row>
    <row r="705" spans="5:7" ht="14.25" customHeight="1" x14ac:dyDescent="0.3">
      <c r="E705" s="17"/>
      <c r="F705" s="17"/>
      <c r="G705" s="41"/>
    </row>
    <row r="706" spans="5:7" ht="14.25" customHeight="1" x14ac:dyDescent="0.3">
      <c r="E706" s="17"/>
      <c r="F706" s="17"/>
      <c r="G706" s="41"/>
    </row>
    <row r="707" spans="5:7" ht="14.25" customHeight="1" x14ac:dyDescent="0.3">
      <c r="E707" s="17"/>
      <c r="F707" s="17"/>
      <c r="G707" s="41"/>
    </row>
    <row r="708" spans="5:7" ht="14.25" customHeight="1" x14ac:dyDescent="0.3">
      <c r="E708" s="17"/>
      <c r="F708" s="17"/>
      <c r="G708" s="41"/>
    </row>
    <row r="709" spans="5:7" ht="14.25" customHeight="1" x14ac:dyDescent="0.3">
      <c r="E709" s="17"/>
      <c r="F709" s="17"/>
      <c r="G709" s="41"/>
    </row>
    <row r="710" spans="5:7" ht="14.25" customHeight="1" x14ac:dyDescent="0.3">
      <c r="E710" s="17"/>
      <c r="F710" s="17"/>
      <c r="G710" s="41"/>
    </row>
    <row r="711" spans="5:7" ht="14.25" customHeight="1" x14ac:dyDescent="0.3">
      <c r="E711" s="17"/>
      <c r="F711" s="17"/>
      <c r="G711" s="41"/>
    </row>
    <row r="712" spans="5:7" ht="14.25" customHeight="1" x14ac:dyDescent="0.3">
      <c r="E712" s="17"/>
      <c r="F712" s="17"/>
      <c r="G712" s="41"/>
    </row>
    <row r="713" spans="5:7" ht="14.25" customHeight="1" x14ac:dyDescent="0.3">
      <c r="E713" s="17"/>
      <c r="F713" s="17"/>
      <c r="G713" s="41"/>
    </row>
    <row r="714" spans="5:7" ht="14.25" customHeight="1" x14ac:dyDescent="0.3">
      <c r="E714" s="17"/>
      <c r="F714" s="17"/>
      <c r="G714" s="41"/>
    </row>
    <row r="715" spans="5:7" ht="14.25" customHeight="1" x14ac:dyDescent="0.3">
      <c r="E715" s="17"/>
      <c r="F715" s="17"/>
      <c r="G715" s="41"/>
    </row>
    <row r="716" spans="5:7" ht="14.25" customHeight="1" x14ac:dyDescent="0.3">
      <c r="E716" s="17"/>
      <c r="F716" s="17"/>
      <c r="G716" s="41"/>
    </row>
    <row r="717" spans="5:7" ht="14.25" customHeight="1" x14ac:dyDescent="0.3">
      <c r="E717" s="17"/>
      <c r="F717" s="17"/>
      <c r="G717" s="41"/>
    </row>
    <row r="718" spans="5:7" ht="14.25" customHeight="1" x14ac:dyDescent="0.3">
      <c r="E718" s="17"/>
      <c r="F718" s="17"/>
      <c r="G718" s="41"/>
    </row>
    <row r="719" spans="5:7" ht="14.25" customHeight="1" x14ac:dyDescent="0.3">
      <c r="E719" s="17"/>
      <c r="F719" s="17"/>
      <c r="G719" s="41"/>
    </row>
    <row r="720" spans="5:7" ht="14.25" customHeight="1" x14ac:dyDescent="0.3">
      <c r="E720" s="17"/>
      <c r="F720" s="17"/>
      <c r="G720" s="41"/>
    </row>
    <row r="721" spans="5:7" ht="14.25" customHeight="1" x14ac:dyDescent="0.3">
      <c r="E721" s="17"/>
      <c r="F721" s="17"/>
      <c r="G721" s="41"/>
    </row>
    <row r="722" spans="5:7" ht="14.25" customHeight="1" x14ac:dyDescent="0.3">
      <c r="E722" s="17"/>
      <c r="F722" s="17"/>
      <c r="G722" s="41"/>
    </row>
    <row r="723" spans="5:7" ht="14.25" customHeight="1" x14ac:dyDescent="0.3">
      <c r="E723" s="17"/>
      <c r="F723" s="17"/>
      <c r="G723" s="41"/>
    </row>
    <row r="724" spans="5:7" ht="14.25" customHeight="1" x14ac:dyDescent="0.3">
      <c r="E724" s="17"/>
      <c r="F724" s="17"/>
      <c r="G724" s="41"/>
    </row>
    <row r="725" spans="5:7" ht="14.25" customHeight="1" x14ac:dyDescent="0.3">
      <c r="E725" s="17"/>
      <c r="F725" s="17"/>
      <c r="G725" s="41"/>
    </row>
    <row r="726" spans="5:7" ht="14.25" customHeight="1" x14ac:dyDescent="0.3">
      <c r="E726" s="17"/>
      <c r="F726" s="17"/>
      <c r="G726" s="41"/>
    </row>
    <row r="727" spans="5:7" ht="14.25" customHeight="1" x14ac:dyDescent="0.3">
      <c r="E727" s="17"/>
      <c r="F727" s="17"/>
      <c r="G727" s="41"/>
    </row>
    <row r="728" spans="5:7" ht="14.25" customHeight="1" x14ac:dyDescent="0.3">
      <c r="E728" s="17"/>
      <c r="F728" s="17"/>
      <c r="G728" s="41"/>
    </row>
    <row r="729" spans="5:7" ht="14.25" customHeight="1" x14ac:dyDescent="0.3">
      <c r="E729" s="17"/>
      <c r="F729" s="17"/>
      <c r="G729" s="41"/>
    </row>
    <row r="730" spans="5:7" ht="14.25" customHeight="1" x14ac:dyDescent="0.3">
      <c r="E730" s="17"/>
      <c r="F730" s="17"/>
      <c r="G730" s="41"/>
    </row>
    <row r="731" spans="5:7" ht="14.25" customHeight="1" x14ac:dyDescent="0.3">
      <c r="E731" s="17"/>
      <c r="F731" s="17"/>
      <c r="G731" s="41"/>
    </row>
    <row r="732" spans="5:7" ht="14.25" customHeight="1" x14ac:dyDescent="0.3">
      <c r="E732" s="17"/>
      <c r="F732" s="17"/>
      <c r="G732" s="41"/>
    </row>
    <row r="733" spans="5:7" ht="14.25" customHeight="1" x14ac:dyDescent="0.3">
      <c r="E733" s="17"/>
      <c r="F733" s="17"/>
      <c r="G733" s="41"/>
    </row>
    <row r="734" spans="5:7" ht="14.25" customHeight="1" x14ac:dyDescent="0.3">
      <c r="E734" s="17"/>
      <c r="F734" s="17"/>
      <c r="G734" s="41"/>
    </row>
    <row r="735" spans="5:7" ht="14.25" customHeight="1" x14ac:dyDescent="0.3">
      <c r="E735" s="17"/>
      <c r="F735" s="17"/>
      <c r="G735" s="41"/>
    </row>
    <row r="736" spans="5:7" ht="14.25" customHeight="1" x14ac:dyDescent="0.3">
      <c r="E736" s="17"/>
      <c r="F736" s="17"/>
      <c r="G736" s="41"/>
    </row>
    <row r="737" spans="5:7" ht="14.25" customHeight="1" x14ac:dyDescent="0.3">
      <c r="E737" s="17"/>
      <c r="F737" s="17"/>
      <c r="G737" s="41"/>
    </row>
    <row r="738" spans="5:7" ht="14.25" customHeight="1" x14ac:dyDescent="0.3">
      <c r="E738" s="17"/>
      <c r="F738" s="17"/>
      <c r="G738" s="41"/>
    </row>
    <row r="739" spans="5:7" ht="14.25" customHeight="1" x14ac:dyDescent="0.3">
      <c r="E739" s="17"/>
      <c r="F739" s="17"/>
      <c r="G739" s="41"/>
    </row>
    <row r="740" spans="5:7" ht="14.25" customHeight="1" x14ac:dyDescent="0.3">
      <c r="E740" s="17"/>
      <c r="F740" s="17"/>
      <c r="G740" s="41"/>
    </row>
    <row r="741" spans="5:7" ht="14.25" customHeight="1" x14ac:dyDescent="0.3">
      <c r="E741" s="17"/>
      <c r="F741" s="17"/>
      <c r="G741" s="41"/>
    </row>
    <row r="742" spans="5:7" ht="14.25" customHeight="1" x14ac:dyDescent="0.3">
      <c r="E742" s="17"/>
      <c r="F742" s="17"/>
      <c r="G742" s="41"/>
    </row>
    <row r="743" spans="5:7" ht="14.25" customHeight="1" x14ac:dyDescent="0.3">
      <c r="E743" s="17"/>
      <c r="F743" s="17"/>
      <c r="G743" s="41"/>
    </row>
    <row r="744" spans="5:7" ht="14.25" customHeight="1" x14ac:dyDescent="0.3">
      <c r="E744" s="17"/>
      <c r="F744" s="17"/>
      <c r="G744" s="41"/>
    </row>
    <row r="745" spans="5:7" ht="14.25" customHeight="1" x14ac:dyDescent="0.3">
      <c r="E745" s="17"/>
      <c r="F745" s="17"/>
      <c r="G745" s="41"/>
    </row>
    <row r="746" spans="5:7" ht="14.25" customHeight="1" x14ac:dyDescent="0.3">
      <c r="E746" s="17"/>
      <c r="F746" s="17"/>
      <c r="G746" s="41"/>
    </row>
    <row r="747" spans="5:7" ht="14.25" customHeight="1" x14ac:dyDescent="0.3">
      <c r="E747" s="17"/>
      <c r="F747" s="17"/>
      <c r="G747" s="41"/>
    </row>
    <row r="748" spans="5:7" ht="14.25" customHeight="1" x14ac:dyDescent="0.3">
      <c r="E748" s="17"/>
      <c r="F748" s="17"/>
      <c r="G748" s="41"/>
    </row>
    <row r="749" spans="5:7" ht="14.25" customHeight="1" x14ac:dyDescent="0.3">
      <c r="E749" s="17"/>
      <c r="F749" s="17"/>
      <c r="G749" s="41"/>
    </row>
    <row r="750" spans="5:7" ht="14.25" customHeight="1" x14ac:dyDescent="0.3">
      <c r="E750" s="17"/>
      <c r="F750" s="17"/>
      <c r="G750" s="41"/>
    </row>
    <row r="751" spans="5:7" ht="14.25" customHeight="1" x14ac:dyDescent="0.3">
      <c r="E751" s="17"/>
      <c r="F751" s="17"/>
      <c r="G751" s="41"/>
    </row>
    <row r="752" spans="5:7" ht="14.25" customHeight="1" x14ac:dyDescent="0.3">
      <c r="E752" s="17"/>
      <c r="F752" s="17"/>
      <c r="G752" s="41"/>
    </row>
    <row r="753" spans="5:7" ht="14.25" customHeight="1" x14ac:dyDescent="0.3">
      <c r="E753" s="17"/>
      <c r="F753" s="17"/>
      <c r="G753" s="41"/>
    </row>
    <row r="754" spans="5:7" ht="14.25" customHeight="1" x14ac:dyDescent="0.3">
      <c r="E754" s="17"/>
      <c r="F754" s="17"/>
      <c r="G754" s="41"/>
    </row>
    <row r="755" spans="5:7" ht="14.25" customHeight="1" x14ac:dyDescent="0.3">
      <c r="E755" s="17"/>
      <c r="F755" s="17"/>
      <c r="G755" s="41"/>
    </row>
    <row r="756" spans="5:7" ht="14.25" customHeight="1" x14ac:dyDescent="0.3">
      <c r="E756" s="17"/>
      <c r="F756" s="17"/>
      <c r="G756" s="41"/>
    </row>
    <row r="757" spans="5:7" ht="14.25" customHeight="1" x14ac:dyDescent="0.3">
      <c r="E757" s="17"/>
      <c r="F757" s="17"/>
      <c r="G757" s="41"/>
    </row>
    <row r="758" spans="5:7" ht="14.25" customHeight="1" x14ac:dyDescent="0.3">
      <c r="E758" s="17"/>
      <c r="F758" s="17"/>
      <c r="G758" s="41"/>
    </row>
    <row r="759" spans="5:7" ht="14.25" customHeight="1" x14ac:dyDescent="0.3">
      <c r="E759" s="17"/>
      <c r="F759" s="17"/>
      <c r="G759" s="41"/>
    </row>
    <row r="760" spans="5:7" ht="14.25" customHeight="1" x14ac:dyDescent="0.3">
      <c r="E760" s="17"/>
      <c r="F760" s="17"/>
      <c r="G760" s="41"/>
    </row>
    <row r="761" spans="5:7" ht="14.25" customHeight="1" x14ac:dyDescent="0.3">
      <c r="E761" s="17"/>
      <c r="F761" s="17"/>
      <c r="G761" s="41"/>
    </row>
    <row r="762" spans="5:7" ht="14.25" customHeight="1" x14ac:dyDescent="0.3">
      <c r="E762" s="17"/>
      <c r="F762" s="17"/>
      <c r="G762" s="41"/>
    </row>
    <row r="763" spans="5:7" ht="14.25" customHeight="1" x14ac:dyDescent="0.3">
      <c r="E763" s="17"/>
      <c r="F763" s="17"/>
      <c r="G763" s="41"/>
    </row>
    <row r="764" spans="5:7" ht="14.25" customHeight="1" x14ac:dyDescent="0.3">
      <c r="E764" s="17"/>
      <c r="F764" s="17"/>
      <c r="G764" s="41"/>
    </row>
    <row r="765" spans="5:7" ht="14.25" customHeight="1" x14ac:dyDescent="0.3">
      <c r="E765" s="17"/>
      <c r="F765" s="17"/>
      <c r="G765" s="41"/>
    </row>
    <row r="766" spans="5:7" ht="14.25" customHeight="1" x14ac:dyDescent="0.3">
      <c r="E766" s="17"/>
      <c r="F766" s="17"/>
      <c r="G766" s="41"/>
    </row>
    <row r="767" spans="5:7" ht="14.25" customHeight="1" x14ac:dyDescent="0.3">
      <c r="E767" s="17"/>
      <c r="F767" s="17"/>
      <c r="G767" s="41"/>
    </row>
    <row r="768" spans="5:7" ht="14.25" customHeight="1" x14ac:dyDescent="0.3">
      <c r="E768" s="17"/>
      <c r="F768" s="17"/>
      <c r="G768" s="41"/>
    </row>
    <row r="769" spans="5:7" ht="14.25" customHeight="1" x14ac:dyDescent="0.3">
      <c r="E769" s="17"/>
      <c r="F769" s="17"/>
      <c r="G769" s="41"/>
    </row>
    <row r="770" spans="5:7" ht="14.25" customHeight="1" x14ac:dyDescent="0.3">
      <c r="E770" s="17"/>
      <c r="F770" s="17"/>
      <c r="G770" s="41"/>
    </row>
    <row r="771" spans="5:7" ht="14.25" customHeight="1" x14ac:dyDescent="0.3">
      <c r="E771" s="17"/>
      <c r="F771" s="17"/>
      <c r="G771" s="41"/>
    </row>
    <row r="772" spans="5:7" ht="14.25" customHeight="1" x14ac:dyDescent="0.3">
      <c r="E772" s="17"/>
      <c r="F772" s="17"/>
      <c r="G772" s="41"/>
    </row>
    <row r="773" spans="5:7" ht="14.25" customHeight="1" x14ac:dyDescent="0.3">
      <c r="E773" s="17"/>
      <c r="F773" s="17"/>
      <c r="G773" s="41"/>
    </row>
    <row r="774" spans="5:7" ht="14.25" customHeight="1" x14ac:dyDescent="0.3">
      <c r="E774" s="17"/>
      <c r="F774" s="17"/>
      <c r="G774" s="41"/>
    </row>
    <row r="775" spans="5:7" ht="14.25" customHeight="1" x14ac:dyDescent="0.3">
      <c r="E775" s="17"/>
      <c r="F775" s="17"/>
      <c r="G775" s="41"/>
    </row>
    <row r="776" spans="5:7" ht="14.25" customHeight="1" x14ac:dyDescent="0.3">
      <c r="E776" s="17"/>
      <c r="F776" s="17"/>
      <c r="G776" s="41"/>
    </row>
    <row r="777" spans="5:7" ht="14.25" customHeight="1" x14ac:dyDescent="0.3">
      <c r="E777" s="17"/>
      <c r="F777" s="17"/>
      <c r="G777" s="41"/>
    </row>
    <row r="778" spans="5:7" ht="14.25" customHeight="1" x14ac:dyDescent="0.3">
      <c r="E778" s="17"/>
      <c r="F778" s="17"/>
      <c r="G778" s="41"/>
    </row>
    <row r="779" spans="5:7" ht="14.25" customHeight="1" x14ac:dyDescent="0.3">
      <c r="E779" s="17"/>
      <c r="F779" s="17"/>
      <c r="G779" s="41"/>
    </row>
    <row r="780" spans="5:7" ht="14.25" customHeight="1" x14ac:dyDescent="0.3">
      <c r="E780" s="17"/>
      <c r="F780" s="17"/>
      <c r="G780" s="41"/>
    </row>
    <row r="781" spans="5:7" ht="14.25" customHeight="1" x14ac:dyDescent="0.3">
      <c r="E781" s="17"/>
      <c r="F781" s="17"/>
      <c r="G781" s="41"/>
    </row>
    <row r="782" spans="5:7" ht="14.25" customHeight="1" x14ac:dyDescent="0.3">
      <c r="E782" s="17"/>
      <c r="F782" s="17"/>
      <c r="G782" s="41"/>
    </row>
    <row r="783" spans="5:7" ht="14.25" customHeight="1" x14ac:dyDescent="0.3">
      <c r="E783" s="17"/>
      <c r="F783" s="17"/>
      <c r="G783" s="41"/>
    </row>
    <row r="784" spans="5:7" ht="14.25" customHeight="1" x14ac:dyDescent="0.3">
      <c r="E784" s="17"/>
      <c r="F784" s="17"/>
      <c r="G784" s="41"/>
    </row>
    <row r="785" spans="5:7" ht="14.25" customHeight="1" x14ac:dyDescent="0.3">
      <c r="E785" s="17"/>
      <c r="F785" s="17"/>
      <c r="G785" s="41"/>
    </row>
    <row r="786" spans="5:7" ht="14.25" customHeight="1" x14ac:dyDescent="0.3">
      <c r="E786" s="17"/>
      <c r="F786" s="17"/>
      <c r="G786" s="41"/>
    </row>
    <row r="787" spans="5:7" ht="14.25" customHeight="1" x14ac:dyDescent="0.3">
      <c r="E787" s="17"/>
      <c r="F787" s="17"/>
      <c r="G787" s="41"/>
    </row>
    <row r="788" spans="5:7" ht="14.25" customHeight="1" x14ac:dyDescent="0.3">
      <c r="E788" s="17"/>
      <c r="F788" s="17"/>
      <c r="G788" s="41"/>
    </row>
    <row r="789" spans="5:7" ht="14.25" customHeight="1" x14ac:dyDescent="0.3">
      <c r="E789" s="17"/>
      <c r="F789" s="17"/>
      <c r="G789" s="41"/>
    </row>
    <row r="790" spans="5:7" ht="14.25" customHeight="1" x14ac:dyDescent="0.3">
      <c r="E790" s="17"/>
      <c r="F790" s="17"/>
      <c r="G790" s="41"/>
    </row>
    <row r="791" spans="5:7" ht="14.25" customHeight="1" x14ac:dyDescent="0.3">
      <c r="E791" s="17"/>
      <c r="F791" s="17"/>
      <c r="G791" s="41"/>
    </row>
    <row r="792" spans="5:7" ht="14.25" customHeight="1" x14ac:dyDescent="0.3">
      <c r="E792" s="17"/>
      <c r="F792" s="17"/>
      <c r="G792" s="41"/>
    </row>
    <row r="793" spans="5:7" ht="14.25" customHeight="1" x14ac:dyDescent="0.3">
      <c r="E793" s="17"/>
      <c r="F793" s="17"/>
      <c r="G793" s="41"/>
    </row>
    <row r="794" spans="5:7" ht="14.25" customHeight="1" x14ac:dyDescent="0.3">
      <c r="E794" s="17"/>
      <c r="F794" s="17"/>
      <c r="G794" s="41"/>
    </row>
    <row r="795" spans="5:7" ht="14.25" customHeight="1" x14ac:dyDescent="0.3">
      <c r="E795" s="17"/>
      <c r="F795" s="17"/>
      <c r="G795" s="41"/>
    </row>
    <row r="796" spans="5:7" ht="14.25" customHeight="1" x14ac:dyDescent="0.3">
      <c r="E796" s="17"/>
      <c r="F796" s="17"/>
      <c r="G796" s="41"/>
    </row>
    <row r="797" spans="5:7" ht="14.25" customHeight="1" x14ac:dyDescent="0.3">
      <c r="E797" s="17"/>
      <c r="F797" s="17"/>
      <c r="G797" s="41"/>
    </row>
    <row r="798" spans="5:7" ht="14.25" customHeight="1" x14ac:dyDescent="0.3">
      <c r="E798" s="17"/>
      <c r="F798" s="17"/>
      <c r="G798" s="41"/>
    </row>
    <row r="799" spans="5:7" ht="14.25" customHeight="1" x14ac:dyDescent="0.3">
      <c r="E799" s="17"/>
      <c r="F799" s="17"/>
      <c r="G799" s="41"/>
    </row>
    <row r="800" spans="5:7" ht="14.25" customHeight="1" x14ac:dyDescent="0.3">
      <c r="E800" s="17"/>
      <c r="F800" s="17"/>
      <c r="G800" s="41"/>
    </row>
    <row r="801" spans="5:7" ht="14.25" customHeight="1" x14ac:dyDescent="0.3">
      <c r="E801" s="17"/>
      <c r="F801" s="17"/>
      <c r="G801" s="41"/>
    </row>
    <row r="802" spans="5:7" ht="14.25" customHeight="1" x14ac:dyDescent="0.3">
      <c r="E802" s="17"/>
      <c r="F802" s="17"/>
      <c r="G802" s="41"/>
    </row>
    <row r="803" spans="5:7" ht="14.25" customHeight="1" x14ac:dyDescent="0.3">
      <c r="E803" s="17"/>
      <c r="F803" s="17"/>
      <c r="G803" s="41"/>
    </row>
    <row r="804" spans="5:7" ht="14.25" customHeight="1" x14ac:dyDescent="0.3">
      <c r="E804" s="17"/>
      <c r="F804" s="17"/>
      <c r="G804" s="41"/>
    </row>
    <row r="805" spans="5:7" ht="14.25" customHeight="1" x14ac:dyDescent="0.3">
      <c r="E805" s="17"/>
      <c r="F805" s="17"/>
      <c r="G805" s="41"/>
    </row>
    <row r="806" spans="5:7" ht="14.25" customHeight="1" x14ac:dyDescent="0.3">
      <c r="E806" s="17"/>
      <c r="F806" s="17"/>
      <c r="G806" s="41"/>
    </row>
    <row r="807" spans="5:7" ht="14.25" customHeight="1" x14ac:dyDescent="0.3">
      <c r="E807" s="17"/>
      <c r="F807" s="17"/>
      <c r="G807" s="41"/>
    </row>
    <row r="808" spans="5:7" ht="14.25" customHeight="1" x14ac:dyDescent="0.3">
      <c r="E808" s="17"/>
      <c r="F808" s="17"/>
      <c r="G808" s="41"/>
    </row>
    <row r="809" spans="5:7" ht="14.25" customHeight="1" x14ac:dyDescent="0.3">
      <c r="E809" s="17"/>
      <c r="F809" s="17"/>
      <c r="G809" s="41"/>
    </row>
    <row r="810" spans="5:7" ht="14.25" customHeight="1" x14ac:dyDescent="0.3">
      <c r="E810" s="17"/>
      <c r="F810" s="17"/>
      <c r="G810" s="41"/>
    </row>
    <row r="811" spans="5:7" ht="14.25" customHeight="1" x14ac:dyDescent="0.3">
      <c r="E811" s="17"/>
      <c r="F811" s="17"/>
      <c r="G811" s="41"/>
    </row>
    <row r="812" spans="5:7" ht="14.25" customHeight="1" x14ac:dyDescent="0.3">
      <c r="E812" s="17"/>
      <c r="F812" s="17"/>
      <c r="G812" s="41"/>
    </row>
    <row r="813" spans="5:7" ht="14.25" customHeight="1" x14ac:dyDescent="0.3">
      <c r="E813" s="17"/>
      <c r="F813" s="17"/>
      <c r="G813" s="41"/>
    </row>
    <row r="814" spans="5:7" ht="14.25" customHeight="1" x14ac:dyDescent="0.3">
      <c r="E814" s="17"/>
      <c r="F814" s="17"/>
      <c r="G814" s="41"/>
    </row>
    <row r="815" spans="5:7" ht="14.25" customHeight="1" x14ac:dyDescent="0.3">
      <c r="E815" s="17"/>
      <c r="F815" s="17"/>
      <c r="G815" s="41"/>
    </row>
    <row r="816" spans="5:7" ht="14.25" customHeight="1" x14ac:dyDescent="0.3">
      <c r="E816" s="17"/>
      <c r="F816" s="17"/>
      <c r="G816" s="41"/>
    </row>
    <row r="817" spans="5:7" ht="14.25" customHeight="1" x14ac:dyDescent="0.3">
      <c r="E817" s="17"/>
      <c r="F817" s="17"/>
      <c r="G817" s="41"/>
    </row>
    <row r="818" spans="5:7" ht="14.25" customHeight="1" x14ac:dyDescent="0.3">
      <c r="E818" s="17"/>
      <c r="F818" s="17"/>
      <c r="G818" s="41"/>
    </row>
    <row r="819" spans="5:7" ht="14.25" customHeight="1" x14ac:dyDescent="0.3">
      <c r="E819" s="17"/>
      <c r="F819" s="17"/>
      <c r="G819" s="41"/>
    </row>
    <row r="820" spans="5:7" ht="14.25" customHeight="1" x14ac:dyDescent="0.3">
      <c r="E820" s="17"/>
      <c r="F820" s="17"/>
      <c r="G820" s="41"/>
    </row>
    <row r="821" spans="5:7" ht="14.25" customHeight="1" x14ac:dyDescent="0.3">
      <c r="E821" s="17"/>
      <c r="F821" s="17"/>
      <c r="G821" s="41"/>
    </row>
    <row r="822" spans="5:7" ht="14.25" customHeight="1" x14ac:dyDescent="0.3">
      <c r="E822" s="17"/>
      <c r="F822" s="17"/>
      <c r="G822" s="41"/>
    </row>
    <row r="823" spans="5:7" ht="14.25" customHeight="1" x14ac:dyDescent="0.3">
      <c r="E823" s="17"/>
      <c r="F823" s="17"/>
      <c r="G823" s="41"/>
    </row>
    <row r="824" spans="5:7" ht="14.25" customHeight="1" x14ac:dyDescent="0.3">
      <c r="E824" s="17"/>
      <c r="F824" s="17"/>
      <c r="G824" s="41"/>
    </row>
    <row r="825" spans="5:7" ht="14.25" customHeight="1" x14ac:dyDescent="0.3">
      <c r="E825" s="17"/>
      <c r="F825" s="17"/>
      <c r="G825" s="41"/>
    </row>
    <row r="826" spans="5:7" ht="14.25" customHeight="1" x14ac:dyDescent="0.3">
      <c r="E826" s="17"/>
      <c r="F826" s="17"/>
      <c r="G826" s="41"/>
    </row>
    <row r="827" spans="5:7" ht="14.25" customHeight="1" x14ac:dyDescent="0.3">
      <c r="E827" s="17"/>
      <c r="F827" s="17"/>
      <c r="G827" s="41"/>
    </row>
    <row r="828" spans="5:7" ht="14.25" customHeight="1" x14ac:dyDescent="0.3">
      <c r="E828" s="17"/>
      <c r="F828" s="17"/>
      <c r="G828" s="41"/>
    </row>
    <row r="829" spans="5:7" ht="14.25" customHeight="1" x14ac:dyDescent="0.3">
      <c r="E829" s="17"/>
      <c r="F829" s="17"/>
      <c r="G829" s="41"/>
    </row>
    <row r="830" spans="5:7" ht="14.25" customHeight="1" x14ac:dyDescent="0.3">
      <c r="E830" s="17"/>
      <c r="F830" s="17"/>
      <c r="G830" s="41"/>
    </row>
    <row r="831" spans="5:7" ht="14.25" customHeight="1" x14ac:dyDescent="0.3">
      <c r="E831" s="17"/>
      <c r="F831" s="17"/>
      <c r="G831" s="41"/>
    </row>
    <row r="832" spans="5:7" ht="14.25" customHeight="1" x14ac:dyDescent="0.3">
      <c r="E832" s="17"/>
      <c r="F832" s="17"/>
      <c r="G832" s="41"/>
    </row>
    <row r="833" spans="5:7" ht="14.25" customHeight="1" x14ac:dyDescent="0.3">
      <c r="E833" s="17"/>
      <c r="F833" s="17"/>
      <c r="G833" s="41"/>
    </row>
    <row r="834" spans="5:7" ht="14.25" customHeight="1" x14ac:dyDescent="0.3">
      <c r="E834" s="17"/>
      <c r="F834" s="17"/>
      <c r="G834" s="41"/>
    </row>
    <row r="835" spans="5:7" ht="14.25" customHeight="1" x14ac:dyDescent="0.3">
      <c r="E835" s="17"/>
      <c r="F835" s="17"/>
      <c r="G835" s="41"/>
    </row>
    <row r="836" spans="5:7" ht="14.25" customHeight="1" x14ac:dyDescent="0.3">
      <c r="E836" s="17"/>
      <c r="F836" s="17"/>
      <c r="G836" s="41"/>
    </row>
    <row r="837" spans="5:7" ht="14.25" customHeight="1" x14ac:dyDescent="0.3">
      <c r="E837" s="17"/>
      <c r="F837" s="17"/>
      <c r="G837" s="41"/>
    </row>
    <row r="838" spans="5:7" ht="14.25" customHeight="1" x14ac:dyDescent="0.3">
      <c r="E838" s="17"/>
      <c r="F838" s="17"/>
      <c r="G838" s="41"/>
    </row>
    <row r="839" spans="5:7" ht="14.25" customHeight="1" x14ac:dyDescent="0.3">
      <c r="E839" s="17"/>
      <c r="F839" s="17"/>
      <c r="G839" s="41"/>
    </row>
    <row r="840" spans="5:7" ht="14.25" customHeight="1" x14ac:dyDescent="0.3">
      <c r="E840" s="17"/>
      <c r="F840" s="17"/>
      <c r="G840" s="41"/>
    </row>
    <row r="841" spans="5:7" ht="14.25" customHeight="1" x14ac:dyDescent="0.3">
      <c r="E841" s="17"/>
      <c r="F841" s="17"/>
      <c r="G841" s="41"/>
    </row>
    <row r="842" spans="5:7" ht="14.25" customHeight="1" x14ac:dyDescent="0.3">
      <c r="E842" s="17"/>
      <c r="F842" s="17"/>
      <c r="G842" s="41"/>
    </row>
    <row r="843" spans="5:7" ht="14.25" customHeight="1" x14ac:dyDescent="0.3">
      <c r="E843" s="17"/>
      <c r="F843" s="17"/>
      <c r="G843" s="41"/>
    </row>
    <row r="844" spans="5:7" ht="14.25" customHeight="1" x14ac:dyDescent="0.3">
      <c r="E844" s="17"/>
      <c r="F844" s="17"/>
      <c r="G844" s="41"/>
    </row>
    <row r="845" spans="5:7" ht="14.25" customHeight="1" x14ac:dyDescent="0.3">
      <c r="E845" s="17"/>
      <c r="F845" s="17"/>
      <c r="G845" s="41"/>
    </row>
    <row r="846" spans="5:7" ht="14.25" customHeight="1" x14ac:dyDescent="0.3">
      <c r="E846" s="17"/>
      <c r="F846" s="17"/>
      <c r="G846" s="41"/>
    </row>
    <row r="847" spans="5:7" ht="14.25" customHeight="1" x14ac:dyDescent="0.3">
      <c r="E847" s="17"/>
      <c r="F847" s="17"/>
      <c r="G847" s="41"/>
    </row>
    <row r="848" spans="5:7" ht="14.25" customHeight="1" x14ac:dyDescent="0.3">
      <c r="E848" s="17"/>
      <c r="F848" s="17"/>
      <c r="G848" s="41"/>
    </row>
    <row r="849" spans="5:7" ht="14.25" customHeight="1" x14ac:dyDescent="0.3">
      <c r="E849" s="17"/>
      <c r="F849" s="17"/>
      <c r="G849" s="41"/>
    </row>
    <row r="850" spans="5:7" ht="14.25" customHeight="1" x14ac:dyDescent="0.3">
      <c r="E850" s="17"/>
      <c r="F850" s="17"/>
      <c r="G850" s="41"/>
    </row>
    <row r="851" spans="5:7" ht="14.25" customHeight="1" x14ac:dyDescent="0.3">
      <c r="E851" s="17"/>
      <c r="F851" s="17"/>
      <c r="G851" s="41"/>
    </row>
    <row r="852" spans="5:7" ht="14.25" customHeight="1" x14ac:dyDescent="0.3">
      <c r="E852" s="17"/>
      <c r="F852" s="17"/>
      <c r="G852" s="41"/>
    </row>
    <row r="853" spans="5:7" ht="14.25" customHeight="1" x14ac:dyDescent="0.3">
      <c r="E853" s="17"/>
      <c r="F853" s="17"/>
      <c r="G853" s="41"/>
    </row>
    <row r="854" spans="5:7" ht="14.25" customHeight="1" x14ac:dyDescent="0.3">
      <c r="E854" s="17"/>
      <c r="F854" s="17"/>
      <c r="G854" s="41"/>
    </row>
    <row r="855" spans="5:7" ht="14.25" customHeight="1" x14ac:dyDescent="0.3">
      <c r="E855" s="17"/>
      <c r="F855" s="17"/>
      <c r="G855" s="41"/>
    </row>
    <row r="856" spans="5:7" ht="14.25" customHeight="1" x14ac:dyDescent="0.3">
      <c r="E856" s="17"/>
      <c r="F856" s="17"/>
      <c r="G856" s="41"/>
    </row>
    <row r="857" spans="5:7" ht="14.25" customHeight="1" x14ac:dyDescent="0.3">
      <c r="E857" s="17"/>
      <c r="F857" s="17"/>
      <c r="G857" s="41"/>
    </row>
    <row r="858" spans="5:7" ht="14.25" customHeight="1" x14ac:dyDescent="0.3">
      <c r="E858" s="17"/>
      <c r="F858" s="17"/>
      <c r="G858" s="41"/>
    </row>
    <row r="859" spans="5:7" ht="14.25" customHeight="1" x14ac:dyDescent="0.3">
      <c r="E859" s="17"/>
      <c r="F859" s="17"/>
      <c r="G859" s="41"/>
    </row>
    <row r="860" spans="5:7" ht="14.25" customHeight="1" x14ac:dyDescent="0.3">
      <c r="E860" s="17"/>
      <c r="F860" s="17"/>
      <c r="G860" s="41"/>
    </row>
    <row r="861" spans="5:7" ht="14.25" customHeight="1" x14ac:dyDescent="0.3">
      <c r="E861" s="17"/>
      <c r="F861" s="17"/>
      <c r="G861" s="41"/>
    </row>
    <row r="862" spans="5:7" ht="14.25" customHeight="1" x14ac:dyDescent="0.3">
      <c r="E862" s="17"/>
      <c r="F862" s="17"/>
      <c r="G862" s="41"/>
    </row>
    <row r="863" spans="5:7" ht="14.25" customHeight="1" x14ac:dyDescent="0.3">
      <c r="E863" s="17"/>
      <c r="F863" s="17"/>
      <c r="G863" s="41"/>
    </row>
    <row r="864" spans="5:7" ht="14.25" customHeight="1" x14ac:dyDescent="0.3">
      <c r="E864" s="17"/>
      <c r="F864" s="17"/>
      <c r="G864" s="41"/>
    </row>
    <row r="865" spans="5:7" ht="14.25" customHeight="1" x14ac:dyDescent="0.3">
      <c r="E865" s="17"/>
      <c r="F865" s="17"/>
      <c r="G865" s="41"/>
    </row>
    <row r="866" spans="5:7" ht="14.25" customHeight="1" x14ac:dyDescent="0.3">
      <c r="E866" s="17"/>
      <c r="F866" s="17"/>
      <c r="G866" s="41"/>
    </row>
    <row r="867" spans="5:7" ht="14.25" customHeight="1" x14ac:dyDescent="0.3">
      <c r="E867" s="17"/>
      <c r="F867" s="17"/>
      <c r="G867" s="41"/>
    </row>
    <row r="868" spans="5:7" ht="14.25" customHeight="1" x14ac:dyDescent="0.3">
      <c r="E868" s="17"/>
      <c r="F868" s="17"/>
      <c r="G868" s="41"/>
    </row>
    <row r="869" spans="5:7" ht="14.25" customHeight="1" x14ac:dyDescent="0.3">
      <c r="E869" s="17"/>
      <c r="F869" s="17"/>
      <c r="G869" s="41"/>
    </row>
    <row r="870" spans="5:7" ht="14.25" customHeight="1" x14ac:dyDescent="0.3">
      <c r="E870" s="17"/>
      <c r="F870" s="17"/>
      <c r="G870" s="41"/>
    </row>
    <row r="871" spans="5:7" ht="14.25" customHeight="1" x14ac:dyDescent="0.3">
      <c r="E871" s="17"/>
      <c r="F871" s="17"/>
      <c r="G871" s="41"/>
    </row>
    <row r="872" spans="5:7" ht="14.25" customHeight="1" x14ac:dyDescent="0.3">
      <c r="E872" s="17"/>
      <c r="F872" s="17"/>
      <c r="G872" s="41"/>
    </row>
    <row r="873" spans="5:7" ht="14.25" customHeight="1" x14ac:dyDescent="0.3">
      <c r="E873" s="17"/>
      <c r="F873" s="17"/>
      <c r="G873" s="41"/>
    </row>
    <row r="874" spans="5:7" ht="14.25" customHeight="1" x14ac:dyDescent="0.3">
      <c r="E874" s="17"/>
      <c r="F874" s="17"/>
      <c r="G874" s="41"/>
    </row>
    <row r="875" spans="5:7" ht="14.25" customHeight="1" x14ac:dyDescent="0.3">
      <c r="E875" s="17"/>
      <c r="F875" s="17"/>
      <c r="G875" s="41"/>
    </row>
    <row r="876" spans="5:7" ht="14.25" customHeight="1" x14ac:dyDescent="0.3">
      <c r="E876" s="17"/>
      <c r="F876" s="17"/>
      <c r="G876" s="41"/>
    </row>
    <row r="877" spans="5:7" ht="14.25" customHeight="1" x14ac:dyDescent="0.3">
      <c r="E877" s="17"/>
      <c r="F877" s="17"/>
      <c r="G877" s="41"/>
    </row>
    <row r="878" spans="5:7" ht="14.25" customHeight="1" x14ac:dyDescent="0.3">
      <c r="E878" s="17"/>
      <c r="F878" s="17"/>
      <c r="G878" s="41"/>
    </row>
    <row r="879" spans="5:7" ht="14.25" customHeight="1" x14ac:dyDescent="0.3">
      <c r="E879" s="17"/>
      <c r="F879" s="17"/>
      <c r="G879" s="41"/>
    </row>
    <row r="880" spans="5:7" ht="14.25" customHeight="1" x14ac:dyDescent="0.3">
      <c r="E880" s="17"/>
      <c r="F880" s="17"/>
      <c r="G880" s="41"/>
    </row>
    <row r="881" spans="5:7" ht="14.25" customHeight="1" x14ac:dyDescent="0.3">
      <c r="E881" s="17"/>
      <c r="F881" s="17"/>
      <c r="G881" s="41"/>
    </row>
    <row r="882" spans="5:7" ht="14.25" customHeight="1" x14ac:dyDescent="0.3">
      <c r="E882" s="17"/>
      <c r="F882" s="17"/>
      <c r="G882" s="41"/>
    </row>
    <row r="883" spans="5:7" ht="14.25" customHeight="1" x14ac:dyDescent="0.3">
      <c r="E883" s="17"/>
      <c r="F883" s="17"/>
      <c r="G883" s="41"/>
    </row>
    <row r="884" spans="5:7" ht="14.25" customHeight="1" x14ac:dyDescent="0.3">
      <c r="E884" s="17"/>
      <c r="F884" s="17"/>
      <c r="G884" s="41"/>
    </row>
    <row r="885" spans="5:7" ht="14.25" customHeight="1" x14ac:dyDescent="0.3">
      <c r="E885" s="17"/>
      <c r="F885" s="17"/>
      <c r="G885" s="41"/>
    </row>
    <row r="886" spans="5:7" ht="14.25" customHeight="1" x14ac:dyDescent="0.3">
      <c r="E886" s="17"/>
      <c r="F886" s="17"/>
      <c r="G886" s="41"/>
    </row>
    <row r="887" spans="5:7" ht="14.25" customHeight="1" x14ac:dyDescent="0.3">
      <c r="E887" s="17"/>
      <c r="F887" s="17"/>
      <c r="G887" s="41"/>
    </row>
    <row r="888" spans="5:7" ht="14.25" customHeight="1" x14ac:dyDescent="0.3">
      <c r="E888" s="17"/>
      <c r="F888" s="17"/>
      <c r="G888" s="41"/>
    </row>
    <row r="889" spans="5:7" ht="14.25" customHeight="1" x14ac:dyDescent="0.3">
      <c r="E889" s="17"/>
      <c r="F889" s="17"/>
      <c r="G889" s="41"/>
    </row>
    <row r="890" spans="5:7" ht="14.25" customHeight="1" x14ac:dyDescent="0.3">
      <c r="E890" s="17"/>
      <c r="F890" s="17"/>
      <c r="G890" s="41"/>
    </row>
    <row r="891" spans="5:7" ht="14.25" customHeight="1" x14ac:dyDescent="0.3">
      <c r="E891" s="17"/>
      <c r="F891" s="17"/>
      <c r="G891" s="41"/>
    </row>
    <row r="892" spans="5:7" ht="14.25" customHeight="1" x14ac:dyDescent="0.3">
      <c r="E892" s="17"/>
      <c r="F892" s="17"/>
      <c r="G892" s="41"/>
    </row>
    <row r="893" spans="5:7" ht="14.25" customHeight="1" x14ac:dyDescent="0.3">
      <c r="E893" s="17"/>
      <c r="F893" s="17"/>
      <c r="G893" s="41"/>
    </row>
    <row r="894" spans="5:7" ht="14.25" customHeight="1" x14ac:dyDescent="0.3">
      <c r="E894" s="17"/>
      <c r="F894" s="17"/>
      <c r="G894" s="41"/>
    </row>
    <row r="895" spans="5:7" ht="14.25" customHeight="1" x14ac:dyDescent="0.3">
      <c r="E895" s="17"/>
      <c r="F895" s="17"/>
      <c r="G895" s="41"/>
    </row>
    <row r="896" spans="5:7" ht="14.25" customHeight="1" x14ac:dyDescent="0.3">
      <c r="E896" s="17"/>
      <c r="F896" s="17"/>
      <c r="G896" s="41"/>
    </row>
    <row r="897" spans="5:7" ht="14.25" customHeight="1" x14ac:dyDescent="0.3">
      <c r="E897" s="17"/>
      <c r="F897" s="17"/>
      <c r="G897" s="41"/>
    </row>
    <row r="898" spans="5:7" ht="14.25" customHeight="1" x14ac:dyDescent="0.3">
      <c r="E898" s="17"/>
      <c r="F898" s="17"/>
      <c r="G898" s="41"/>
    </row>
    <row r="899" spans="5:7" ht="14.25" customHeight="1" x14ac:dyDescent="0.3">
      <c r="E899" s="17"/>
      <c r="F899" s="17"/>
      <c r="G899" s="41"/>
    </row>
    <row r="900" spans="5:7" ht="14.25" customHeight="1" x14ac:dyDescent="0.3">
      <c r="E900" s="17"/>
      <c r="F900" s="17"/>
      <c r="G900" s="41"/>
    </row>
    <row r="901" spans="5:7" ht="14.25" customHeight="1" x14ac:dyDescent="0.3">
      <c r="E901" s="17"/>
      <c r="F901" s="17"/>
      <c r="G901" s="41"/>
    </row>
    <row r="902" spans="5:7" ht="14.25" customHeight="1" x14ac:dyDescent="0.3">
      <c r="E902" s="17"/>
      <c r="F902" s="17"/>
      <c r="G902" s="41"/>
    </row>
    <row r="903" spans="5:7" ht="14.25" customHeight="1" x14ac:dyDescent="0.3">
      <c r="E903" s="17"/>
      <c r="F903" s="17"/>
      <c r="G903" s="41"/>
    </row>
    <row r="904" spans="5:7" ht="14.25" customHeight="1" x14ac:dyDescent="0.3">
      <c r="E904" s="17"/>
      <c r="F904" s="17"/>
      <c r="G904" s="41"/>
    </row>
    <row r="905" spans="5:7" ht="14.25" customHeight="1" x14ac:dyDescent="0.3">
      <c r="E905" s="17"/>
      <c r="F905" s="17"/>
      <c r="G905" s="41"/>
    </row>
    <row r="906" spans="5:7" ht="14.25" customHeight="1" x14ac:dyDescent="0.3">
      <c r="E906" s="17"/>
      <c r="F906" s="17"/>
      <c r="G906" s="41"/>
    </row>
    <row r="907" spans="5:7" ht="14.25" customHeight="1" x14ac:dyDescent="0.3">
      <c r="E907" s="17"/>
      <c r="F907" s="17"/>
      <c r="G907" s="41"/>
    </row>
    <row r="908" spans="5:7" ht="14.25" customHeight="1" x14ac:dyDescent="0.3">
      <c r="E908" s="17"/>
      <c r="F908" s="17"/>
      <c r="G908" s="41"/>
    </row>
    <row r="909" spans="5:7" ht="14.25" customHeight="1" x14ac:dyDescent="0.3">
      <c r="E909" s="17"/>
      <c r="F909" s="17"/>
      <c r="G909" s="41"/>
    </row>
    <row r="910" spans="5:7" ht="14.25" customHeight="1" x14ac:dyDescent="0.3">
      <c r="E910" s="17"/>
      <c r="F910" s="17"/>
      <c r="G910" s="41"/>
    </row>
    <row r="911" spans="5:7" ht="14.25" customHeight="1" x14ac:dyDescent="0.3">
      <c r="E911" s="17"/>
      <c r="F911" s="17"/>
      <c r="G911" s="41"/>
    </row>
    <row r="912" spans="5:7" ht="14.25" customHeight="1" x14ac:dyDescent="0.3">
      <c r="E912" s="17"/>
      <c r="F912" s="17"/>
      <c r="G912" s="41"/>
    </row>
    <row r="913" spans="5:7" ht="14.25" customHeight="1" x14ac:dyDescent="0.3">
      <c r="E913" s="17"/>
      <c r="F913" s="17"/>
      <c r="G913" s="41"/>
    </row>
    <row r="914" spans="5:7" ht="14.25" customHeight="1" x14ac:dyDescent="0.3">
      <c r="E914" s="17"/>
      <c r="F914" s="17"/>
      <c r="G914" s="41"/>
    </row>
    <row r="915" spans="5:7" ht="14.25" customHeight="1" x14ac:dyDescent="0.3">
      <c r="E915" s="17"/>
      <c r="F915" s="17"/>
      <c r="G915" s="41"/>
    </row>
    <row r="916" spans="5:7" ht="14.25" customHeight="1" x14ac:dyDescent="0.3">
      <c r="E916" s="17"/>
      <c r="F916" s="17"/>
      <c r="G916" s="41"/>
    </row>
    <row r="917" spans="5:7" ht="14.25" customHeight="1" x14ac:dyDescent="0.3">
      <c r="E917" s="17"/>
      <c r="F917" s="17"/>
      <c r="G917" s="41"/>
    </row>
    <row r="918" spans="5:7" ht="14.25" customHeight="1" x14ac:dyDescent="0.3">
      <c r="E918" s="17"/>
      <c r="F918" s="17"/>
      <c r="G918" s="41"/>
    </row>
    <row r="919" spans="5:7" ht="14.25" customHeight="1" x14ac:dyDescent="0.3">
      <c r="E919" s="17"/>
      <c r="F919" s="17"/>
      <c r="G919" s="41"/>
    </row>
    <row r="920" spans="5:7" ht="14.25" customHeight="1" x14ac:dyDescent="0.3">
      <c r="E920" s="17"/>
      <c r="F920" s="17"/>
      <c r="G920" s="41"/>
    </row>
    <row r="921" spans="5:7" ht="14.25" customHeight="1" x14ac:dyDescent="0.3">
      <c r="E921" s="17"/>
      <c r="F921" s="17"/>
      <c r="G921" s="41"/>
    </row>
    <row r="922" spans="5:7" ht="14.25" customHeight="1" x14ac:dyDescent="0.3">
      <c r="E922" s="17"/>
      <c r="F922" s="17"/>
      <c r="G922" s="41"/>
    </row>
    <row r="923" spans="5:7" ht="14.25" customHeight="1" x14ac:dyDescent="0.3">
      <c r="E923" s="17"/>
      <c r="F923" s="17"/>
      <c r="G923" s="41"/>
    </row>
    <row r="924" spans="5:7" ht="14.25" customHeight="1" x14ac:dyDescent="0.3">
      <c r="E924" s="17"/>
      <c r="F924" s="17"/>
      <c r="G924" s="41"/>
    </row>
    <row r="925" spans="5:7" ht="14.25" customHeight="1" x14ac:dyDescent="0.3">
      <c r="E925" s="17"/>
      <c r="F925" s="17"/>
      <c r="G925" s="41"/>
    </row>
    <row r="926" spans="5:7" ht="14.25" customHeight="1" x14ac:dyDescent="0.3">
      <c r="E926" s="17"/>
      <c r="F926" s="17"/>
      <c r="G926" s="41"/>
    </row>
    <row r="927" spans="5:7" ht="14.25" customHeight="1" x14ac:dyDescent="0.3">
      <c r="E927" s="17"/>
      <c r="F927" s="17"/>
      <c r="G927" s="41"/>
    </row>
    <row r="928" spans="5:7" ht="14.25" customHeight="1" x14ac:dyDescent="0.3">
      <c r="E928" s="17"/>
      <c r="F928" s="17"/>
      <c r="G928" s="41"/>
    </row>
    <row r="929" spans="5:7" ht="14.25" customHeight="1" x14ac:dyDescent="0.3">
      <c r="E929" s="17"/>
      <c r="F929" s="17"/>
      <c r="G929" s="41"/>
    </row>
    <row r="930" spans="5:7" ht="14.25" customHeight="1" x14ac:dyDescent="0.3">
      <c r="E930" s="17"/>
      <c r="F930" s="17"/>
      <c r="G930" s="41"/>
    </row>
    <row r="931" spans="5:7" ht="14.25" customHeight="1" x14ac:dyDescent="0.3">
      <c r="E931" s="17"/>
      <c r="F931" s="17"/>
      <c r="G931" s="41"/>
    </row>
    <row r="932" spans="5:7" ht="14.25" customHeight="1" x14ac:dyDescent="0.3">
      <c r="E932" s="17"/>
      <c r="F932" s="17"/>
      <c r="G932" s="41"/>
    </row>
    <row r="933" spans="5:7" ht="14.25" customHeight="1" x14ac:dyDescent="0.3">
      <c r="E933" s="17"/>
      <c r="F933" s="17"/>
      <c r="G933" s="41"/>
    </row>
    <row r="934" spans="5:7" ht="14.25" customHeight="1" x14ac:dyDescent="0.3">
      <c r="E934" s="17"/>
      <c r="F934" s="17"/>
      <c r="G934" s="41"/>
    </row>
    <row r="935" spans="5:7" ht="14.25" customHeight="1" x14ac:dyDescent="0.3">
      <c r="E935" s="17"/>
      <c r="F935" s="17"/>
      <c r="G935" s="41"/>
    </row>
    <row r="936" spans="5:7" ht="14.25" customHeight="1" x14ac:dyDescent="0.3">
      <c r="E936" s="17"/>
      <c r="F936" s="17"/>
      <c r="G936" s="41"/>
    </row>
    <row r="937" spans="5:7" ht="14.25" customHeight="1" x14ac:dyDescent="0.3">
      <c r="E937" s="17"/>
      <c r="F937" s="17"/>
      <c r="G937" s="41"/>
    </row>
    <row r="938" spans="5:7" ht="14.25" customHeight="1" x14ac:dyDescent="0.3">
      <c r="E938" s="17"/>
      <c r="F938" s="17"/>
      <c r="G938" s="41"/>
    </row>
    <row r="939" spans="5:7" ht="14.25" customHeight="1" x14ac:dyDescent="0.3">
      <c r="E939" s="17"/>
      <c r="F939" s="17"/>
      <c r="G939" s="41"/>
    </row>
    <row r="940" spans="5:7" ht="14.25" customHeight="1" x14ac:dyDescent="0.3">
      <c r="E940" s="17"/>
      <c r="F940" s="17"/>
      <c r="G940" s="41"/>
    </row>
    <row r="941" spans="5:7" ht="14.25" customHeight="1" x14ac:dyDescent="0.3">
      <c r="E941" s="17"/>
      <c r="F941" s="17"/>
      <c r="G941" s="41"/>
    </row>
    <row r="942" spans="5:7" ht="14.25" customHeight="1" x14ac:dyDescent="0.3">
      <c r="E942" s="17"/>
      <c r="F942" s="17"/>
      <c r="G942" s="41"/>
    </row>
    <row r="943" spans="5:7" ht="14.25" customHeight="1" x14ac:dyDescent="0.3">
      <c r="E943" s="17"/>
      <c r="F943" s="17"/>
      <c r="G943" s="41"/>
    </row>
    <row r="944" spans="5:7" ht="14.25" customHeight="1" x14ac:dyDescent="0.3">
      <c r="E944" s="17"/>
      <c r="F944" s="17"/>
      <c r="G944" s="41"/>
    </row>
    <row r="945" spans="5:7" ht="14.25" customHeight="1" x14ac:dyDescent="0.3">
      <c r="E945" s="17"/>
      <c r="F945" s="17"/>
      <c r="G945" s="41"/>
    </row>
    <row r="946" spans="5:7" ht="14.25" customHeight="1" x14ac:dyDescent="0.3">
      <c r="E946" s="17"/>
      <c r="F946" s="17"/>
      <c r="G946" s="41"/>
    </row>
    <row r="947" spans="5:7" ht="14.25" customHeight="1" x14ac:dyDescent="0.3">
      <c r="E947" s="17"/>
      <c r="F947" s="17"/>
      <c r="G947" s="41"/>
    </row>
    <row r="948" spans="5:7" ht="14.25" customHeight="1" x14ac:dyDescent="0.3">
      <c r="E948" s="17"/>
      <c r="F948" s="17"/>
      <c r="G948" s="41"/>
    </row>
    <row r="949" spans="5:7" ht="14.25" customHeight="1" x14ac:dyDescent="0.3">
      <c r="E949" s="17"/>
      <c r="F949" s="17"/>
      <c r="G949" s="41"/>
    </row>
    <row r="950" spans="5:7" ht="14.25" customHeight="1" x14ac:dyDescent="0.3">
      <c r="E950" s="17"/>
      <c r="F950" s="17"/>
      <c r="G950" s="41"/>
    </row>
    <row r="951" spans="5:7" ht="14.25" customHeight="1" x14ac:dyDescent="0.3">
      <c r="E951" s="17"/>
      <c r="F951" s="17"/>
      <c r="G951" s="41"/>
    </row>
    <row r="952" spans="5:7" ht="14.25" customHeight="1" x14ac:dyDescent="0.3">
      <c r="E952" s="17"/>
      <c r="F952" s="17"/>
      <c r="G952" s="41"/>
    </row>
    <row r="953" spans="5:7" ht="14.25" customHeight="1" x14ac:dyDescent="0.3">
      <c r="E953" s="17"/>
      <c r="F953" s="17"/>
      <c r="G953" s="41"/>
    </row>
    <row r="954" spans="5:7" ht="14.25" customHeight="1" x14ac:dyDescent="0.3">
      <c r="E954" s="17"/>
      <c r="F954" s="17"/>
      <c r="G954" s="41"/>
    </row>
    <row r="955" spans="5:7" ht="14.25" customHeight="1" x14ac:dyDescent="0.3">
      <c r="E955" s="17"/>
      <c r="F955" s="17"/>
      <c r="G955" s="41"/>
    </row>
    <row r="956" spans="5:7" ht="14.25" customHeight="1" x14ac:dyDescent="0.3">
      <c r="E956" s="17"/>
      <c r="F956" s="17"/>
      <c r="G956" s="41"/>
    </row>
    <row r="957" spans="5:7" ht="14.25" customHeight="1" x14ac:dyDescent="0.3">
      <c r="E957" s="17"/>
      <c r="F957" s="17"/>
      <c r="G957" s="41"/>
    </row>
    <row r="958" spans="5:7" ht="14.25" customHeight="1" x14ac:dyDescent="0.3">
      <c r="E958" s="17"/>
      <c r="F958" s="17"/>
      <c r="G958" s="41"/>
    </row>
    <row r="959" spans="5:7" ht="14.25" customHeight="1" x14ac:dyDescent="0.3">
      <c r="E959" s="17"/>
      <c r="F959" s="17"/>
      <c r="G959" s="41"/>
    </row>
    <row r="960" spans="5:7" ht="14.25" customHeight="1" x14ac:dyDescent="0.3">
      <c r="E960" s="17"/>
      <c r="F960" s="17"/>
      <c r="G960" s="41"/>
    </row>
    <row r="961" spans="5:7" ht="14.25" customHeight="1" x14ac:dyDescent="0.3">
      <c r="E961" s="17"/>
      <c r="F961" s="17"/>
      <c r="G961" s="41"/>
    </row>
    <row r="962" spans="5:7" ht="14.25" customHeight="1" x14ac:dyDescent="0.3">
      <c r="E962" s="17"/>
      <c r="F962" s="17"/>
      <c r="G962" s="41"/>
    </row>
    <row r="963" spans="5:7" ht="14.25" customHeight="1" x14ac:dyDescent="0.3">
      <c r="E963" s="17"/>
      <c r="F963" s="17"/>
      <c r="G963" s="41"/>
    </row>
    <row r="964" spans="5:7" ht="14.25" customHeight="1" x14ac:dyDescent="0.3">
      <c r="E964" s="17"/>
      <c r="F964" s="17"/>
      <c r="G964" s="41"/>
    </row>
    <row r="965" spans="5:7" ht="14.25" customHeight="1" x14ac:dyDescent="0.3">
      <c r="E965" s="17"/>
      <c r="F965" s="17"/>
      <c r="G965" s="41"/>
    </row>
    <row r="966" spans="5:7" ht="14.25" customHeight="1" x14ac:dyDescent="0.3">
      <c r="E966" s="17"/>
      <c r="F966" s="17"/>
      <c r="G966" s="41"/>
    </row>
    <row r="967" spans="5:7" ht="14.25" customHeight="1" x14ac:dyDescent="0.3">
      <c r="E967" s="17"/>
      <c r="F967" s="17"/>
      <c r="G967" s="41"/>
    </row>
    <row r="968" spans="5:7" ht="14.25" customHeight="1" x14ac:dyDescent="0.3">
      <c r="E968" s="17"/>
      <c r="F968" s="17"/>
      <c r="G968" s="41"/>
    </row>
    <row r="969" spans="5:7" ht="14.25" customHeight="1" x14ac:dyDescent="0.3">
      <c r="E969" s="17"/>
      <c r="F969" s="17"/>
      <c r="G969" s="41"/>
    </row>
    <row r="970" spans="5:7" ht="14.25" customHeight="1" x14ac:dyDescent="0.3">
      <c r="E970" s="17"/>
      <c r="F970" s="17"/>
      <c r="G970" s="41"/>
    </row>
    <row r="971" spans="5:7" ht="14.25" customHeight="1" x14ac:dyDescent="0.3">
      <c r="E971" s="17"/>
      <c r="F971" s="17"/>
      <c r="G971" s="41"/>
    </row>
    <row r="972" spans="5:7" ht="14.25" customHeight="1" x14ac:dyDescent="0.3">
      <c r="E972" s="17"/>
      <c r="F972" s="17"/>
      <c r="G972" s="41"/>
    </row>
    <row r="973" spans="5:7" ht="14.25" customHeight="1" x14ac:dyDescent="0.3">
      <c r="E973" s="17"/>
      <c r="F973" s="17"/>
      <c r="G973" s="41"/>
    </row>
    <row r="974" spans="5:7" ht="14.25" customHeight="1" x14ac:dyDescent="0.3">
      <c r="E974" s="17"/>
      <c r="F974" s="17"/>
      <c r="G974" s="41"/>
    </row>
    <row r="975" spans="5:7" ht="14.25" customHeight="1" x14ac:dyDescent="0.3">
      <c r="E975" s="17"/>
      <c r="F975" s="17"/>
      <c r="G975" s="41"/>
    </row>
    <row r="976" spans="5:7" ht="14.25" customHeight="1" x14ac:dyDescent="0.3">
      <c r="E976" s="17"/>
      <c r="F976" s="17"/>
      <c r="G976" s="41"/>
    </row>
    <row r="977" spans="5:7" ht="14.25" customHeight="1" x14ac:dyDescent="0.3">
      <c r="E977" s="17"/>
      <c r="F977" s="17"/>
      <c r="G977" s="41"/>
    </row>
    <row r="978" spans="5:7" ht="14.25" customHeight="1" x14ac:dyDescent="0.3">
      <c r="E978" s="17"/>
      <c r="F978" s="17"/>
      <c r="G978" s="41"/>
    </row>
    <row r="979" spans="5:7" ht="14.25" customHeight="1" x14ac:dyDescent="0.3">
      <c r="E979" s="17"/>
      <c r="F979" s="17"/>
      <c r="G979" s="41"/>
    </row>
    <row r="980" spans="5:7" ht="14.25" customHeight="1" x14ac:dyDescent="0.3">
      <c r="E980" s="17"/>
      <c r="F980" s="17"/>
      <c r="G980" s="41"/>
    </row>
    <row r="981" spans="5:7" ht="14.25" customHeight="1" x14ac:dyDescent="0.3">
      <c r="E981" s="17"/>
      <c r="F981" s="17"/>
      <c r="G981" s="41"/>
    </row>
    <row r="982" spans="5:7" ht="14.25" customHeight="1" x14ac:dyDescent="0.3">
      <c r="E982" s="17"/>
      <c r="F982" s="17"/>
      <c r="G982" s="41"/>
    </row>
    <row r="983" spans="5:7" ht="14.25" customHeight="1" x14ac:dyDescent="0.3">
      <c r="E983" s="17"/>
      <c r="F983" s="17"/>
      <c r="G983" s="41"/>
    </row>
    <row r="984" spans="5:7" ht="14.25" customHeight="1" x14ac:dyDescent="0.3">
      <c r="E984" s="17"/>
      <c r="F984" s="17"/>
      <c r="G984" s="41"/>
    </row>
    <row r="985" spans="5:7" ht="14.25" customHeight="1" x14ac:dyDescent="0.3">
      <c r="E985" s="17"/>
      <c r="F985" s="17"/>
      <c r="G985" s="41"/>
    </row>
    <row r="986" spans="5:7" ht="14.25" customHeight="1" x14ac:dyDescent="0.3">
      <c r="E986" s="17"/>
      <c r="F986" s="17"/>
      <c r="G986" s="41"/>
    </row>
    <row r="987" spans="5:7" ht="14.25" customHeight="1" x14ac:dyDescent="0.3">
      <c r="E987" s="17"/>
      <c r="F987" s="17"/>
      <c r="G987" s="41"/>
    </row>
    <row r="988" spans="5:7" ht="14.25" customHeight="1" x14ac:dyDescent="0.3">
      <c r="E988" s="17"/>
      <c r="F988" s="17"/>
      <c r="G988" s="41"/>
    </row>
    <row r="989" spans="5:7" ht="14.25" customHeight="1" x14ac:dyDescent="0.3">
      <c r="E989" s="17"/>
      <c r="F989" s="17"/>
      <c r="G989" s="41"/>
    </row>
    <row r="990" spans="5:7" ht="14.25" customHeight="1" x14ac:dyDescent="0.3">
      <c r="E990" s="17"/>
      <c r="F990" s="17"/>
      <c r="G990" s="41"/>
    </row>
    <row r="991" spans="5:7" ht="14.25" customHeight="1" x14ac:dyDescent="0.3">
      <c r="E991" s="17"/>
      <c r="F991" s="17"/>
      <c r="G991" s="41"/>
    </row>
    <row r="992" spans="5:7" ht="14.25" customHeight="1" x14ac:dyDescent="0.3">
      <c r="E992" s="17"/>
      <c r="F992" s="17"/>
      <c r="G992" s="41"/>
    </row>
    <row r="993" spans="5:7" ht="14.25" customHeight="1" x14ac:dyDescent="0.3">
      <c r="E993" s="17"/>
      <c r="F993" s="17"/>
      <c r="G993" s="41"/>
    </row>
    <row r="994" spans="5:7" ht="14.25" customHeight="1" x14ac:dyDescent="0.3">
      <c r="E994" s="17"/>
      <c r="F994" s="17"/>
      <c r="G994" s="41"/>
    </row>
    <row r="995" spans="5:7" ht="14.25" customHeight="1" x14ac:dyDescent="0.3">
      <c r="E995" s="17"/>
      <c r="F995" s="17"/>
      <c r="G995" s="41"/>
    </row>
    <row r="996" spans="5:7" ht="14.25" customHeight="1" x14ac:dyDescent="0.3">
      <c r="E996" s="17"/>
      <c r="F996" s="17"/>
      <c r="G996" s="41"/>
    </row>
    <row r="997" spans="5:7" ht="14.25" customHeight="1" x14ac:dyDescent="0.3">
      <c r="E997" s="17"/>
      <c r="F997" s="17"/>
      <c r="G997" s="41"/>
    </row>
    <row r="998" spans="5:7" ht="14.25" customHeight="1" x14ac:dyDescent="0.3">
      <c r="E998" s="17"/>
      <c r="F998" s="17"/>
      <c r="G998" s="41"/>
    </row>
    <row r="999" spans="5:7" ht="14.25" customHeight="1" x14ac:dyDescent="0.3">
      <c r="E999" s="17"/>
      <c r="F999" s="17"/>
      <c r="G999" s="41"/>
    </row>
    <row r="1000" spans="5:7" ht="14.25" customHeight="1" x14ac:dyDescent="0.3">
      <c r="E1000" s="17"/>
      <c r="F1000" s="17"/>
      <c r="G1000" s="41"/>
    </row>
    <row r="1001" spans="5:7" ht="14.25" customHeight="1" x14ac:dyDescent="0.3">
      <c r="E1001" s="17"/>
      <c r="F1001" s="17"/>
      <c r="G1001" s="41"/>
    </row>
    <row r="1002" spans="5:7" ht="14.25" customHeight="1" x14ac:dyDescent="0.3">
      <c r="E1002" s="17"/>
      <c r="F1002" s="17"/>
      <c r="G1002" s="41"/>
    </row>
    <row r="1003" spans="5:7" ht="14.25" customHeight="1" x14ac:dyDescent="0.3">
      <c r="E1003" s="17"/>
      <c r="F1003" s="17"/>
      <c r="G1003" s="41"/>
    </row>
    <row r="1004" spans="5:7" ht="14.25" customHeight="1" x14ac:dyDescent="0.3">
      <c r="E1004" s="17"/>
      <c r="F1004" s="17"/>
      <c r="G1004" s="41"/>
    </row>
    <row r="1005" spans="5:7" ht="14.25" customHeight="1" x14ac:dyDescent="0.3">
      <c r="E1005" s="17"/>
      <c r="F1005" s="17"/>
      <c r="G1005" s="41"/>
    </row>
    <row r="1006" spans="5:7" ht="14.25" customHeight="1" x14ac:dyDescent="0.3">
      <c r="E1006" s="17"/>
      <c r="F1006" s="17"/>
      <c r="G1006" s="41"/>
    </row>
    <row r="1007" spans="5:7" ht="14.25" customHeight="1" x14ac:dyDescent="0.3">
      <c r="E1007" s="17"/>
      <c r="F1007" s="17"/>
      <c r="G1007" s="41"/>
    </row>
    <row r="1008" spans="5:7" ht="14.25" customHeight="1" x14ac:dyDescent="0.3">
      <c r="E1008" s="17"/>
      <c r="F1008" s="17"/>
      <c r="G1008" s="41"/>
    </row>
    <row r="1009" spans="5:7" ht="14.25" customHeight="1" x14ac:dyDescent="0.3">
      <c r="E1009" s="17"/>
      <c r="F1009" s="17"/>
      <c r="G1009" s="41"/>
    </row>
    <row r="1010" spans="5:7" ht="14.25" customHeight="1" x14ac:dyDescent="0.3">
      <c r="E1010" s="17"/>
      <c r="F1010" s="17"/>
      <c r="G1010" s="41"/>
    </row>
  </sheetData>
  <autoFilter ref="A2:P35"/>
  <mergeCells count="26">
    <mergeCell ref="A1:AH3"/>
    <mergeCell ref="A5:A8"/>
    <mergeCell ref="B5:B8"/>
    <mergeCell ref="C5:C8"/>
    <mergeCell ref="D5:D8"/>
    <mergeCell ref="E5:E8"/>
    <mergeCell ref="F5:G8"/>
    <mergeCell ref="H5:H8"/>
    <mergeCell ref="T103:AH103"/>
    <mergeCell ref="I5:I8"/>
    <mergeCell ref="J5:J8"/>
    <mergeCell ref="K5:K8"/>
    <mergeCell ref="L5:L8"/>
    <mergeCell ref="M5:M8"/>
    <mergeCell ref="N5:O8"/>
    <mergeCell ref="P5:P8"/>
    <mergeCell ref="Q5:Q8"/>
    <mergeCell ref="R5:R8"/>
    <mergeCell ref="T5:AH5"/>
    <mergeCell ref="J100:J101"/>
    <mergeCell ref="T109:T114"/>
    <mergeCell ref="U109:V109"/>
    <mergeCell ref="U110:V110"/>
    <mergeCell ref="U111:V111"/>
    <mergeCell ref="U112:V113"/>
    <mergeCell ref="U114:V114"/>
  </mergeCells>
  <pageMargins left="0.511811024" right="0.511811024" top="0.78740157499999996" bottom="0.7874015749999999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ACM</vt:lpstr>
      <vt:lpstr>GUADA CORPO</vt:lpstr>
      <vt:lpstr>GRADIL</vt:lpstr>
      <vt:lpstr>PORTA E JANELA</vt:lpstr>
      <vt:lpstr>PELE DE VIDRO</vt:lpstr>
      <vt:lpstr>CONTROLE DE OBRA BURJ LAVIE</vt:lpstr>
      <vt:lpstr>1º MEDIÇÃO</vt:lpstr>
      <vt:lpstr>1º MEDIÇÃO (2)</vt:lpstr>
      <vt:lpstr>VALOR DO CONTRATO</vt:lpstr>
      <vt:lpstr>MEDIÇÃO OBRA BURJ LAVIE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</dc:creator>
  <cp:lastModifiedBy>OBRAS 8</cp:lastModifiedBy>
  <cp:lastPrinted>2026-02-08T16:46:23Z</cp:lastPrinted>
  <dcterms:created xsi:type="dcterms:W3CDTF">2023-08-18T13:42:25Z</dcterms:created>
  <dcterms:modified xsi:type="dcterms:W3CDTF">2026-02-18T05:37:26Z</dcterms:modified>
</cp:coreProperties>
</file>